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320" windowHeight="9585"/>
  </bookViews>
  <sheets>
    <sheet name="Barefoot" sheetId="1" r:id="rId1"/>
    <sheet name="Shod" sheetId="30" r:id="rId2"/>
    <sheet name="Raw.Barefoot" sheetId="32" r:id="rId3"/>
    <sheet name="Raw.Shod" sheetId="28" r:id="rId4"/>
    <sheet name="Outcomes.Conditions" sheetId="31" r:id="rId5"/>
    <sheet name="Kolomkoppen" sheetId="12" state="hidden" r:id="rId6"/>
  </sheets>
  <calcPr calcId="145621"/>
</workbook>
</file>

<file path=xl/calcChain.xml><?xml version="1.0" encoding="utf-8"?>
<calcChain xmlns="http://schemas.openxmlformats.org/spreadsheetml/2006/main">
  <c r="G5" i="32" l="1"/>
  <c r="F5" i="32"/>
  <c r="E5" i="32"/>
  <c r="D5" i="32"/>
  <c r="C5" i="32"/>
  <c r="B5" i="32"/>
  <c r="TG4" i="32"/>
  <c r="TF4" i="32"/>
  <c r="TE4" i="32"/>
  <c r="TD4" i="32"/>
  <c r="TC4" i="32"/>
  <c r="TB4" i="32"/>
  <c r="TA4" i="32"/>
  <c r="SZ4" i="32"/>
  <c r="SY4" i="32"/>
  <c r="SX4" i="32"/>
  <c r="SW4" i="32"/>
  <c r="SV4" i="32"/>
  <c r="SU4" i="32"/>
  <c r="ST4" i="32"/>
  <c r="SS4" i="32"/>
  <c r="SR4" i="32"/>
  <c r="SQ4" i="32"/>
  <c r="SP4" i="32"/>
  <c r="SO4" i="32"/>
  <c r="SN4" i="32"/>
  <c r="SM4" i="32"/>
  <c r="SL4" i="32"/>
  <c r="SK4" i="32"/>
  <c r="SJ4" i="32"/>
  <c r="SI4" i="32"/>
  <c r="SH4" i="32"/>
  <c r="SG4" i="32"/>
  <c r="SF4" i="32"/>
  <c r="SE4" i="32"/>
  <c r="SD4" i="32"/>
  <c r="SC4" i="32"/>
  <c r="SB4" i="32"/>
  <c r="SA4" i="32"/>
  <c r="RZ4" i="32"/>
  <c r="RY4" i="32"/>
  <c r="RX4" i="32"/>
  <c r="RW4" i="32"/>
  <c r="RV4" i="32"/>
  <c r="RU4" i="32"/>
  <c r="RT4" i="32"/>
  <c r="RS4" i="32"/>
  <c r="RR4" i="32"/>
  <c r="RQ4" i="32"/>
  <c r="RP4" i="32"/>
  <c r="RO4" i="32"/>
  <c r="RN4" i="32"/>
  <c r="RM4" i="32"/>
  <c r="RL4" i="32"/>
  <c r="RK4" i="32"/>
  <c r="RJ4" i="32"/>
  <c r="RI4" i="32"/>
  <c r="RH4" i="32"/>
  <c r="RG4" i="32"/>
  <c r="RF4" i="32"/>
  <c r="RE4" i="32"/>
  <c r="RD4" i="32"/>
  <c r="RC4" i="32"/>
  <c r="RB4" i="32"/>
  <c r="RA4" i="32"/>
  <c r="QZ4" i="32"/>
  <c r="QY4" i="32"/>
  <c r="QX4" i="32"/>
  <c r="QW4" i="32"/>
  <c r="QV4" i="32"/>
  <c r="QU4" i="32"/>
  <c r="QT4" i="32"/>
  <c r="QS4" i="32"/>
  <c r="QR4" i="32"/>
  <c r="QQ4" i="32"/>
  <c r="QP4" i="32"/>
  <c r="QO4" i="32"/>
  <c r="QN4" i="32"/>
  <c r="QM4" i="32"/>
  <c r="QL4" i="32"/>
  <c r="QK4" i="32"/>
  <c r="QJ4" i="32"/>
  <c r="QI4" i="32"/>
  <c r="QH4" i="32"/>
  <c r="QG4" i="32"/>
  <c r="QF4" i="32"/>
  <c r="QE4" i="32"/>
  <c r="QD4" i="32"/>
  <c r="QC4" i="32"/>
  <c r="QB4" i="32"/>
  <c r="QA4" i="32"/>
  <c r="PZ4" i="32"/>
  <c r="PY4" i="32"/>
  <c r="PX4" i="32"/>
  <c r="PW4" i="32"/>
  <c r="PV4" i="32"/>
  <c r="PU4" i="32"/>
  <c r="PT4" i="32"/>
  <c r="PS4" i="32"/>
  <c r="PR4" i="32"/>
  <c r="PQ4" i="32"/>
  <c r="PP4" i="32"/>
  <c r="PO4" i="32"/>
  <c r="PN4" i="32"/>
  <c r="PM4" i="32"/>
  <c r="PL4" i="32"/>
  <c r="PK4" i="32"/>
  <c r="PJ4" i="32"/>
  <c r="PI4" i="32"/>
  <c r="PH4" i="32"/>
  <c r="PG4" i="32"/>
  <c r="PF4" i="32"/>
  <c r="PE4" i="32"/>
  <c r="PD4" i="32"/>
  <c r="PC4" i="32"/>
  <c r="PB4" i="32"/>
  <c r="PA4" i="32"/>
  <c r="OZ4" i="32"/>
  <c r="OY4" i="32"/>
  <c r="OX4" i="32"/>
  <c r="OW4" i="32"/>
  <c r="OV4" i="32"/>
  <c r="OU4" i="32"/>
  <c r="OT4" i="32"/>
  <c r="OS4" i="32"/>
  <c r="OR4" i="32"/>
  <c r="OQ4" i="32"/>
  <c r="OP4" i="32"/>
  <c r="OO4" i="32"/>
  <c r="ON4" i="32"/>
  <c r="OM4" i="32"/>
  <c r="OL4" i="32"/>
  <c r="OK4" i="32"/>
  <c r="OJ4" i="32"/>
  <c r="OI4" i="32"/>
  <c r="OH4" i="32"/>
  <c r="OG4" i="32"/>
  <c r="OF4" i="32"/>
  <c r="OE4" i="32"/>
  <c r="OD4" i="32"/>
  <c r="OC4" i="32"/>
  <c r="OB4" i="32"/>
  <c r="OA4" i="32"/>
  <c r="NZ4" i="32"/>
  <c r="NY4" i="32"/>
  <c r="NX4" i="32"/>
  <c r="NW4" i="32"/>
  <c r="NV4" i="32"/>
  <c r="NU4" i="32"/>
  <c r="NT4" i="32"/>
  <c r="NS4" i="32"/>
  <c r="NR4" i="32"/>
  <c r="NQ4" i="32"/>
  <c r="NP4" i="32"/>
  <c r="NO4" i="32"/>
  <c r="NN4" i="32"/>
  <c r="NM4" i="32"/>
  <c r="NL4" i="32"/>
  <c r="NK4" i="32"/>
  <c r="NJ4" i="32"/>
  <c r="NI4" i="32"/>
  <c r="NH4" i="32"/>
  <c r="NG4" i="32"/>
  <c r="NF4" i="32"/>
  <c r="NE4" i="32"/>
  <c r="ND4" i="32"/>
  <c r="NC4" i="32"/>
  <c r="NB4" i="32"/>
  <c r="NA4" i="32"/>
  <c r="MZ4" i="32"/>
  <c r="MY4" i="32"/>
  <c r="MX4" i="32"/>
  <c r="MW4" i="32"/>
  <c r="MV4" i="32"/>
  <c r="MU4" i="32"/>
  <c r="MT4" i="32"/>
  <c r="MS4" i="32"/>
  <c r="MR4" i="32"/>
  <c r="MQ4" i="32"/>
  <c r="MP4" i="32"/>
  <c r="MO4" i="32"/>
  <c r="MN4" i="32"/>
  <c r="MM4" i="32"/>
  <c r="ML4" i="32"/>
  <c r="MK4" i="32"/>
  <c r="MJ4" i="32"/>
  <c r="MI4" i="32"/>
  <c r="MH4" i="32"/>
  <c r="MG4" i="32"/>
  <c r="MF4" i="32"/>
  <c r="ME4" i="32"/>
  <c r="MD4" i="32"/>
  <c r="MC4" i="32"/>
  <c r="MB4" i="32"/>
  <c r="MA4" i="32"/>
  <c r="LZ4" i="32"/>
  <c r="LY4" i="32"/>
  <c r="LX4" i="32"/>
  <c r="LW4" i="32"/>
  <c r="LV4" i="32"/>
  <c r="LU4" i="32"/>
  <c r="LT4" i="32"/>
  <c r="LS4" i="32"/>
  <c r="LR4" i="32"/>
  <c r="LQ4" i="32"/>
  <c r="LP4" i="32"/>
  <c r="LO4" i="32"/>
  <c r="LN4" i="32"/>
  <c r="LM4" i="32"/>
  <c r="LL4" i="32"/>
  <c r="LK4" i="32"/>
  <c r="LJ4" i="32"/>
  <c r="LI4" i="32"/>
  <c r="LH4" i="32"/>
  <c r="LG4" i="32"/>
  <c r="LF4" i="32"/>
  <c r="LE4" i="32"/>
  <c r="LD4" i="32"/>
  <c r="LC4" i="32"/>
  <c r="LB4" i="32"/>
  <c r="LA4" i="32"/>
  <c r="KZ4" i="32"/>
  <c r="KY4" i="32"/>
  <c r="KX4" i="32"/>
  <c r="KW4" i="32"/>
  <c r="KV4" i="32"/>
  <c r="KU4" i="32"/>
  <c r="KT4" i="32"/>
  <c r="KS4" i="32"/>
  <c r="KR4" i="32"/>
  <c r="KQ4" i="32"/>
  <c r="KP4" i="32"/>
  <c r="KO4" i="32"/>
  <c r="KN4" i="32"/>
  <c r="KM4" i="32"/>
  <c r="KL4" i="32"/>
  <c r="KK4" i="32"/>
  <c r="KJ4" i="32"/>
  <c r="KI4" i="32"/>
  <c r="KH4" i="32"/>
  <c r="KG4" i="32"/>
  <c r="KF4" i="32"/>
  <c r="KE4" i="32"/>
  <c r="KD4" i="32"/>
  <c r="KC4" i="32"/>
  <c r="KB4" i="32"/>
  <c r="KA4" i="32"/>
  <c r="JZ4" i="32"/>
  <c r="JY4" i="32"/>
  <c r="JX4" i="32"/>
  <c r="JW4" i="32"/>
  <c r="JV4" i="32"/>
  <c r="JU4" i="32"/>
  <c r="JT4" i="32"/>
  <c r="JS4" i="32"/>
  <c r="JR4" i="32"/>
  <c r="JQ4" i="32"/>
  <c r="JP4" i="32"/>
  <c r="JO4" i="32"/>
  <c r="JN4" i="32"/>
  <c r="JM4" i="32"/>
  <c r="JL4" i="32"/>
  <c r="JK4" i="32"/>
  <c r="JJ4" i="32"/>
  <c r="JI4" i="32"/>
  <c r="JH4" i="32"/>
  <c r="JG4" i="32"/>
  <c r="JF4" i="32"/>
  <c r="JE4" i="32"/>
  <c r="JD4" i="32"/>
  <c r="JC4" i="32"/>
  <c r="JB4" i="32"/>
  <c r="JA4" i="32"/>
  <c r="IZ4" i="32"/>
  <c r="IY4" i="32"/>
  <c r="IX4" i="32"/>
  <c r="IW4" i="32"/>
  <c r="IV4" i="32"/>
  <c r="IU4" i="32"/>
  <c r="IT4" i="32"/>
  <c r="IS4" i="32"/>
  <c r="IR4" i="32"/>
  <c r="IQ4" i="32"/>
  <c r="IP4" i="32"/>
  <c r="IO4" i="32"/>
  <c r="IN4" i="32"/>
  <c r="IM4" i="32"/>
  <c r="IL4" i="32"/>
  <c r="IK4" i="32"/>
  <c r="IJ4" i="32"/>
  <c r="II4" i="32"/>
  <c r="IH4" i="32"/>
  <c r="IG4" i="32"/>
  <c r="IF4" i="32"/>
  <c r="IE4" i="32"/>
  <c r="ID4" i="32"/>
  <c r="IC4" i="32"/>
  <c r="IB4" i="32"/>
  <c r="IA4" i="32"/>
  <c r="HZ4" i="32"/>
  <c r="HY4" i="32"/>
  <c r="HX4" i="32"/>
  <c r="HW4" i="32"/>
  <c r="HV4" i="32"/>
  <c r="HU4" i="32"/>
  <c r="HT4" i="32"/>
  <c r="HS4" i="32"/>
  <c r="HR4" i="32"/>
  <c r="HQ4" i="32"/>
  <c r="HP4" i="32"/>
  <c r="HO4" i="32"/>
  <c r="HN4" i="32"/>
  <c r="HM4" i="32"/>
  <c r="HL4" i="32"/>
  <c r="HK4" i="32"/>
  <c r="HJ4" i="32"/>
  <c r="HI4" i="32"/>
  <c r="HH4" i="32"/>
  <c r="HG4" i="32"/>
  <c r="HF4" i="32"/>
  <c r="HE4" i="32"/>
  <c r="HD4" i="32"/>
  <c r="HC4" i="32"/>
  <c r="HB4" i="32"/>
  <c r="HA4" i="32"/>
  <c r="GZ4" i="32"/>
  <c r="GY4" i="32"/>
  <c r="GX4" i="32"/>
  <c r="GW4" i="32"/>
  <c r="GV4" i="32"/>
  <c r="GU4" i="32"/>
  <c r="GT4" i="32"/>
  <c r="GS4" i="32"/>
  <c r="GR4" i="32"/>
  <c r="GQ4" i="32"/>
  <c r="GP4" i="32"/>
  <c r="GO4" i="32"/>
  <c r="GN4" i="32"/>
  <c r="GM4" i="32"/>
  <c r="GL4" i="32"/>
  <c r="GK4" i="32"/>
  <c r="GJ4" i="32"/>
  <c r="GI4" i="32"/>
  <c r="GH4" i="32"/>
  <c r="GG4" i="32"/>
  <c r="GF4" i="32"/>
  <c r="GE4" i="32"/>
  <c r="GD4" i="32"/>
  <c r="GC4" i="32"/>
  <c r="GB4" i="32"/>
  <c r="GA4" i="32"/>
  <c r="FZ4" i="32"/>
  <c r="FY4" i="32"/>
  <c r="FX4" i="32"/>
  <c r="FW4" i="32"/>
  <c r="FV4" i="32"/>
  <c r="FU4" i="32"/>
  <c r="FT4" i="32"/>
  <c r="FS4" i="32"/>
  <c r="FR4" i="32"/>
  <c r="FQ4" i="32"/>
  <c r="FP4" i="32"/>
  <c r="FO4" i="32"/>
  <c r="FN4" i="32"/>
  <c r="FM4" i="32"/>
  <c r="FL4" i="32"/>
  <c r="FK4" i="32"/>
  <c r="FJ4" i="32"/>
  <c r="FI4" i="32"/>
  <c r="FH4" i="32"/>
  <c r="FG4" i="32"/>
  <c r="FF4" i="32"/>
  <c r="FE4" i="32"/>
  <c r="FD4" i="32"/>
  <c r="FC4" i="32"/>
  <c r="FB4" i="32"/>
  <c r="FA4" i="32"/>
  <c r="EZ4" i="32"/>
  <c r="EY4" i="32"/>
  <c r="EX4" i="32"/>
  <c r="EW4" i="32"/>
  <c r="EV4" i="32"/>
  <c r="EU4" i="32"/>
  <c r="ET4" i="32"/>
  <c r="ES4" i="32"/>
  <c r="ER4" i="32"/>
  <c r="EQ4" i="32"/>
  <c r="EP4" i="32"/>
  <c r="EO4" i="32"/>
  <c r="EN4" i="32"/>
  <c r="EM4" i="32"/>
  <c r="EL4" i="32"/>
  <c r="EK4" i="32"/>
  <c r="EJ4" i="32"/>
  <c r="EI4" i="32"/>
  <c r="EH4" i="32"/>
  <c r="EG4" i="32"/>
  <c r="EF4" i="32"/>
  <c r="EE4" i="32"/>
  <c r="ED4" i="32"/>
  <c r="EC4" i="32"/>
  <c r="EB4" i="32"/>
  <c r="EA4" i="32"/>
  <c r="DZ4" i="32"/>
  <c r="DY4" i="32"/>
  <c r="DX4" i="32"/>
  <c r="DW4" i="32"/>
  <c r="DV4" i="32"/>
  <c r="DU4" i="32"/>
  <c r="DT4" i="32"/>
  <c r="DS4" i="32"/>
  <c r="DR4" i="32"/>
  <c r="DQ4" i="32"/>
  <c r="DP4" i="32"/>
  <c r="DO4" i="32"/>
  <c r="DN4" i="32"/>
  <c r="DM4" i="32"/>
  <c r="DL4" i="32"/>
  <c r="DK4" i="32"/>
  <c r="DJ4" i="32"/>
  <c r="DI4" i="32"/>
  <c r="DH4" i="32"/>
  <c r="DG4" i="32"/>
  <c r="DF4" i="32"/>
  <c r="DE4" i="32"/>
  <c r="DD4" i="32"/>
  <c r="DC4" i="32"/>
  <c r="DB4" i="32"/>
  <c r="DA4" i="32"/>
  <c r="CZ4" i="32"/>
  <c r="CY4" i="32"/>
  <c r="CX4" i="32"/>
  <c r="CW4" i="32"/>
  <c r="CV4" i="32"/>
  <c r="CU4" i="32"/>
  <c r="CT4" i="32"/>
  <c r="CS4" i="32"/>
  <c r="CR4" i="32"/>
  <c r="CQ4" i="32"/>
  <c r="CP4" i="32"/>
  <c r="CO4" i="32"/>
  <c r="CN4" i="32"/>
  <c r="CM4" i="32"/>
  <c r="CL4" i="32"/>
  <c r="CK4" i="32"/>
  <c r="CJ4" i="32"/>
  <c r="CI4" i="32"/>
  <c r="CH4" i="32"/>
  <c r="CG4" i="32"/>
  <c r="CF4" i="32"/>
  <c r="CE4" i="32"/>
  <c r="CD4" i="32"/>
  <c r="CC4" i="32"/>
  <c r="CB4" i="32"/>
  <c r="CA4" i="32"/>
  <c r="BZ4" i="32"/>
  <c r="BY4" i="32"/>
  <c r="BX4" i="32"/>
  <c r="BW4" i="32"/>
  <c r="BV4" i="32"/>
  <c r="BU4" i="32"/>
  <c r="BT4" i="32"/>
  <c r="BS4" i="32"/>
  <c r="BR4" i="32"/>
  <c r="BQ4" i="32"/>
  <c r="BP4" i="32"/>
  <c r="BO4" i="32"/>
  <c r="BN4" i="32"/>
  <c r="BM4" i="32"/>
  <c r="BL4" i="32"/>
  <c r="BK4" i="32"/>
  <c r="BJ4" i="32"/>
  <c r="BI4" i="32"/>
  <c r="BH4" i="32"/>
  <c r="BG4" i="32"/>
  <c r="BF4" i="32"/>
  <c r="BE4" i="32"/>
  <c r="BD4" i="32"/>
  <c r="BC4" i="32"/>
  <c r="BB4" i="32"/>
  <c r="BA4" i="32"/>
  <c r="AZ4" i="32"/>
  <c r="AY4" i="32"/>
  <c r="AX4" i="32"/>
  <c r="AW4" i="32"/>
  <c r="AV4" i="32"/>
  <c r="AU4" i="32"/>
  <c r="AT4" i="32"/>
  <c r="AS4" i="32"/>
  <c r="AR4" i="32"/>
  <c r="AQ4" i="32"/>
  <c r="AP4" i="32"/>
  <c r="AO4" i="32"/>
  <c r="AN4" i="32"/>
  <c r="AM4" i="32"/>
  <c r="AL4" i="32"/>
  <c r="AK4" i="32"/>
  <c r="AJ4" i="32"/>
  <c r="AI4" i="32"/>
  <c r="AH4" i="32"/>
  <c r="AG4" i="32"/>
  <c r="AF4" i="32"/>
  <c r="AE4" i="32"/>
  <c r="AD4" i="32"/>
  <c r="AC4" i="32"/>
  <c r="AB4" i="32"/>
  <c r="AA4" i="32"/>
  <c r="Z4" i="32"/>
  <c r="Y4" i="32"/>
  <c r="X4" i="32"/>
  <c r="W4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D5" i="28" l="1"/>
  <c r="C8" i="31"/>
  <c r="G2" i="30"/>
  <c r="B8" i="31" l="1"/>
  <c r="C5" i="28"/>
  <c r="W81" i="30" l="1"/>
  <c r="W82" i="30"/>
  <c r="W83" i="30"/>
  <c r="W84" i="30"/>
  <c r="W85" i="30"/>
  <c r="W86" i="30"/>
  <c r="W87" i="30"/>
  <c r="W88" i="30"/>
  <c r="W89" i="30"/>
  <c r="W90" i="30"/>
  <c r="W91" i="30"/>
  <c r="W92" i="30"/>
  <c r="W93" i="30"/>
  <c r="W94" i="30"/>
  <c r="W95" i="30"/>
  <c r="W96" i="30"/>
  <c r="W97" i="30"/>
  <c r="W98" i="30"/>
  <c r="W99" i="30"/>
  <c r="W80" i="30"/>
  <c r="W56" i="30"/>
  <c r="W57" i="30"/>
  <c r="W58" i="30"/>
  <c r="W59" i="30"/>
  <c r="W60" i="30"/>
  <c r="W61" i="30"/>
  <c r="W62" i="30"/>
  <c r="W63" i="30"/>
  <c r="W64" i="30"/>
  <c r="W65" i="30"/>
  <c r="W66" i="30"/>
  <c r="W67" i="30"/>
  <c r="W68" i="30"/>
  <c r="W69" i="30"/>
  <c r="W70" i="30"/>
  <c r="W71" i="30"/>
  <c r="W72" i="30"/>
  <c r="W73" i="30"/>
  <c r="W74" i="30"/>
  <c r="W55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30" i="30"/>
  <c r="W30" i="1"/>
  <c r="D8" i="31"/>
  <c r="E5" i="28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80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A8" i="31"/>
  <c r="RS5" i="32"/>
  <c r="SH5" i="32"/>
  <c r="RM5" i="32"/>
  <c r="RO5" i="32"/>
  <c r="RX5" i="32"/>
  <c r="RL5" i="32"/>
  <c r="ST5" i="32"/>
  <c r="RD5" i="32"/>
  <c r="RV5" i="32"/>
  <c r="RI5" i="32"/>
  <c r="SW5" i="32"/>
  <c r="SI5" i="32"/>
  <c r="QZ5" i="32"/>
  <c r="RZ5" i="32"/>
  <c r="RB5" i="32"/>
  <c r="TE5" i="32"/>
  <c r="SD5" i="32"/>
  <c r="SA5" i="32"/>
  <c r="SL5" i="32"/>
  <c r="SU5" i="32"/>
  <c r="TC5" i="32"/>
  <c r="SE5" i="32"/>
  <c r="SJ5" i="32"/>
  <c r="SB5" i="32"/>
  <c r="SY5" i="32"/>
  <c r="SS5" i="32"/>
  <c r="RF5" i="32"/>
  <c r="TG5" i="32"/>
  <c r="SO5" i="32"/>
  <c r="SC5" i="32"/>
  <c r="SF5" i="32"/>
  <c r="TB5" i="32"/>
  <c r="RQ5" i="32"/>
  <c r="SG5" i="32"/>
  <c r="RE5" i="32"/>
  <c r="RN5" i="32"/>
  <c r="SV5" i="32"/>
  <c r="RT5" i="32"/>
  <c r="TD5" i="32"/>
  <c r="RK5" i="32"/>
  <c r="RU5" i="32"/>
  <c r="SM5" i="32"/>
  <c r="SN5" i="32"/>
  <c r="RC5" i="32"/>
  <c r="TF5" i="32"/>
  <c r="SP5" i="32"/>
  <c r="RY5" i="32"/>
  <c r="RA5" i="32"/>
  <c r="TA5" i="32"/>
  <c r="RW5" i="32"/>
  <c r="SZ5" i="32"/>
  <c r="SX5" i="32"/>
  <c r="SQ5" i="32"/>
  <c r="RG5" i="32"/>
  <c r="RJ5" i="32"/>
  <c r="SK5" i="32"/>
  <c r="RP5" i="32"/>
  <c r="RR5" i="32"/>
  <c r="RH5" i="32"/>
  <c r="SR5" i="32"/>
  <c r="G5" i="28" l="1"/>
  <c r="F5" i="28"/>
  <c r="B5" i="28"/>
  <c r="N149" i="30"/>
  <c r="M149" i="30"/>
  <c r="I149" i="30"/>
  <c r="H149" i="30"/>
  <c r="B149" i="30"/>
  <c r="N148" i="30"/>
  <c r="M148" i="30"/>
  <c r="I148" i="30"/>
  <c r="H148" i="30"/>
  <c r="B148" i="30"/>
  <c r="N147" i="30"/>
  <c r="M147" i="30"/>
  <c r="O147" i="30" s="1"/>
  <c r="I147" i="30"/>
  <c r="H147" i="30"/>
  <c r="B147" i="30"/>
  <c r="N146" i="30"/>
  <c r="M146" i="30"/>
  <c r="I146" i="30"/>
  <c r="H146" i="30"/>
  <c r="B146" i="30"/>
  <c r="N145" i="30"/>
  <c r="M145" i="30"/>
  <c r="I145" i="30"/>
  <c r="H145" i="30"/>
  <c r="B145" i="30"/>
  <c r="N144" i="30"/>
  <c r="M144" i="30"/>
  <c r="I144" i="30"/>
  <c r="H144" i="30"/>
  <c r="B144" i="30"/>
  <c r="N143" i="30"/>
  <c r="M143" i="30"/>
  <c r="I143" i="30"/>
  <c r="H143" i="30"/>
  <c r="B143" i="30"/>
  <c r="N142" i="30"/>
  <c r="M142" i="30"/>
  <c r="I142" i="30"/>
  <c r="H142" i="30"/>
  <c r="B142" i="30"/>
  <c r="N141" i="30"/>
  <c r="M141" i="30"/>
  <c r="I141" i="30"/>
  <c r="H141" i="30"/>
  <c r="B141" i="30"/>
  <c r="N140" i="30"/>
  <c r="M140" i="30"/>
  <c r="I140" i="30"/>
  <c r="H140" i="30"/>
  <c r="B140" i="30"/>
  <c r="N139" i="30"/>
  <c r="M139" i="30"/>
  <c r="I139" i="30"/>
  <c r="H139" i="30"/>
  <c r="B139" i="30"/>
  <c r="N138" i="30"/>
  <c r="M138" i="30"/>
  <c r="I138" i="30"/>
  <c r="H138" i="30"/>
  <c r="B138" i="30"/>
  <c r="N137" i="30"/>
  <c r="M137" i="30"/>
  <c r="I137" i="30"/>
  <c r="H137" i="30"/>
  <c r="B137" i="30"/>
  <c r="N136" i="30"/>
  <c r="M136" i="30"/>
  <c r="I136" i="30"/>
  <c r="H136" i="30"/>
  <c r="B136" i="30"/>
  <c r="N135" i="30"/>
  <c r="M135" i="30"/>
  <c r="I135" i="30"/>
  <c r="H135" i="30"/>
  <c r="B135" i="30"/>
  <c r="N134" i="30"/>
  <c r="M134" i="30"/>
  <c r="I134" i="30"/>
  <c r="H134" i="30"/>
  <c r="B134" i="30"/>
  <c r="N133" i="30"/>
  <c r="M133" i="30"/>
  <c r="O133" i="30" s="1"/>
  <c r="I133" i="30"/>
  <c r="H133" i="30"/>
  <c r="B133" i="30"/>
  <c r="N132" i="30"/>
  <c r="M132" i="30"/>
  <c r="I132" i="30"/>
  <c r="H132" i="30"/>
  <c r="B132" i="30"/>
  <c r="N131" i="30"/>
  <c r="M131" i="30"/>
  <c r="I131" i="30"/>
  <c r="H131" i="30"/>
  <c r="B131" i="30"/>
  <c r="N130" i="30"/>
  <c r="M130" i="30"/>
  <c r="I130" i="30"/>
  <c r="H130" i="30"/>
  <c r="B130" i="30"/>
  <c r="N124" i="30"/>
  <c r="O124" i="30" s="1"/>
  <c r="M124" i="30"/>
  <c r="I124" i="30"/>
  <c r="H124" i="30"/>
  <c r="B124" i="30"/>
  <c r="N123" i="30"/>
  <c r="M123" i="30"/>
  <c r="I123" i="30"/>
  <c r="H123" i="30"/>
  <c r="B123" i="30"/>
  <c r="N122" i="30"/>
  <c r="M122" i="30"/>
  <c r="I122" i="30"/>
  <c r="J122" i="30" s="1"/>
  <c r="H122" i="30"/>
  <c r="B122" i="30"/>
  <c r="N121" i="30"/>
  <c r="M121" i="30"/>
  <c r="I121" i="30"/>
  <c r="H121" i="30"/>
  <c r="B121" i="30"/>
  <c r="N120" i="30"/>
  <c r="M120" i="30"/>
  <c r="I120" i="30"/>
  <c r="H120" i="30"/>
  <c r="B120" i="30"/>
  <c r="N119" i="30"/>
  <c r="M119" i="30"/>
  <c r="I119" i="30"/>
  <c r="H119" i="30"/>
  <c r="B119" i="30"/>
  <c r="N118" i="30"/>
  <c r="M118" i="30"/>
  <c r="I118" i="30"/>
  <c r="J118" i="30" s="1"/>
  <c r="H118" i="30"/>
  <c r="B118" i="30"/>
  <c r="N117" i="30"/>
  <c r="M117" i="30"/>
  <c r="I117" i="30"/>
  <c r="H117" i="30"/>
  <c r="B117" i="30"/>
  <c r="N116" i="30"/>
  <c r="M116" i="30"/>
  <c r="I116" i="30"/>
  <c r="H116" i="30"/>
  <c r="B116" i="30"/>
  <c r="N115" i="30"/>
  <c r="M115" i="30"/>
  <c r="I115" i="30"/>
  <c r="H115" i="30"/>
  <c r="B115" i="30"/>
  <c r="N114" i="30"/>
  <c r="M114" i="30"/>
  <c r="I114" i="30"/>
  <c r="H114" i="30"/>
  <c r="B114" i="30"/>
  <c r="N113" i="30"/>
  <c r="M113" i="30"/>
  <c r="I113" i="30"/>
  <c r="H113" i="30"/>
  <c r="B113" i="30"/>
  <c r="N112" i="30"/>
  <c r="M112" i="30"/>
  <c r="I112" i="30"/>
  <c r="H112" i="30"/>
  <c r="B112" i="30"/>
  <c r="N111" i="30"/>
  <c r="M111" i="30"/>
  <c r="I111" i="30"/>
  <c r="H111" i="30"/>
  <c r="B111" i="30"/>
  <c r="N110" i="30"/>
  <c r="M110" i="30"/>
  <c r="I110" i="30"/>
  <c r="J110" i="30" s="1"/>
  <c r="H110" i="30"/>
  <c r="B110" i="30"/>
  <c r="N109" i="30"/>
  <c r="M109" i="30"/>
  <c r="I109" i="30"/>
  <c r="H109" i="30"/>
  <c r="B109" i="30"/>
  <c r="N108" i="30"/>
  <c r="M108" i="30"/>
  <c r="I108" i="30"/>
  <c r="H108" i="30"/>
  <c r="B108" i="30"/>
  <c r="N107" i="30"/>
  <c r="M107" i="30"/>
  <c r="O107" i="30" s="1"/>
  <c r="I107" i="30"/>
  <c r="H107" i="30"/>
  <c r="B107" i="30"/>
  <c r="N106" i="30"/>
  <c r="M106" i="30"/>
  <c r="I106" i="30"/>
  <c r="H106" i="30"/>
  <c r="B106" i="30"/>
  <c r="N105" i="30"/>
  <c r="M105" i="30"/>
  <c r="I105" i="30"/>
  <c r="H105" i="30"/>
  <c r="B105" i="30"/>
  <c r="S99" i="30"/>
  <c r="R99" i="30"/>
  <c r="N99" i="30"/>
  <c r="M99" i="30"/>
  <c r="I99" i="30"/>
  <c r="H99" i="30"/>
  <c r="D99" i="30"/>
  <c r="C99" i="30"/>
  <c r="B99" i="30"/>
  <c r="S98" i="30"/>
  <c r="R98" i="30"/>
  <c r="N98" i="30"/>
  <c r="M98" i="30"/>
  <c r="I98" i="30"/>
  <c r="H98" i="30"/>
  <c r="D98" i="30"/>
  <c r="C98" i="30"/>
  <c r="B98" i="30"/>
  <c r="S97" i="30"/>
  <c r="R97" i="30"/>
  <c r="N97" i="30"/>
  <c r="M97" i="30"/>
  <c r="I97" i="30"/>
  <c r="H97" i="30"/>
  <c r="D97" i="30"/>
  <c r="C97" i="30"/>
  <c r="B97" i="30"/>
  <c r="S96" i="30"/>
  <c r="R96" i="30"/>
  <c r="N96" i="30"/>
  <c r="M96" i="30"/>
  <c r="O96" i="30" s="1"/>
  <c r="I96" i="30"/>
  <c r="H96" i="30"/>
  <c r="D96" i="30"/>
  <c r="C96" i="30"/>
  <c r="E96" i="30" s="1"/>
  <c r="D146" i="30" s="1"/>
  <c r="B96" i="30"/>
  <c r="S95" i="30"/>
  <c r="R95" i="30"/>
  <c r="N95" i="30"/>
  <c r="M95" i="30"/>
  <c r="I95" i="30"/>
  <c r="H95" i="30"/>
  <c r="D95" i="30"/>
  <c r="C95" i="30"/>
  <c r="B95" i="30"/>
  <c r="S94" i="30"/>
  <c r="R94" i="30"/>
  <c r="N94" i="30"/>
  <c r="M94" i="30"/>
  <c r="I94" i="30"/>
  <c r="H94" i="30"/>
  <c r="D94" i="30"/>
  <c r="C94" i="30"/>
  <c r="B94" i="30"/>
  <c r="S93" i="30"/>
  <c r="R93" i="30"/>
  <c r="N93" i="30"/>
  <c r="M93" i="30"/>
  <c r="I93" i="30"/>
  <c r="J93" i="30" s="1"/>
  <c r="H93" i="30"/>
  <c r="D93" i="30"/>
  <c r="C93" i="30"/>
  <c r="B93" i="30"/>
  <c r="S92" i="30"/>
  <c r="R92" i="30"/>
  <c r="N92" i="30"/>
  <c r="M92" i="30"/>
  <c r="O92" i="30" s="1"/>
  <c r="I92" i="30"/>
  <c r="H92" i="30"/>
  <c r="D92" i="30"/>
  <c r="C92" i="30"/>
  <c r="E92" i="30" s="1"/>
  <c r="D142" i="30" s="1"/>
  <c r="B92" i="30"/>
  <c r="S91" i="30"/>
  <c r="R91" i="30"/>
  <c r="N91" i="30"/>
  <c r="M91" i="30"/>
  <c r="I91" i="30"/>
  <c r="H91" i="30"/>
  <c r="D91" i="30"/>
  <c r="C91" i="30"/>
  <c r="B91" i="30"/>
  <c r="S90" i="30"/>
  <c r="R90" i="30"/>
  <c r="N90" i="30"/>
  <c r="M90" i="30"/>
  <c r="I90" i="30"/>
  <c r="H90" i="30"/>
  <c r="D90" i="30"/>
  <c r="C90" i="30"/>
  <c r="B90" i="30"/>
  <c r="S89" i="30"/>
  <c r="R89" i="30"/>
  <c r="N89" i="30"/>
  <c r="M89" i="30"/>
  <c r="I89" i="30"/>
  <c r="J89" i="30" s="1"/>
  <c r="H89" i="30"/>
  <c r="D89" i="30"/>
  <c r="C89" i="30"/>
  <c r="B89" i="30"/>
  <c r="S88" i="30"/>
  <c r="R88" i="30"/>
  <c r="N88" i="30"/>
  <c r="M88" i="30"/>
  <c r="O88" i="30" s="1"/>
  <c r="I88" i="30"/>
  <c r="H88" i="30"/>
  <c r="D88" i="30"/>
  <c r="C88" i="30"/>
  <c r="B88" i="30"/>
  <c r="S87" i="30"/>
  <c r="R87" i="30"/>
  <c r="N87" i="30"/>
  <c r="M87" i="30"/>
  <c r="I87" i="30"/>
  <c r="J87" i="30" s="1"/>
  <c r="H87" i="30"/>
  <c r="D87" i="30"/>
  <c r="C87" i="30"/>
  <c r="B87" i="30"/>
  <c r="S86" i="30"/>
  <c r="R86" i="30"/>
  <c r="N86" i="30"/>
  <c r="M86" i="30"/>
  <c r="I86" i="30"/>
  <c r="H86" i="30"/>
  <c r="D86" i="30"/>
  <c r="C86" i="30"/>
  <c r="B86" i="30"/>
  <c r="S85" i="30"/>
  <c r="R85" i="30"/>
  <c r="N85" i="30"/>
  <c r="M85" i="30"/>
  <c r="I85" i="30"/>
  <c r="J85" i="30" s="1"/>
  <c r="H85" i="30"/>
  <c r="D85" i="30"/>
  <c r="C85" i="30"/>
  <c r="B85" i="30"/>
  <c r="S84" i="30"/>
  <c r="R84" i="30"/>
  <c r="N84" i="30"/>
  <c r="M84" i="30"/>
  <c r="I84" i="30"/>
  <c r="H84" i="30"/>
  <c r="D84" i="30"/>
  <c r="C84" i="30"/>
  <c r="B84" i="30"/>
  <c r="S83" i="30"/>
  <c r="R83" i="30"/>
  <c r="N83" i="30"/>
  <c r="M83" i="30"/>
  <c r="I83" i="30"/>
  <c r="H83" i="30"/>
  <c r="D83" i="30"/>
  <c r="C83" i="30"/>
  <c r="B83" i="30"/>
  <c r="S82" i="30"/>
  <c r="R82" i="30"/>
  <c r="N82" i="30"/>
  <c r="M82" i="30"/>
  <c r="I82" i="30"/>
  <c r="H82" i="30"/>
  <c r="D82" i="30"/>
  <c r="C82" i="30"/>
  <c r="B82" i="30"/>
  <c r="S81" i="30"/>
  <c r="R81" i="30"/>
  <c r="N81" i="30"/>
  <c r="M81" i="30"/>
  <c r="I81" i="30"/>
  <c r="J81" i="30" s="1"/>
  <c r="H81" i="30"/>
  <c r="D81" i="30"/>
  <c r="C81" i="30"/>
  <c r="B81" i="30"/>
  <c r="S80" i="30"/>
  <c r="R80" i="30"/>
  <c r="N80" i="30"/>
  <c r="M80" i="30"/>
  <c r="I80" i="30"/>
  <c r="H80" i="30"/>
  <c r="D80" i="30"/>
  <c r="C80" i="30"/>
  <c r="B80" i="30"/>
  <c r="S74" i="30"/>
  <c r="R74" i="30"/>
  <c r="N74" i="30"/>
  <c r="M74" i="30"/>
  <c r="I74" i="30"/>
  <c r="J74" i="30" s="1"/>
  <c r="H74" i="30"/>
  <c r="D74" i="30"/>
  <c r="C74" i="30"/>
  <c r="B74" i="30"/>
  <c r="S73" i="30"/>
  <c r="R73" i="30"/>
  <c r="N73" i="30"/>
  <c r="M73" i="30"/>
  <c r="I73" i="30"/>
  <c r="H73" i="30"/>
  <c r="D73" i="30"/>
  <c r="C73" i="30"/>
  <c r="B73" i="30"/>
  <c r="S72" i="30"/>
  <c r="R72" i="30"/>
  <c r="N72" i="30"/>
  <c r="M72" i="30"/>
  <c r="I72" i="30"/>
  <c r="H72" i="30"/>
  <c r="D72" i="30"/>
  <c r="E72" i="30" s="1"/>
  <c r="C72" i="30"/>
  <c r="B72" i="30"/>
  <c r="S71" i="30"/>
  <c r="R71" i="30"/>
  <c r="N71" i="30"/>
  <c r="M71" i="30"/>
  <c r="I71" i="30"/>
  <c r="H71" i="30"/>
  <c r="D71" i="30"/>
  <c r="C71" i="30"/>
  <c r="B71" i="30"/>
  <c r="S70" i="30"/>
  <c r="T70" i="30" s="1"/>
  <c r="R70" i="30"/>
  <c r="N70" i="30"/>
  <c r="M70" i="30"/>
  <c r="I70" i="30"/>
  <c r="J70" i="30" s="1"/>
  <c r="H70" i="30"/>
  <c r="D70" i="30"/>
  <c r="C70" i="30"/>
  <c r="B70" i="30"/>
  <c r="S69" i="30"/>
  <c r="R69" i="30"/>
  <c r="N69" i="30"/>
  <c r="M69" i="30"/>
  <c r="I69" i="30"/>
  <c r="H69" i="30"/>
  <c r="D69" i="30"/>
  <c r="C69" i="30"/>
  <c r="B69" i="30"/>
  <c r="S68" i="30"/>
  <c r="R68" i="30"/>
  <c r="N68" i="30"/>
  <c r="M68" i="30"/>
  <c r="I68" i="30"/>
  <c r="H68" i="30"/>
  <c r="D68" i="30"/>
  <c r="C68" i="30"/>
  <c r="B68" i="30"/>
  <c r="S67" i="30"/>
  <c r="R67" i="30"/>
  <c r="N67" i="30"/>
  <c r="M67" i="30"/>
  <c r="I67" i="30"/>
  <c r="H67" i="30"/>
  <c r="D67" i="30"/>
  <c r="C67" i="30"/>
  <c r="B67" i="30"/>
  <c r="S66" i="30"/>
  <c r="T66" i="30" s="1"/>
  <c r="R66" i="30"/>
  <c r="N66" i="30"/>
  <c r="M66" i="30"/>
  <c r="I66" i="30"/>
  <c r="J66" i="30" s="1"/>
  <c r="H66" i="30"/>
  <c r="D66" i="30"/>
  <c r="C66" i="30"/>
  <c r="B66" i="30"/>
  <c r="S65" i="30"/>
  <c r="R65" i="30"/>
  <c r="T65" i="30" s="1"/>
  <c r="N65" i="30"/>
  <c r="M65" i="30"/>
  <c r="I65" i="30"/>
  <c r="H65" i="30"/>
  <c r="D65" i="30"/>
  <c r="C65" i="30"/>
  <c r="B65" i="30"/>
  <c r="S64" i="30"/>
  <c r="R64" i="30"/>
  <c r="N64" i="30"/>
  <c r="M64" i="30"/>
  <c r="I64" i="30"/>
  <c r="H64" i="30"/>
  <c r="D64" i="30"/>
  <c r="E64" i="30" s="1"/>
  <c r="C64" i="30"/>
  <c r="B64" i="30"/>
  <c r="S63" i="30"/>
  <c r="R63" i="30"/>
  <c r="N63" i="30"/>
  <c r="M63" i="30"/>
  <c r="I63" i="30"/>
  <c r="H63" i="30"/>
  <c r="D63" i="30"/>
  <c r="C63" i="30"/>
  <c r="B63" i="30"/>
  <c r="S62" i="30"/>
  <c r="T62" i="30" s="1"/>
  <c r="R62" i="30"/>
  <c r="N62" i="30"/>
  <c r="M62" i="30"/>
  <c r="I62" i="30"/>
  <c r="J62" i="30" s="1"/>
  <c r="H62" i="30"/>
  <c r="D62" i="30"/>
  <c r="E62" i="30" s="1"/>
  <c r="C62" i="30"/>
  <c r="B62" i="30"/>
  <c r="S61" i="30"/>
  <c r="R61" i="30"/>
  <c r="N61" i="30"/>
  <c r="M61" i="30"/>
  <c r="I61" i="30"/>
  <c r="H61" i="30"/>
  <c r="D61" i="30"/>
  <c r="C61" i="30"/>
  <c r="B61" i="30"/>
  <c r="S60" i="30"/>
  <c r="R60" i="30"/>
  <c r="N60" i="30"/>
  <c r="M60" i="30"/>
  <c r="I60" i="30"/>
  <c r="H60" i="30"/>
  <c r="D60" i="30"/>
  <c r="C60" i="30"/>
  <c r="B60" i="30"/>
  <c r="S59" i="30"/>
  <c r="R59" i="30"/>
  <c r="N59" i="30"/>
  <c r="M59" i="30"/>
  <c r="I59" i="30"/>
  <c r="H59" i="30"/>
  <c r="D59" i="30"/>
  <c r="C59" i="30"/>
  <c r="B59" i="30"/>
  <c r="S58" i="30"/>
  <c r="R58" i="30"/>
  <c r="N58" i="30"/>
  <c r="M58" i="30"/>
  <c r="I58" i="30"/>
  <c r="H58" i="30"/>
  <c r="D58" i="30"/>
  <c r="C58" i="30"/>
  <c r="B58" i="30"/>
  <c r="S57" i="30"/>
  <c r="R57" i="30"/>
  <c r="T57" i="30" s="1"/>
  <c r="N57" i="30"/>
  <c r="M57" i="30"/>
  <c r="I57" i="30"/>
  <c r="H57" i="30"/>
  <c r="D57" i="30"/>
  <c r="C57" i="30"/>
  <c r="B57" i="30"/>
  <c r="S56" i="30"/>
  <c r="R56" i="30"/>
  <c r="N56" i="30"/>
  <c r="M56" i="30"/>
  <c r="I56" i="30"/>
  <c r="H56" i="30"/>
  <c r="D56" i="30"/>
  <c r="C56" i="30"/>
  <c r="B56" i="30"/>
  <c r="S55" i="30"/>
  <c r="R55" i="30"/>
  <c r="N55" i="30"/>
  <c r="M55" i="30"/>
  <c r="I55" i="30"/>
  <c r="H55" i="30"/>
  <c r="D55" i="30"/>
  <c r="C55" i="30"/>
  <c r="B55" i="30"/>
  <c r="S49" i="30"/>
  <c r="R49" i="30"/>
  <c r="N49" i="30"/>
  <c r="M49" i="30"/>
  <c r="I49" i="30"/>
  <c r="H49" i="30"/>
  <c r="D49" i="30"/>
  <c r="C49" i="30"/>
  <c r="E49" i="30" s="1"/>
  <c r="C124" i="30" s="1"/>
  <c r="B49" i="30"/>
  <c r="S48" i="30"/>
  <c r="R48" i="30"/>
  <c r="N48" i="30"/>
  <c r="M48" i="30"/>
  <c r="I48" i="30"/>
  <c r="H48" i="30"/>
  <c r="D48" i="30"/>
  <c r="C48" i="30"/>
  <c r="B48" i="30"/>
  <c r="S47" i="30"/>
  <c r="R47" i="30"/>
  <c r="N47" i="30"/>
  <c r="M47" i="30"/>
  <c r="O47" i="30" s="1"/>
  <c r="I47" i="30"/>
  <c r="H47" i="30"/>
  <c r="D47" i="30"/>
  <c r="C47" i="30"/>
  <c r="E47" i="30" s="1"/>
  <c r="C122" i="30" s="1"/>
  <c r="B47" i="30"/>
  <c r="S46" i="30"/>
  <c r="R46" i="30"/>
  <c r="N46" i="30"/>
  <c r="M46" i="30"/>
  <c r="I46" i="30"/>
  <c r="H46" i="30"/>
  <c r="D46" i="30"/>
  <c r="C46" i="30"/>
  <c r="B46" i="30"/>
  <c r="S45" i="30"/>
  <c r="R45" i="30"/>
  <c r="N45" i="30"/>
  <c r="M45" i="30"/>
  <c r="I45" i="30"/>
  <c r="H45" i="30"/>
  <c r="D45" i="30"/>
  <c r="C45" i="30"/>
  <c r="B45" i="30"/>
  <c r="S44" i="30"/>
  <c r="R44" i="30"/>
  <c r="N44" i="30"/>
  <c r="M44" i="30"/>
  <c r="I44" i="30"/>
  <c r="J44" i="30" s="1"/>
  <c r="H44" i="30"/>
  <c r="D44" i="30"/>
  <c r="C44" i="30"/>
  <c r="B44" i="30"/>
  <c r="S43" i="30"/>
  <c r="R43" i="30"/>
  <c r="N43" i="30"/>
  <c r="M43" i="30"/>
  <c r="I43" i="30"/>
  <c r="H43" i="30"/>
  <c r="D43" i="30"/>
  <c r="C43" i="30"/>
  <c r="E43" i="30" s="1"/>
  <c r="C118" i="30" s="1"/>
  <c r="B43" i="30"/>
  <c r="S42" i="30"/>
  <c r="R42" i="30"/>
  <c r="N42" i="30"/>
  <c r="M42" i="30"/>
  <c r="I42" i="30"/>
  <c r="H42" i="30"/>
  <c r="D42" i="30"/>
  <c r="C42" i="30"/>
  <c r="B42" i="30"/>
  <c r="S41" i="30"/>
  <c r="R41" i="30"/>
  <c r="N41" i="30"/>
  <c r="M41" i="30"/>
  <c r="I41" i="30"/>
  <c r="H41" i="30"/>
  <c r="D41" i="30"/>
  <c r="C41" i="30"/>
  <c r="E41" i="30" s="1"/>
  <c r="C116" i="30" s="1"/>
  <c r="B41" i="30"/>
  <c r="S40" i="30"/>
  <c r="R40" i="30"/>
  <c r="N40" i="30"/>
  <c r="M40" i="30"/>
  <c r="I40" i="30"/>
  <c r="H40" i="30"/>
  <c r="D40" i="30"/>
  <c r="C40" i="30"/>
  <c r="B40" i="30"/>
  <c r="S39" i="30"/>
  <c r="R39" i="30"/>
  <c r="N39" i="30"/>
  <c r="M39" i="30"/>
  <c r="I39" i="30"/>
  <c r="H39" i="30"/>
  <c r="D39" i="30"/>
  <c r="C39" i="30"/>
  <c r="B39" i="30"/>
  <c r="S38" i="30"/>
  <c r="R38" i="30"/>
  <c r="N38" i="30"/>
  <c r="M38" i="30"/>
  <c r="I38" i="30"/>
  <c r="H38" i="30"/>
  <c r="D38" i="30"/>
  <c r="C38" i="30"/>
  <c r="B38" i="30"/>
  <c r="S37" i="30"/>
  <c r="R37" i="30"/>
  <c r="N37" i="30"/>
  <c r="M37" i="30"/>
  <c r="I37" i="30"/>
  <c r="H37" i="30"/>
  <c r="D37" i="30"/>
  <c r="C37" i="30"/>
  <c r="B37" i="30"/>
  <c r="S36" i="30"/>
  <c r="R36" i="30"/>
  <c r="N36" i="30"/>
  <c r="M36" i="30"/>
  <c r="I36" i="30"/>
  <c r="J36" i="30" s="1"/>
  <c r="H36" i="30"/>
  <c r="D36" i="30"/>
  <c r="C36" i="30"/>
  <c r="B36" i="30"/>
  <c r="S35" i="30"/>
  <c r="R35" i="30"/>
  <c r="N35" i="30"/>
  <c r="M35" i="30"/>
  <c r="I35" i="30"/>
  <c r="H35" i="30"/>
  <c r="D35" i="30"/>
  <c r="C35" i="30"/>
  <c r="B35" i="30"/>
  <c r="S34" i="30"/>
  <c r="R34" i="30"/>
  <c r="N34" i="30"/>
  <c r="M34" i="30"/>
  <c r="I34" i="30"/>
  <c r="H34" i="30"/>
  <c r="D34" i="30"/>
  <c r="C34" i="30"/>
  <c r="B34" i="30"/>
  <c r="S33" i="30"/>
  <c r="R33" i="30"/>
  <c r="N33" i="30"/>
  <c r="M33" i="30"/>
  <c r="I33" i="30"/>
  <c r="H33" i="30"/>
  <c r="D33" i="30"/>
  <c r="C33" i="30"/>
  <c r="E33" i="30" s="1"/>
  <c r="C108" i="30" s="1"/>
  <c r="B33" i="30"/>
  <c r="S32" i="30"/>
  <c r="R32" i="30"/>
  <c r="N32" i="30"/>
  <c r="M32" i="30"/>
  <c r="I32" i="30"/>
  <c r="H32" i="30"/>
  <c r="D32" i="30"/>
  <c r="C32" i="30"/>
  <c r="B32" i="30"/>
  <c r="S31" i="30"/>
  <c r="R31" i="30"/>
  <c r="N31" i="30"/>
  <c r="M31" i="30"/>
  <c r="I31" i="30"/>
  <c r="H31" i="30"/>
  <c r="D31" i="30"/>
  <c r="C31" i="30"/>
  <c r="B31" i="30"/>
  <c r="S30" i="30"/>
  <c r="R30" i="30"/>
  <c r="N30" i="30"/>
  <c r="M30" i="30"/>
  <c r="I30" i="30"/>
  <c r="H30" i="30"/>
  <c r="D30" i="30"/>
  <c r="C30" i="30"/>
  <c r="B30" i="30"/>
  <c r="O57" i="30" l="1"/>
  <c r="O65" i="30"/>
  <c r="E70" i="30"/>
  <c r="T97" i="30"/>
  <c r="N155" i="30"/>
  <c r="O110" i="30"/>
  <c r="O114" i="30"/>
  <c r="J116" i="30"/>
  <c r="J135" i="30"/>
  <c r="J143" i="30"/>
  <c r="J147" i="30"/>
  <c r="D155" i="30"/>
  <c r="J33" i="30"/>
  <c r="T33" i="30"/>
  <c r="J37" i="30"/>
  <c r="T37" i="30"/>
  <c r="J38" i="30"/>
  <c r="J46" i="30"/>
  <c r="E56" i="30"/>
  <c r="E60" i="30"/>
  <c r="C135" i="30" s="1"/>
  <c r="O60" i="30"/>
  <c r="J73" i="30"/>
  <c r="T73" i="30"/>
  <c r="O81" i="30"/>
  <c r="J82" i="30"/>
  <c r="T82" i="30"/>
  <c r="J83" i="30"/>
  <c r="O85" i="30"/>
  <c r="J86" i="30"/>
  <c r="T86" i="30"/>
  <c r="O89" i="30"/>
  <c r="J91" i="30"/>
  <c r="O93" i="30"/>
  <c r="J95" i="30"/>
  <c r="J138" i="30"/>
  <c r="J45" i="30"/>
  <c r="T45" i="30"/>
  <c r="J57" i="30"/>
  <c r="J90" i="30"/>
  <c r="T90" i="30"/>
  <c r="J94" i="30"/>
  <c r="T94" i="30"/>
  <c r="J97" i="30"/>
  <c r="O106" i="30"/>
  <c r="O118" i="30"/>
  <c r="J124" i="30"/>
  <c r="O155" i="30"/>
  <c r="AW8" i="31" s="1"/>
  <c r="O36" i="30"/>
  <c r="T41" i="30"/>
  <c r="E31" i="30"/>
  <c r="C106" i="30" s="1"/>
  <c r="O31" i="30"/>
  <c r="T36" i="30"/>
  <c r="O44" i="30"/>
  <c r="J49" i="30"/>
  <c r="T49" i="30"/>
  <c r="J58" i="30"/>
  <c r="T58" i="30"/>
  <c r="J59" i="30"/>
  <c r="J65" i="30"/>
  <c r="E68" i="30"/>
  <c r="C143" i="30" s="1"/>
  <c r="O68" i="30"/>
  <c r="O97" i="30"/>
  <c r="J98" i="30"/>
  <c r="T98" i="30"/>
  <c r="J99" i="30"/>
  <c r="O112" i="30"/>
  <c r="O120" i="30"/>
  <c r="J130" i="30"/>
  <c r="J137" i="30"/>
  <c r="J145" i="30"/>
  <c r="J41" i="30"/>
  <c r="J30" i="30"/>
  <c r="F159" i="30" s="1" a="1"/>
  <c r="F159" i="30" s="1"/>
  <c r="AR8" i="31" s="1"/>
  <c r="E35" i="30"/>
  <c r="C110" i="30" s="1"/>
  <c r="E39" i="30"/>
  <c r="C114" i="30" s="1"/>
  <c r="O39" i="30"/>
  <c r="T44" i="30"/>
  <c r="J67" i="30"/>
  <c r="O80" i="30"/>
  <c r="O84" i="30"/>
  <c r="T89" i="30"/>
  <c r="T93" i="30"/>
  <c r="O137" i="30"/>
  <c r="O141" i="30"/>
  <c r="O149" i="30"/>
  <c r="G155" i="30"/>
  <c r="AS8" i="31" s="1"/>
  <c r="H155" i="30"/>
  <c r="AU8" i="31" s="1"/>
  <c r="A155" i="30"/>
  <c r="AE8" i="31" s="1"/>
  <c r="AK8" i="31"/>
  <c r="C155" i="30"/>
  <c r="AI8" i="31" s="1"/>
  <c r="AM8" i="31"/>
  <c r="T30" i="30"/>
  <c r="G159" i="30" s="1" a="1"/>
  <c r="G159" i="30" s="1"/>
  <c r="AT8" i="31" s="1"/>
  <c r="O32" i="30"/>
  <c r="O34" i="30"/>
  <c r="E37" i="30"/>
  <c r="C112" i="30" s="1"/>
  <c r="T38" i="30"/>
  <c r="O40" i="30"/>
  <c r="O42" i="30"/>
  <c r="E45" i="30"/>
  <c r="C120" i="30" s="1"/>
  <c r="T46" i="30"/>
  <c r="O48" i="30"/>
  <c r="O55" i="30"/>
  <c r="E58" i="30"/>
  <c r="C133" i="30" s="1"/>
  <c r="T59" i="30"/>
  <c r="O61" i="30"/>
  <c r="O63" i="30"/>
  <c r="E66" i="30"/>
  <c r="C141" i="30" s="1"/>
  <c r="T67" i="30"/>
  <c r="O69" i="30"/>
  <c r="O71" i="30"/>
  <c r="O74" i="30"/>
  <c r="J80" i="30"/>
  <c r="T80" i="30"/>
  <c r="O82" i="30"/>
  <c r="O87" i="30"/>
  <c r="J88" i="30"/>
  <c r="T88" i="30"/>
  <c r="E90" i="30"/>
  <c r="D140" i="30" s="1"/>
  <c r="O90" i="30"/>
  <c r="T91" i="30"/>
  <c r="O95" i="30"/>
  <c r="J96" i="30"/>
  <c r="T96" i="30"/>
  <c r="E98" i="30"/>
  <c r="D148" i="30" s="1"/>
  <c r="O98" i="30"/>
  <c r="T99" i="30"/>
  <c r="O108" i="30"/>
  <c r="J112" i="30"/>
  <c r="O131" i="30"/>
  <c r="O132" i="30"/>
  <c r="O135" i="30"/>
  <c r="O138" i="30"/>
  <c r="O145" i="30"/>
  <c r="J149" i="30"/>
  <c r="O30" i="30"/>
  <c r="D159" i="30" s="1" a="1"/>
  <c r="D159" i="30" s="1"/>
  <c r="AL8" i="31" s="1"/>
  <c r="J31" i="30"/>
  <c r="T31" i="30"/>
  <c r="J32" i="30"/>
  <c r="J34" i="30"/>
  <c r="E36" i="30"/>
  <c r="C111" i="30" s="1"/>
  <c r="O38" i="30"/>
  <c r="J39" i="30"/>
  <c r="T39" i="30"/>
  <c r="J40" i="30"/>
  <c r="J42" i="30"/>
  <c r="E44" i="30"/>
  <c r="C119" i="30" s="1"/>
  <c r="O46" i="30"/>
  <c r="J47" i="30"/>
  <c r="T47" i="30"/>
  <c r="J48" i="30"/>
  <c r="J55" i="30"/>
  <c r="E57" i="30"/>
  <c r="O59" i="30"/>
  <c r="J60" i="30"/>
  <c r="T60" i="30"/>
  <c r="J61" i="30"/>
  <c r="J63" i="30"/>
  <c r="E65" i="30"/>
  <c r="D115" i="30" s="1"/>
  <c r="O67" i="30"/>
  <c r="J68" i="30"/>
  <c r="T68" i="30"/>
  <c r="J69" i="30"/>
  <c r="J71" i="30"/>
  <c r="E73" i="30"/>
  <c r="O73" i="30"/>
  <c r="O83" i="30"/>
  <c r="J84" i="30"/>
  <c r="T84" i="30"/>
  <c r="O86" i="30"/>
  <c r="O91" i="30"/>
  <c r="J92" i="30"/>
  <c r="T92" i="30"/>
  <c r="E94" i="30"/>
  <c r="D144" i="30" s="1"/>
  <c r="O94" i="30"/>
  <c r="T95" i="30"/>
  <c r="O99" i="30"/>
  <c r="J107" i="30"/>
  <c r="J108" i="30"/>
  <c r="J114" i="30"/>
  <c r="O116" i="30"/>
  <c r="O119" i="30"/>
  <c r="O122" i="30"/>
  <c r="O130" i="30"/>
  <c r="O139" i="30"/>
  <c r="O140" i="30"/>
  <c r="O143" i="30"/>
  <c r="D114" i="30"/>
  <c r="C139" i="30"/>
  <c r="C145" i="30"/>
  <c r="D120" i="30"/>
  <c r="E38" i="30"/>
  <c r="C113" i="30" s="1"/>
  <c r="O41" i="30"/>
  <c r="E59" i="30"/>
  <c r="D109" i="30" s="1"/>
  <c r="O62" i="30"/>
  <c r="T74" i="30"/>
  <c r="E80" i="30"/>
  <c r="D130" i="30" s="1"/>
  <c r="T83" i="30"/>
  <c r="E84" i="30"/>
  <c r="D134" i="30" s="1"/>
  <c r="T87" i="30"/>
  <c r="E88" i="30"/>
  <c r="D138" i="30" s="1"/>
  <c r="J139" i="30"/>
  <c r="D106" i="30"/>
  <c r="C131" i="30"/>
  <c r="C137" i="30"/>
  <c r="D112" i="30"/>
  <c r="D122" i="30"/>
  <c r="E122" i="30" s="1"/>
  <c r="C147" i="30"/>
  <c r="E30" i="30"/>
  <c r="C105" i="30" s="1"/>
  <c r="O33" i="30"/>
  <c r="E46" i="30"/>
  <c r="C121" i="30" s="1"/>
  <c r="O49" i="30"/>
  <c r="E67" i="30"/>
  <c r="D117" i="30" s="1"/>
  <c r="O70" i="30"/>
  <c r="T81" i="30"/>
  <c r="E82" i="30"/>
  <c r="D132" i="30" s="1"/>
  <c r="T85" i="30"/>
  <c r="E86" i="30"/>
  <c r="D136" i="30" s="1"/>
  <c r="J131" i="30"/>
  <c r="J109" i="30"/>
  <c r="J115" i="30"/>
  <c r="J120" i="30"/>
  <c r="J133" i="30"/>
  <c r="J141" i="30"/>
  <c r="J146" i="30"/>
  <c r="E34" i="30"/>
  <c r="C109" i="30" s="1"/>
  <c r="T34" i="30"/>
  <c r="J35" i="30"/>
  <c r="T35" i="30"/>
  <c r="O37" i="30"/>
  <c r="E42" i="30"/>
  <c r="C117" i="30" s="1"/>
  <c r="T42" i="30"/>
  <c r="J43" i="30"/>
  <c r="T43" i="30"/>
  <c r="O45" i="30"/>
  <c r="E55" i="30"/>
  <c r="D105" i="30" s="1"/>
  <c r="T55" i="30"/>
  <c r="J56" i="30"/>
  <c r="T56" i="30"/>
  <c r="O58" i="30"/>
  <c r="E63" i="30"/>
  <c r="D113" i="30" s="1"/>
  <c r="T63" i="30"/>
  <c r="J64" i="30"/>
  <c r="T64" i="30"/>
  <c r="O66" i="30"/>
  <c r="E71" i="30"/>
  <c r="D121" i="30" s="1"/>
  <c r="E121" i="30" s="1"/>
  <c r="T71" i="30"/>
  <c r="J72" i="30"/>
  <c r="T72" i="30"/>
  <c r="J106" i="30"/>
  <c r="O109" i="30"/>
  <c r="O115" i="30"/>
  <c r="J117" i="30"/>
  <c r="J123" i="30"/>
  <c r="J136" i="30"/>
  <c r="O146" i="30"/>
  <c r="E155" i="30"/>
  <c r="AO8" i="31" s="1"/>
  <c r="E32" i="30"/>
  <c r="C107" i="30" s="1"/>
  <c r="T32" i="30"/>
  <c r="O35" i="30"/>
  <c r="E40" i="30"/>
  <c r="C115" i="30" s="1"/>
  <c r="T40" i="30"/>
  <c r="C159" i="30" s="1" a="1"/>
  <c r="C159" i="30" s="1"/>
  <c r="AJ8" i="31" s="1"/>
  <c r="O43" i="30"/>
  <c r="E48" i="30"/>
  <c r="C123" i="30" s="1"/>
  <c r="T48" i="30"/>
  <c r="O56" i="30"/>
  <c r="E61" i="30"/>
  <c r="D111" i="30" s="1"/>
  <c r="E111" i="30" s="1"/>
  <c r="T61" i="30"/>
  <c r="O64" i="30"/>
  <c r="E69" i="30"/>
  <c r="C144" i="30" s="1"/>
  <c r="E144" i="30" s="1"/>
  <c r="T69" i="30"/>
  <c r="O72" i="30"/>
  <c r="O111" i="30"/>
  <c r="O117" i="30"/>
  <c r="O123" i="30"/>
  <c r="O136" i="30"/>
  <c r="O144" i="30"/>
  <c r="O148" i="30"/>
  <c r="D107" i="30"/>
  <c r="C132" i="30"/>
  <c r="C136" i="30"/>
  <c r="C140" i="30"/>
  <c r="E140" i="30" s="1"/>
  <c r="D123" i="30"/>
  <c r="C148" i="30"/>
  <c r="E148" i="30" s="1"/>
  <c r="E120" i="30"/>
  <c r="D110" i="30"/>
  <c r="D118" i="30"/>
  <c r="E118" i="30" s="1"/>
  <c r="D119" i="30"/>
  <c r="E119" i="30" s="1"/>
  <c r="E74" i="30"/>
  <c r="E81" i="30"/>
  <c r="D131" i="30" s="1"/>
  <c r="E83" i="30"/>
  <c r="D133" i="30" s="1"/>
  <c r="E85" i="30"/>
  <c r="D135" i="30" s="1"/>
  <c r="E135" i="30" s="1"/>
  <c r="E87" i="30"/>
  <c r="D137" i="30" s="1"/>
  <c r="E89" i="30"/>
  <c r="D139" i="30" s="1"/>
  <c r="E91" i="30"/>
  <c r="D141" i="30" s="1"/>
  <c r="E93" i="30"/>
  <c r="D143" i="30" s="1"/>
  <c r="E143" i="30" s="1"/>
  <c r="E95" i="30"/>
  <c r="D145" i="30" s="1"/>
  <c r="E97" i="30"/>
  <c r="D147" i="30" s="1"/>
  <c r="E99" i="30"/>
  <c r="D149" i="30" s="1"/>
  <c r="J105" i="30"/>
  <c r="J113" i="30"/>
  <c r="J121" i="30"/>
  <c r="J134" i="30"/>
  <c r="J142" i="30"/>
  <c r="J144" i="30"/>
  <c r="F155" i="30"/>
  <c r="AQ8" i="31" s="1"/>
  <c r="B155" i="30"/>
  <c r="AG8" i="31" s="1"/>
  <c r="O105" i="30"/>
  <c r="O159" i="30" s="1" a="1"/>
  <c r="O159" i="30" s="1"/>
  <c r="AX8" i="31" s="1"/>
  <c r="J111" i="30"/>
  <c r="O113" i="30"/>
  <c r="J119" i="30"/>
  <c r="O121" i="30"/>
  <c r="J132" i="30"/>
  <c r="O134" i="30"/>
  <c r="J140" i="30"/>
  <c r="O142" i="30"/>
  <c r="J148" i="30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30" i="1"/>
  <c r="B30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05" i="1"/>
  <c r="HZ5" i="32"/>
  <c r="AX5" i="32"/>
  <c r="DO5" i="32"/>
  <c r="CR5" i="32"/>
  <c r="OE5" i="32"/>
  <c r="BU5" i="32"/>
  <c r="QV5" i="32"/>
  <c r="JP5" i="32"/>
  <c r="CN5" i="32"/>
  <c r="MG5" i="32"/>
  <c r="HV5" i="32"/>
  <c r="JT5" i="32"/>
  <c r="IS5" i="32"/>
  <c r="BQ5" i="32"/>
  <c r="MK5" i="32"/>
  <c r="PY5" i="32"/>
  <c r="AA5" i="32"/>
  <c r="QR5" i="32"/>
  <c r="AT5" i="32"/>
  <c r="EH5" i="32"/>
  <c r="GB5" i="32"/>
  <c r="OA5" i="32"/>
  <c r="FI5" i="32"/>
  <c r="FE5" i="32"/>
  <c r="W5" i="32"/>
  <c r="DK5" i="32"/>
  <c r="GF5" i="32"/>
  <c r="KQ5" i="32"/>
  <c r="EL5" i="32"/>
  <c r="OX5" i="32"/>
  <c r="LJ5" i="32"/>
  <c r="HC5" i="32"/>
  <c r="IW5" i="32"/>
  <c r="GY5" i="32"/>
  <c r="ND5" i="32"/>
  <c r="LN5" i="32"/>
  <c r="PB5" i="32"/>
  <c r="NH5" i="32"/>
  <c r="H5" i="32"/>
  <c r="KM5" i="32"/>
  <c r="PU5" i="32"/>
  <c r="E110" i="30" l="1"/>
  <c r="J159" i="30" a="1"/>
  <c r="J159" i="30" s="1"/>
  <c r="BB8" i="31" s="1"/>
  <c r="D116" i="30"/>
  <c r="E116" i="30" s="1"/>
  <c r="C130" i="30"/>
  <c r="E130" i="30" s="1"/>
  <c r="E159" i="30" a="1"/>
  <c r="E159" i="30" s="1"/>
  <c r="AP8" i="31" s="1"/>
  <c r="E147" i="30"/>
  <c r="E132" i="30"/>
  <c r="E113" i="30"/>
  <c r="B159" i="30" a="1"/>
  <c r="B159" i="30" s="1"/>
  <c r="AH8" i="31" s="1"/>
  <c r="H159" i="30" a="1"/>
  <c r="H159" i="30" s="1"/>
  <c r="AV8" i="31" s="1"/>
  <c r="N159" i="30" a="1"/>
  <c r="N159" i="30" s="1"/>
  <c r="AN8" i="31" s="1"/>
  <c r="E107" i="30"/>
  <c r="A159" i="30" a="1"/>
  <c r="A159" i="30" s="1"/>
  <c r="AF8" i="31" s="1"/>
  <c r="E117" i="30"/>
  <c r="O155" i="1"/>
  <c r="W8" i="31" s="1"/>
  <c r="N155" i="1"/>
  <c r="M8" i="31" s="1"/>
  <c r="E136" i="30"/>
  <c r="E114" i="30"/>
  <c r="C146" i="30"/>
  <c r="E146" i="30" s="1"/>
  <c r="C134" i="30"/>
  <c r="E134" i="30" s="1"/>
  <c r="E106" i="30"/>
  <c r="E105" i="30"/>
  <c r="E139" i="30"/>
  <c r="E145" i="30"/>
  <c r="E137" i="30"/>
  <c r="D108" i="30"/>
  <c r="E108" i="30" s="1"/>
  <c r="C142" i="30"/>
  <c r="E142" i="30" s="1"/>
  <c r="C138" i="30"/>
  <c r="E138" i="30" s="1"/>
  <c r="E123" i="30"/>
  <c r="E109" i="30"/>
  <c r="E112" i="30"/>
  <c r="K155" i="30"/>
  <c r="E131" i="30"/>
  <c r="J155" i="30"/>
  <c r="BA8" i="31" s="1"/>
  <c r="E115" i="30"/>
  <c r="E141" i="30"/>
  <c r="E133" i="30"/>
  <c r="C149" i="30"/>
  <c r="E149" i="30" s="1"/>
  <c r="D124" i="30"/>
  <c r="E124" i="30" s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55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8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FW5" i="32"/>
  <c r="GJ5" i="32"/>
  <c r="CV5" i="32"/>
  <c r="AE5" i="32"/>
  <c r="MO5" i="32"/>
  <c r="EZ5" i="32"/>
  <c r="ON5" i="32"/>
  <c r="JX5" i="32"/>
  <c r="EU5" i="32"/>
  <c r="KU5" i="32"/>
  <c r="ID5" i="32"/>
  <c r="AO5" i="32"/>
  <c r="FM5" i="32"/>
  <c r="HQ5" i="32"/>
  <c r="IN5" i="32"/>
  <c r="QC5" i="32"/>
  <c r="HG5" i="32"/>
  <c r="KC5" i="32"/>
  <c r="LR5" i="32"/>
  <c r="QM5" i="32"/>
  <c r="DS5" i="32"/>
  <c r="PP5" i="32"/>
  <c r="JK5" i="32"/>
  <c r="GT5" i="32"/>
  <c r="M5" i="32"/>
  <c r="DF5" i="32"/>
  <c r="NQ5" i="32"/>
  <c r="MY5" i="32"/>
  <c r="FR5" i="32"/>
  <c r="MT5" i="32"/>
  <c r="BY5" i="32"/>
  <c r="DX5" i="32"/>
  <c r="GO5" i="32"/>
  <c r="CD5" i="32"/>
  <c r="OI5" i="32"/>
  <c r="PF5" i="32"/>
  <c r="JA5" i="32"/>
  <c r="LE5" i="32"/>
  <c r="R5" i="32"/>
  <c r="QH5" i="32"/>
  <c r="BB5" i="32"/>
  <c r="KZ5" i="32"/>
  <c r="NL5" i="32"/>
  <c r="EC5" i="32"/>
  <c r="JF5" i="32"/>
  <c r="EP5" i="32"/>
  <c r="AJ5" i="32"/>
  <c r="BL5" i="32"/>
  <c r="MB5" i="32"/>
  <c r="HL5" i="32"/>
  <c r="PK5" i="32"/>
  <c r="KH5" i="32"/>
  <c r="DA5" i="32"/>
  <c r="LW5" i="32"/>
  <c r="NV5" i="32"/>
  <c r="BG5" i="32"/>
  <c r="II5" i="32"/>
  <c r="CI5" i="32"/>
  <c r="OS5" i="32"/>
  <c r="I159" i="30" l="1" a="1"/>
  <c r="I159" i="30" s="1"/>
  <c r="AZ8" i="31" s="1"/>
  <c r="C155" i="1"/>
  <c r="G155" i="1"/>
  <c r="H155" i="1"/>
  <c r="D155" i="1"/>
  <c r="I155" i="30"/>
  <c r="L155" i="30" s="1"/>
  <c r="TG4" i="28"/>
  <c r="TF4" i="28"/>
  <c r="TE4" i="28"/>
  <c r="TD4" i="28"/>
  <c r="TC4" i="28"/>
  <c r="TB4" i="28"/>
  <c r="TA4" i="28"/>
  <c r="SZ4" i="28"/>
  <c r="SY4" i="28"/>
  <c r="SX4" i="28"/>
  <c r="SW4" i="28"/>
  <c r="SV4" i="28"/>
  <c r="SU4" i="28"/>
  <c r="ST4" i="28"/>
  <c r="SS4" i="28"/>
  <c r="SR4" i="28"/>
  <c r="SQ4" i="28"/>
  <c r="SP4" i="28"/>
  <c r="SO4" i="28"/>
  <c r="SN4" i="28"/>
  <c r="SM4" i="28"/>
  <c r="SL4" i="28"/>
  <c r="SK4" i="28"/>
  <c r="SJ4" i="28"/>
  <c r="SI4" i="28"/>
  <c r="SH4" i="28"/>
  <c r="SG4" i="28"/>
  <c r="SF4" i="28"/>
  <c r="SE4" i="28"/>
  <c r="SD4" i="28"/>
  <c r="SC4" i="28"/>
  <c r="SB4" i="28"/>
  <c r="SA4" i="28"/>
  <c r="RZ4" i="28"/>
  <c r="RY4" i="28"/>
  <c r="RX4" i="28"/>
  <c r="RW4" i="28"/>
  <c r="RV4" i="28"/>
  <c r="RU4" i="28"/>
  <c r="RT4" i="28"/>
  <c r="RS4" i="28"/>
  <c r="RR4" i="28"/>
  <c r="RQ4" i="28"/>
  <c r="RP4" i="28"/>
  <c r="RO4" i="28"/>
  <c r="RN4" i="28"/>
  <c r="RM4" i="28"/>
  <c r="RL4" i="28"/>
  <c r="RK4" i="28"/>
  <c r="RJ4" i="28"/>
  <c r="RI4" i="28"/>
  <c r="RH4" i="28"/>
  <c r="RG4" i="28"/>
  <c r="RF4" i="28"/>
  <c r="RE4" i="28"/>
  <c r="RD4" i="28"/>
  <c r="RC4" i="28"/>
  <c r="RB4" i="28"/>
  <c r="RA4" i="28"/>
  <c r="QZ4" i="28"/>
  <c r="QY4" i="28"/>
  <c r="QX4" i="28"/>
  <c r="QW4" i="28"/>
  <c r="QV4" i="28"/>
  <c r="QU4" i="28"/>
  <c r="QT4" i="28"/>
  <c r="QS4" i="28"/>
  <c r="QR4" i="28"/>
  <c r="QQ4" i="28"/>
  <c r="QP4" i="28"/>
  <c r="QO4" i="28"/>
  <c r="QN4" i="28"/>
  <c r="QM4" i="28"/>
  <c r="QL4" i="28"/>
  <c r="QK4" i="28"/>
  <c r="QJ4" i="28"/>
  <c r="QI4" i="28"/>
  <c r="QH4" i="28"/>
  <c r="QG4" i="28"/>
  <c r="QF4" i="28"/>
  <c r="QE4" i="28"/>
  <c r="QD4" i="28"/>
  <c r="QC4" i="28"/>
  <c r="QB4" i="28"/>
  <c r="QA4" i="28"/>
  <c r="PZ4" i="28"/>
  <c r="PY4" i="28"/>
  <c r="PX4" i="28"/>
  <c r="PW4" i="28"/>
  <c r="PV4" i="28"/>
  <c r="PU4" i="28"/>
  <c r="PT4" i="28"/>
  <c r="PS4" i="28"/>
  <c r="PR4" i="28"/>
  <c r="PQ4" i="28"/>
  <c r="PP4" i="28"/>
  <c r="PO4" i="28"/>
  <c r="PN4" i="28"/>
  <c r="PM4" i="28"/>
  <c r="PL4" i="28"/>
  <c r="PK4" i="28"/>
  <c r="PJ4" i="28"/>
  <c r="PI4" i="28"/>
  <c r="PH4" i="28"/>
  <c r="PG4" i="28"/>
  <c r="PF4" i="28"/>
  <c r="PE4" i="28"/>
  <c r="PD4" i="28"/>
  <c r="PC4" i="28"/>
  <c r="PB4" i="28"/>
  <c r="PA4" i="28"/>
  <c r="OZ4" i="28"/>
  <c r="OY4" i="28"/>
  <c r="OX4" i="28"/>
  <c r="OW4" i="28"/>
  <c r="OV4" i="28"/>
  <c r="OU4" i="28"/>
  <c r="OT4" i="28"/>
  <c r="OS4" i="28"/>
  <c r="OR4" i="28"/>
  <c r="OQ4" i="28"/>
  <c r="OP4" i="28"/>
  <c r="OO4" i="28"/>
  <c r="ON4" i="28"/>
  <c r="OM4" i="28"/>
  <c r="OL4" i="28"/>
  <c r="OK4" i="28"/>
  <c r="OJ4" i="28"/>
  <c r="OI4" i="28"/>
  <c r="OH4" i="28"/>
  <c r="OG4" i="28"/>
  <c r="OF4" i="28"/>
  <c r="OE4" i="28"/>
  <c r="OD4" i="28"/>
  <c r="OC4" i="28"/>
  <c r="OB4" i="28"/>
  <c r="OA4" i="28"/>
  <c r="NZ4" i="28"/>
  <c r="NY4" i="28"/>
  <c r="NX4" i="28"/>
  <c r="NW4" i="28"/>
  <c r="NV4" i="28"/>
  <c r="NU4" i="28"/>
  <c r="NT4" i="28"/>
  <c r="NS4" i="28"/>
  <c r="NR4" i="28"/>
  <c r="NQ4" i="28"/>
  <c r="NP4" i="28"/>
  <c r="NO4" i="28"/>
  <c r="NN4" i="28"/>
  <c r="NM4" i="28"/>
  <c r="NL4" i="28"/>
  <c r="NK4" i="28"/>
  <c r="NJ4" i="28"/>
  <c r="NI4" i="28"/>
  <c r="NH4" i="28"/>
  <c r="NG4" i="28"/>
  <c r="NF4" i="28"/>
  <c r="NE4" i="28"/>
  <c r="ND4" i="28"/>
  <c r="NC4" i="28"/>
  <c r="NB4" i="28"/>
  <c r="NA4" i="28"/>
  <c r="MZ4" i="28"/>
  <c r="MY4" i="28"/>
  <c r="MX4" i="28"/>
  <c r="MW4" i="28"/>
  <c r="MV4" i="28"/>
  <c r="MU4" i="28"/>
  <c r="MT4" i="28"/>
  <c r="MS4" i="28"/>
  <c r="MR4" i="28"/>
  <c r="MQ4" i="28"/>
  <c r="MP4" i="28"/>
  <c r="MO4" i="28"/>
  <c r="MN4" i="28"/>
  <c r="MM4" i="28"/>
  <c r="ML4" i="28"/>
  <c r="MK4" i="28"/>
  <c r="MJ4" i="28"/>
  <c r="MI4" i="28"/>
  <c r="MH4" i="28"/>
  <c r="MG4" i="28"/>
  <c r="MF4" i="28"/>
  <c r="ME4" i="28"/>
  <c r="MD4" i="28"/>
  <c r="MC4" i="28"/>
  <c r="MB4" i="28"/>
  <c r="MA4" i="28"/>
  <c r="LZ4" i="28"/>
  <c r="LY4" i="28"/>
  <c r="LX4" i="28"/>
  <c r="LW4" i="28"/>
  <c r="LV4" i="28"/>
  <c r="LU4" i="28"/>
  <c r="LT4" i="28"/>
  <c r="LS4" i="28"/>
  <c r="LR4" i="28"/>
  <c r="LQ4" i="28"/>
  <c r="LP4" i="28"/>
  <c r="LO4" i="28"/>
  <c r="LN4" i="28"/>
  <c r="LM4" i="28"/>
  <c r="LL4" i="28"/>
  <c r="LK4" i="28"/>
  <c r="LJ4" i="28"/>
  <c r="LI4" i="28"/>
  <c r="LH4" i="28"/>
  <c r="LG4" i="28"/>
  <c r="LF4" i="28"/>
  <c r="LE4" i="28"/>
  <c r="LD4" i="28"/>
  <c r="LC4" i="28"/>
  <c r="LB4" i="28"/>
  <c r="LA4" i="28"/>
  <c r="KZ4" i="28"/>
  <c r="KY4" i="28"/>
  <c r="KX4" i="28"/>
  <c r="KW4" i="28"/>
  <c r="KV4" i="28"/>
  <c r="KU4" i="28"/>
  <c r="KT4" i="28"/>
  <c r="KS4" i="28"/>
  <c r="KR4" i="28"/>
  <c r="KQ4" i="28"/>
  <c r="KP4" i="28"/>
  <c r="KO4" i="28"/>
  <c r="KN4" i="28"/>
  <c r="KM4" i="28"/>
  <c r="KL4" i="28"/>
  <c r="KK4" i="28"/>
  <c r="KJ4" i="28"/>
  <c r="KI4" i="28"/>
  <c r="KH4" i="28"/>
  <c r="KG4" i="28"/>
  <c r="KF4" i="28"/>
  <c r="KE4" i="28"/>
  <c r="KD4" i="28"/>
  <c r="KC4" i="28"/>
  <c r="KB4" i="28"/>
  <c r="KA4" i="28"/>
  <c r="JZ4" i="28"/>
  <c r="JY4" i="28"/>
  <c r="JX4" i="28"/>
  <c r="JW4" i="28"/>
  <c r="JV4" i="28"/>
  <c r="JU4" i="28"/>
  <c r="JT4" i="28"/>
  <c r="JS4" i="28"/>
  <c r="JR4" i="28"/>
  <c r="JQ4" i="28"/>
  <c r="JP4" i="28"/>
  <c r="JO4" i="28"/>
  <c r="JN4" i="28"/>
  <c r="JM4" i="28"/>
  <c r="JL4" i="28"/>
  <c r="JK4" i="28"/>
  <c r="JJ4" i="28"/>
  <c r="JI4" i="28"/>
  <c r="JH4" i="28"/>
  <c r="JG4" i="28"/>
  <c r="JF4" i="28"/>
  <c r="JE4" i="28"/>
  <c r="JD4" i="28"/>
  <c r="JC4" i="28"/>
  <c r="JB4" i="28"/>
  <c r="JA4" i="28"/>
  <c r="IZ4" i="28"/>
  <c r="IY4" i="28"/>
  <c r="IX4" i="28"/>
  <c r="IW4" i="28"/>
  <c r="IV4" i="28"/>
  <c r="IU4" i="28"/>
  <c r="IT4" i="28"/>
  <c r="IS4" i="28"/>
  <c r="IR4" i="28"/>
  <c r="IQ4" i="28"/>
  <c r="IP4" i="28"/>
  <c r="IO4" i="28"/>
  <c r="IN4" i="28"/>
  <c r="IM4" i="28"/>
  <c r="IL4" i="28"/>
  <c r="IK4" i="28"/>
  <c r="IJ4" i="28"/>
  <c r="II4" i="28"/>
  <c r="IH4" i="28"/>
  <c r="IG4" i="28"/>
  <c r="IF4" i="28"/>
  <c r="IE4" i="28"/>
  <c r="ID4" i="28"/>
  <c r="IC4" i="28"/>
  <c r="IB4" i="28"/>
  <c r="IA4" i="28"/>
  <c r="HZ4" i="28"/>
  <c r="HY4" i="28"/>
  <c r="HX4" i="28"/>
  <c r="HW4" i="28"/>
  <c r="HV4" i="28"/>
  <c r="HU4" i="28"/>
  <c r="HT4" i="28"/>
  <c r="HS4" i="28"/>
  <c r="HR4" i="28"/>
  <c r="HQ4" i="28"/>
  <c r="HP4" i="28"/>
  <c r="HO4" i="28"/>
  <c r="HN4" i="28"/>
  <c r="HM4" i="28"/>
  <c r="HL4" i="28"/>
  <c r="HK4" i="28"/>
  <c r="HJ4" i="28"/>
  <c r="HI4" i="28"/>
  <c r="HH4" i="28"/>
  <c r="HG4" i="28"/>
  <c r="HF4" i="28"/>
  <c r="HE4" i="28"/>
  <c r="HD4" i="28"/>
  <c r="HC4" i="28"/>
  <c r="HB4" i="28"/>
  <c r="HA4" i="28"/>
  <c r="GZ4" i="28"/>
  <c r="GY4" i="28"/>
  <c r="GX4" i="28"/>
  <c r="GW4" i="28"/>
  <c r="GV4" i="28"/>
  <c r="GU4" i="28"/>
  <c r="GT4" i="28"/>
  <c r="GS4" i="28"/>
  <c r="GR4" i="28"/>
  <c r="GQ4" i="28"/>
  <c r="GP4" i="28"/>
  <c r="GO4" i="28"/>
  <c r="GN4" i="28"/>
  <c r="GM4" i="28"/>
  <c r="GL4" i="28"/>
  <c r="GK4" i="28"/>
  <c r="GJ4" i="28"/>
  <c r="GI4" i="28"/>
  <c r="GH4" i="28"/>
  <c r="GG4" i="28"/>
  <c r="GF4" i="28"/>
  <c r="GE4" i="28"/>
  <c r="GD4" i="28"/>
  <c r="GC4" i="28"/>
  <c r="GB4" i="28"/>
  <c r="GA4" i="28"/>
  <c r="FZ4" i="28"/>
  <c r="FY4" i="28"/>
  <c r="FX4" i="28"/>
  <c r="FW4" i="28"/>
  <c r="FV4" i="28"/>
  <c r="FU4" i="28"/>
  <c r="FT4" i="28"/>
  <c r="FS4" i="28"/>
  <c r="FR4" i="28"/>
  <c r="FQ4" i="28"/>
  <c r="FP4" i="28"/>
  <c r="FO4" i="28"/>
  <c r="FN4" i="28"/>
  <c r="FM4" i="28"/>
  <c r="FL4" i="28"/>
  <c r="FK4" i="28"/>
  <c r="FJ4" i="28"/>
  <c r="FI4" i="28"/>
  <c r="FH4" i="28"/>
  <c r="FG4" i="28"/>
  <c r="FF4" i="28"/>
  <c r="FE4" i="28"/>
  <c r="FD4" i="28"/>
  <c r="FC4" i="28"/>
  <c r="FB4" i="28"/>
  <c r="FA4" i="28"/>
  <c r="EZ4" i="28"/>
  <c r="EY4" i="28"/>
  <c r="EX4" i="28"/>
  <c r="EW4" i="28"/>
  <c r="EV4" i="28"/>
  <c r="EU4" i="28"/>
  <c r="ET4" i="28"/>
  <c r="ES4" i="28"/>
  <c r="ER4" i="28"/>
  <c r="EQ4" i="28"/>
  <c r="EP4" i="28"/>
  <c r="EO4" i="28"/>
  <c r="EN4" i="28"/>
  <c r="EM4" i="28"/>
  <c r="EL4" i="28"/>
  <c r="EK4" i="28"/>
  <c r="EJ4" i="28"/>
  <c r="EI4" i="28"/>
  <c r="EH4" i="28"/>
  <c r="EG4" i="28"/>
  <c r="EF4" i="28"/>
  <c r="EE4" i="28"/>
  <c r="ED4" i="28"/>
  <c r="EC4" i="28"/>
  <c r="EB4" i="28"/>
  <c r="EA4" i="28"/>
  <c r="DZ4" i="28"/>
  <c r="DY4" i="28"/>
  <c r="DX4" i="28"/>
  <c r="DW4" i="28"/>
  <c r="DV4" i="28"/>
  <c r="DU4" i="28"/>
  <c r="DT4" i="28"/>
  <c r="DS4" i="28"/>
  <c r="DR4" i="28"/>
  <c r="DQ4" i="28"/>
  <c r="DP4" i="28"/>
  <c r="DO4" i="28"/>
  <c r="DN4" i="28"/>
  <c r="DM4" i="28"/>
  <c r="DL4" i="28"/>
  <c r="DK4" i="28"/>
  <c r="DJ4" i="28"/>
  <c r="DI4" i="28"/>
  <c r="DH4" i="28"/>
  <c r="DG4" i="28"/>
  <c r="DF4" i="28"/>
  <c r="DE4" i="28"/>
  <c r="DD4" i="28"/>
  <c r="DC4" i="28"/>
  <c r="DB4" i="28"/>
  <c r="DA4" i="28"/>
  <c r="CZ4" i="28"/>
  <c r="CY4" i="28"/>
  <c r="CX4" i="28"/>
  <c r="CW4" i="28"/>
  <c r="CV4" i="28"/>
  <c r="CU4" i="28"/>
  <c r="CT4" i="28"/>
  <c r="CS4" i="28"/>
  <c r="CR4" i="28"/>
  <c r="CQ4" i="28"/>
  <c r="CP4" i="28"/>
  <c r="CO4" i="28"/>
  <c r="CN4" i="28"/>
  <c r="CM4" i="28"/>
  <c r="CL4" i="28"/>
  <c r="CK4" i="28"/>
  <c r="CJ4" i="28"/>
  <c r="CI4" i="28"/>
  <c r="CH4" i="28"/>
  <c r="CG4" i="28"/>
  <c r="CF4" i="28"/>
  <c r="CE4" i="28"/>
  <c r="CD4" i="28"/>
  <c r="CC4" i="28"/>
  <c r="CB4" i="28"/>
  <c r="CA4" i="28"/>
  <c r="BZ4" i="28"/>
  <c r="BY4" i="28"/>
  <c r="BX4" i="28"/>
  <c r="BW4" i="28"/>
  <c r="BV4" i="28"/>
  <c r="BU4" i="28"/>
  <c r="BT4" i="28"/>
  <c r="BS4" i="28"/>
  <c r="BR4" i="28"/>
  <c r="BQ4" i="28"/>
  <c r="BP4" i="28"/>
  <c r="BO4" i="28"/>
  <c r="BN4" i="28"/>
  <c r="BM4" i="28"/>
  <c r="BL4" i="28"/>
  <c r="BK4" i="28"/>
  <c r="BJ4" i="28"/>
  <c r="BI4" i="28"/>
  <c r="BH4" i="28"/>
  <c r="BG4" i="28"/>
  <c r="BF4" i="28"/>
  <c r="BE4" i="28"/>
  <c r="BD4" i="28"/>
  <c r="BC4" i="28"/>
  <c r="BB4" i="28"/>
  <c r="BA4" i="28"/>
  <c r="AZ4" i="28"/>
  <c r="AY4" i="28"/>
  <c r="AX4" i="28"/>
  <c r="AW4" i="28"/>
  <c r="AV4" i="28"/>
  <c r="AU4" i="28"/>
  <c r="AT4" i="28"/>
  <c r="AS4" i="28"/>
  <c r="AR4" i="28"/>
  <c r="AQ4" i="28"/>
  <c r="AP4" i="28"/>
  <c r="AO4" i="28"/>
  <c r="AN4" i="28"/>
  <c r="AM4" i="28"/>
  <c r="AL4" i="28"/>
  <c r="AK4" i="28"/>
  <c r="AJ4" i="28"/>
  <c r="AI4" i="28"/>
  <c r="AH4" i="28"/>
  <c r="AG4" i="28"/>
  <c r="AF4" i="28"/>
  <c r="AE4" i="28"/>
  <c r="AD4" i="28"/>
  <c r="AC4" i="28"/>
  <c r="AB4" i="28"/>
  <c r="AA4" i="28"/>
  <c r="Z4" i="28"/>
  <c r="Y4" i="28"/>
  <c r="X4" i="28"/>
  <c r="W4" i="28"/>
  <c r="V4" i="28"/>
  <c r="U4" i="28"/>
  <c r="T4" i="28"/>
  <c r="S4" i="28"/>
  <c r="R4" i="28"/>
  <c r="Q4" i="28"/>
  <c r="P4" i="28"/>
  <c r="O4" i="28"/>
  <c r="N4" i="28"/>
  <c r="M4" i="28"/>
  <c r="L4" i="28"/>
  <c r="K4" i="28"/>
  <c r="J4" i="28"/>
  <c r="I4" i="28"/>
  <c r="H4" i="28"/>
  <c r="G4" i="28"/>
  <c r="F4" i="28"/>
  <c r="P472" i="12"/>
  <c r="P473" i="12"/>
  <c r="P474" i="12"/>
  <c r="P475" i="12"/>
  <c r="P476" i="12"/>
  <c r="P477" i="12"/>
  <c r="P478" i="12"/>
  <c r="P479" i="12"/>
  <c r="P480" i="12"/>
  <c r="P481" i="12"/>
  <c r="P482" i="12"/>
  <c r="P483" i="12"/>
  <c r="P484" i="12"/>
  <c r="P485" i="12"/>
  <c r="P486" i="12"/>
  <c r="P487" i="12"/>
  <c r="P488" i="12"/>
  <c r="P489" i="12"/>
  <c r="P490" i="12"/>
  <c r="P491" i="12"/>
  <c r="P492" i="12"/>
  <c r="P493" i="12"/>
  <c r="P494" i="12"/>
  <c r="P495" i="12"/>
  <c r="P496" i="12"/>
  <c r="P497" i="12"/>
  <c r="P498" i="12"/>
  <c r="P499" i="12"/>
  <c r="P500" i="12"/>
  <c r="P501" i="12"/>
  <c r="P502" i="12"/>
  <c r="P503" i="12"/>
  <c r="P504" i="12"/>
  <c r="P505" i="12"/>
  <c r="P506" i="12"/>
  <c r="P507" i="12"/>
  <c r="P508" i="12"/>
  <c r="P509" i="12"/>
  <c r="P510" i="12"/>
  <c r="P511" i="12"/>
  <c r="P512" i="12"/>
  <c r="P513" i="12"/>
  <c r="P514" i="12"/>
  <c r="P515" i="12"/>
  <c r="P516" i="12"/>
  <c r="P517" i="12"/>
  <c r="P518" i="12"/>
  <c r="P519" i="12"/>
  <c r="P520" i="12"/>
  <c r="P471" i="12"/>
  <c r="P470" i="12"/>
  <c r="P469" i="12"/>
  <c r="P468" i="12"/>
  <c r="P467" i="12"/>
  <c r="P466" i="12"/>
  <c r="P465" i="12"/>
  <c r="P464" i="12"/>
  <c r="P463" i="12"/>
  <c r="P462" i="12"/>
  <c r="P461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AY8" i="31" l="1"/>
  <c r="M155" i="30" l="1"/>
  <c r="BD8" i="31" s="1"/>
  <c r="BC8" i="31"/>
  <c r="C81" i="1" l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D80" i="1"/>
  <c r="C80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E88" i="1" l="1"/>
  <c r="E89" i="1"/>
  <c r="E81" i="1"/>
  <c r="E66" i="1"/>
  <c r="E58" i="1"/>
  <c r="E67" i="1"/>
  <c r="E59" i="1"/>
  <c r="E96" i="1"/>
  <c r="E74" i="1"/>
  <c r="E97" i="1"/>
  <c r="E73" i="1"/>
  <c r="E71" i="1"/>
  <c r="E62" i="1"/>
  <c r="E60" i="1"/>
  <c r="E57" i="1"/>
  <c r="E98" i="1"/>
  <c r="E95" i="1"/>
  <c r="E93" i="1"/>
  <c r="E84" i="1"/>
  <c r="E82" i="1"/>
  <c r="E70" i="1"/>
  <c r="E68" i="1"/>
  <c r="E65" i="1"/>
  <c r="E63" i="1"/>
  <c r="E92" i="1"/>
  <c r="E90" i="1"/>
  <c r="E87" i="1"/>
  <c r="E85" i="1"/>
  <c r="E72" i="1"/>
  <c r="E69" i="1"/>
  <c r="E64" i="1"/>
  <c r="E61" i="1"/>
  <c r="E56" i="1"/>
  <c r="E99" i="1"/>
  <c r="E94" i="1"/>
  <c r="E91" i="1"/>
  <c r="E86" i="1"/>
  <c r="E83" i="1"/>
  <c r="OT5" i="32"/>
  <c r="LX5" i="32"/>
  <c r="IJ5" i="32"/>
  <c r="FX5" i="32"/>
  <c r="HR5" i="32"/>
  <c r="CJ5" i="32"/>
  <c r="MC5" i="32"/>
  <c r="KD5" i="32"/>
  <c r="FS5" i="32"/>
  <c r="JG5" i="32"/>
  <c r="AK5" i="32"/>
  <c r="DY5" i="32"/>
  <c r="EV5" i="32"/>
  <c r="BH5" i="32"/>
  <c r="PL5" i="32"/>
  <c r="DG5" i="32"/>
  <c r="MU5" i="32"/>
  <c r="AP5" i="32"/>
  <c r="PQ5" i="32"/>
  <c r="HM5" i="32"/>
  <c r="OO5" i="32"/>
  <c r="BM5" i="32"/>
  <c r="MZ5" i="32"/>
  <c r="ED5" i="32"/>
  <c r="CE5" i="32"/>
  <c r="NW5" i="32"/>
  <c r="LA5" i="32"/>
  <c r="JL5" i="32"/>
  <c r="DB5" i="32"/>
  <c r="GU5" i="32"/>
  <c r="QI5" i="32"/>
  <c r="LF5" i="32"/>
  <c r="IO5" i="32"/>
  <c r="FA5" i="32"/>
  <c r="NR5" i="32"/>
  <c r="QN5" i="32"/>
  <c r="KI5" i="32"/>
  <c r="GP5" i="32"/>
  <c r="D141" i="1" l="1"/>
  <c r="D135" i="1"/>
  <c r="D132" i="1"/>
  <c r="D148" i="1"/>
  <c r="D146" i="1"/>
  <c r="D137" i="1"/>
  <c r="D134" i="1"/>
  <c r="D131" i="1"/>
  <c r="D144" i="1"/>
  <c r="D133" i="1"/>
  <c r="D140" i="1"/>
  <c r="D143" i="1"/>
  <c r="D147" i="1"/>
  <c r="D139" i="1"/>
  <c r="D149" i="1"/>
  <c r="D136" i="1"/>
  <c r="D142" i="1"/>
  <c r="D145" i="1"/>
  <c r="D138" i="1"/>
  <c r="C134" i="1"/>
  <c r="E134" i="1" s="1"/>
  <c r="D109" i="1"/>
  <c r="C135" i="1"/>
  <c r="E135" i="1" s="1"/>
  <c r="D110" i="1"/>
  <c r="C142" i="1"/>
  <c r="E142" i="1" s="1"/>
  <c r="D117" i="1"/>
  <c r="C147" i="1"/>
  <c r="E147" i="1" s="1"/>
  <c r="D122" i="1"/>
  <c r="C145" i="1"/>
  <c r="E145" i="1" s="1"/>
  <c r="D120" i="1"/>
  <c r="C137" i="1"/>
  <c r="E137" i="1" s="1"/>
  <c r="D112" i="1"/>
  <c r="C149" i="1"/>
  <c r="E149" i="1" s="1"/>
  <c r="D124" i="1"/>
  <c r="C133" i="1"/>
  <c r="E133" i="1" s="1"/>
  <c r="D108" i="1"/>
  <c r="C139" i="1"/>
  <c r="E139" i="1" s="1"/>
  <c r="D114" i="1"/>
  <c r="C140" i="1"/>
  <c r="E140" i="1" s="1"/>
  <c r="D115" i="1"/>
  <c r="C148" i="1"/>
  <c r="E148" i="1" s="1"/>
  <c r="D123" i="1"/>
  <c r="C144" i="1"/>
  <c r="E144" i="1" s="1"/>
  <c r="D119" i="1"/>
  <c r="C143" i="1"/>
  <c r="E143" i="1" s="1"/>
  <c r="D118" i="1"/>
  <c r="C136" i="1"/>
  <c r="E136" i="1" s="1"/>
  <c r="D111" i="1"/>
  <c r="C138" i="1"/>
  <c r="E138" i="1" s="1"/>
  <c r="D113" i="1"/>
  <c r="C146" i="1"/>
  <c r="E146" i="1" s="1"/>
  <c r="D121" i="1"/>
  <c r="C141" i="1"/>
  <c r="E141" i="1" s="1"/>
  <c r="D116" i="1"/>
  <c r="D106" i="1"/>
  <c r="C131" i="1"/>
  <c r="E131" i="1" s="1"/>
  <c r="C132" i="1"/>
  <c r="E132" i="1" s="1"/>
  <c r="D107" i="1"/>
  <c r="LO5" i="32"/>
  <c r="NI5" i="32"/>
  <c r="PZ5" i="32"/>
  <c r="IA5" i="32"/>
  <c r="DP5" i="32"/>
  <c r="FJ5" i="32"/>
  <c r="ML5" i="32"/>
  <c r="EM5" i="32"/>
  <c r="HD5" i="32"/>
  <c r="CS5" i="32"/>
  <c r="PC5" i="32"/>
  <c r="BV5" i="32"/>
  <c r="IX5" i="32"/>
  <c r="QW5" i="32"/>
  <c r="KR5" i="32"/>
  <c r="AY5" i="32"/>
  <c r="JU5" i="32"/>
  <c r="GG5" i="32"/>
  <c r="OF5" i="32"/>
  <c r="D55" i="1" l="1"/>
  <c r="C55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D30" i="1"/>
  <c r="C30" i="1"/>
  <c r="E55" i="1" l="1"/>
  <c r="E46" i="1"/>
  <c r="E42" i="1"/>
  <c r="E34" i="1"/>
  <c r="E47" i="1"/>
  <c r="E39" i="1"/>
  <c r="E37" i="1"/>
  <c r="E35" i="1"/>
  <c r="E31" i="1"/>
  <c r="E40" i="1"/>
  <c r="E45" i="1"/>
  <c r="E38" i="1"/>
  <c r="E43" i="1"/>
  <c r="E48" i="1"/>
  <c r="E32" i="1"/>
  <c r="E49" i="1"/>
  <c r="E44" i="1"/>
  <c r="E41" i="1"/>
  <c r="E36" i="1"/>
  <c r="E33" i="1"/>
  <c r="P2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361" i="12"/>
  <c r="P362" i="12"/>
  <c r="P363" i="12"/>
  <c r="P364" i="12"/>
  <c r="P365" i="12"/>
  <c r="P366" i="12"/>
  <c r="P367" i="12"/>
  <c r="P368" i="12"/>
  <c r="P369" i="12"/>
  <c r="P370" i="12"/>
  <c r="P371" i="12"/>
  <c r="P372" i="12"/>
  <c r="P373" i="12"/>
  <c r="P374" i="12"/>
  <c r="P375" i="12"/>
  <c r="P376" i="12"/>
  <c r="P377" i="12"/>
  <c r="P378" i="12"/>
  <c r="P379" i="12"/>
  <c r="P380" i="12"/>
  <c r="P381" i="12"/>
  <c r="P382" i="12"/>
  <c r="P383" i="12"/>
  <c r="P384" i="12"/>
  <c r="P385" i="12"/>
  <c r="P386" i="12"/>
  <c r="P387" i="12"/>
  <c r="P388" i="12"/>
  <c r="P389" i="12"/>
  <c r="P390" i="12"/>
  <c r="P391" i="12"/>
  <c r="P392" i="12"/>
  <c r="P393" i="12"/>
  <c r="P394" i="12"/>
  <c r="P395" i="12"/>
  <c r="P396" i="12"/>
  <c r="P397" i="12"/>
  <c r="P398" i="12"/>
  <c r="P399" i="12"/>
  <c r="P400" i="12"/>
  <c r="P401" i="12"/>
  <c r="P402" i="12"/>
  <c r="P403" i="12"/>
  <c r="P404" i="12"/>
  <c r="P405" i="12"/>
  <c r="P406" i="12"/>
  <c r="P407" i="12"/>
  <c r="P408" i="12"/>
  <c r="P409" i="12"/>
  <c r="P410" i="12"/>
  <c r="P411" i="12"/>
  <c r="P412" i="12"/>
  <c r="P413" i="12"/>
  <c r="P414" i="12"/>
  <c r="P415" i="12"/>
  <c r="P416" i="12"/>
  <c r="P417" i="12"/>
  <c r="P418" i="12"/>
  <c r="P419" i="12"/>
  <c r="P420" i="12"/>
  <c r="P421" i="12"/>
  <c r="P422" i="12"/>
  <c r="P423" i="12"/>
  <c r="P424" i="12"/>
  <c r="P425" i="12"/>
  <c r="P426" i="12"/>
  <c r="P427" i="12"/>
  <c r="P428" i="12"/>
  <c r="P429" i="12"/>
  <c r="P430" i="12"/>
  <c r="P431" i="12"/>
  <c r="P432" i="12"/>
  <c r="P433" i="12"/>
  <c r="P434" i="12"/>
  <c r="P435" i="12"/>
  <c r="P436" i="12"/>
  <c r="P437" i="12"/>
  <c r="P438" i="12"/>
  <c r="P439" i="12"/>
  <c r="P440" i="12"/>
  <c r="P441" i="12"/>
  <c r="P442" i="12"/>
  <c r="P443" i="12"/>
  <c r="P444" i="12"/>
  <c r="P445" i="12"/>
  <c r="P446" i="12"/>
  <c r="P447" i="12"/>
  <c r="P448" i="12"/>
  <c r="P449" i="12"/>
  <c r="P450" i="12"/>
  <c r="P451" i="12"/>
  <c r="P452" i="12"/>
  <c r="P453" i="12"/>
  <c r="P454" i="12"/>
  <c r="P455" i="12"/>
  <c r="P456" i="12"/>
  <c r="P457" i="12"/>
  <c r="P458" i="12"/>
  <c r="P459" i="12"/>
  <c r="P460" i="12"/>
  <c r="P1" i="12"/>
  <c r="I460" i="12"/>
  <c r="I459" i="12"/>
  <c r="I458" i="12"/>
  <c r="I457" i="12"/>
  <c r="I456" i="12"/>
  <c r="I455" i="12"/>
  <c r="I454" i="12"/>
  <c r="I453" i="12"/>
  <c r="I452" i="12"/>
  <c r="I451" i="12"/>
  <c r="I450" i="12"/>
  <c r="I449" i="12"/>
  <c r="I448" i="12"/>
  <c r="I447" i="12"/>
  <c r="I446" i="12"/>
  <c r="I445" i="12"/>
  <c r="I444" i="12"/>
  <c r="I443" i="12"/>
  <c r="I442" i="12"/>
  <c r="I441" i="12"/>
  <c r="I440" i="12"/>
  <c r="I439" i="12"/>
  <c r="I438" i="12"/>
  <c r="I437" i="12"/>
  <c r="I436" i="12"/>
  <c r="I435" i="12"/>
  <c r="I434" i="12"/>
  <c r="I433" i="12"/>
  <c r="I432" i="12"/>
  <c r="I431" i="12"/>
  <c r="I430" i="12"/>
  <c r="I429" i="12"/>
  <c r="I428" i="12"/>
  <c r="I427" i="12"/>
  <c r="I426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11" i="12"/>
  <c r="I410" i="12"/>
  <c r="I409" i="12"/>
  <c r="I408" i="12"/>
  <c r="I407" i="12"/>
  <c r="I406" i="12"/>
  <c r="I405" i="12"/>
  <c r="I404" i="12"/>
  <c r="I403" i="12"/>
  <c r="I402" i="12"/>
  <c r="I401" i="12"/>
  <c r="I400" i="12"/>
  <c r="I399" i="12"/>
  <c r="I398" i="12"/>
  <c r="I397" i="12"/>
  <c r="I396" i="12"/>
  <c r="I395" i="12"/>
  <c r="I394" i="12"/>
  <c r="I393" i="12"/>
  <c r="I392" i="12"/>
  <c r="I391" i="12"/>
  <c r="I390" i="12"/>
  <c r="I389" i="12"/>
  <c r="I388" i="12"/>
  <c r="I387" i="12"/>
  <c r="I386" i="12"/>
  <c r="I385" i="12"/>
  <c r="I384" i="12"/>
  <c r="I383" i="12"/>
  <c r="I382" i="12"/>
  <c r="I381" i="12"/>
  <c r="I380" i="12"/>
  <c r="I379" i="12"/>
  <c r="I378" i="12"/>
  <c r="I377" i="12"/>
  <c r="I376" i="12"/>
  <c r="I375" i="12"/>
  <c r="I374" i="12"/>
  <c r="I373" i="12"/>
  <c r="I372" i="12"/>
  <c r="I371" i="12"/>
  <c r="I370" i="12"/>
  <c r="I369" i="12"/>
  <c r="I368" i="12"/>
  <c r="I367" i="12"/>
  <c r="I366" i="12"/>
  <c r="I365" i="12"/>
  <c r="I364" i="12"/>
  <c r="I363" i="12"/>
  <c r="I362" i="12"/>
  <c r="I361" i="12"/>
  <c r="I360" i="12"/>
  <c r="I359" i="12"/>
  <c r="I358" i="12"/>
  <c r="I357" i="12"/>
  <c r="I356" i="12"/>
  <c r="I355" i="12"/>
  <c r="I354" i="12"/>
  <c r="I353" i="12"/>
  <c r="I352" i="12"/>
  <c r="I351" i="12"/>
  <c r="I350" i="12"/>
  <c r="I349" i="12"/>
  <c r="I348" i="12"/>
  <c r="I347" i="12"/>
  <c r="I346" i="12"/>
  <c r="I345" i="12"/>
  <c r="I344" i="12"/>
  <c r="I343" i="12"/>
  <c r="I342" i="12"/>
  <c r="I341" i="12"/>
  <c r="I340" i="12"/>
  <c r="I339" i="12"/>
  <c r="I338" i="12"/>
  <c r="I337" i="12"/>
  <c r="I336" i="12"/>
  <c r="I335" i="12"/>
  <c r="I334" i="12"/>
  <c r="I333" i="12"/>
  <c r="I332" i="12"/>
  <c r="I331" i="12"/>
  <c r="I330" i="12"/>
  <c r="I329" i="12"/>
  <c r="I328" i="12"/>
  <c r="I327" i="12"/>
  <c r="I326" i="12"/>
  <c r="I325" i="12"/>
  <c r="I324" i="12"/>
  <c r="I323" i="12"/>
  <c r="I322" i="12"/>
  <c r="I321" i="12"/>
  <c r="I320" i="12"/>
  <c r="I319" i="12"/>
  <c r="I318" i="12"/>
  <c r="I317" i="12"/>
  <c r="I316" i="12"/>
  <c r="I315" i="12"/>
  <c r="I314" i="12"/>
  <c r="I313" i="12"/>
  <c r="I312" i="12"/>
  <c r="I311" i="12"/>
  <c r="I310" i="12"/>
  <c r="I309" i="12"/>
  <c r="I308" i="12"/>
  <c r="I307" i="12"/>
  <c r="I306" i="12"/>
  <c r="I305" i="12"/>
  <c r="I304" i="12"/>
  <c r="I303" i="12"/>
  <c r="I302" i="12"/>
  <c r="I301" i="12"/>
  <c r="I300" i="12"/>
  <c r="I299" i="12"/>
  <c r="I298" i="12"/>
  <c r="I297" i="12"/>
  <c r="I296" i="12"/>
  <c r="I295" i="12"/>
  <c r="I294" i="12"/>
  <c r="I293" i="12"/>
  <c r="I292" i="12"/>
  <c r="I291" i="12"/>
  <c r="I290" i="12"/>
  <c r="I289" i="12"/>
  <c r="I288" i="12"/>
  <c r="I287" i="12"/>
  <c r="I286" i="12"/>
  <c r="I285" i="12"/>
  <c r="I284" i="12"/>
  <c r="I283" i="12"/>
  <c r="I282" i="12"/>
  <c r="I281" i="12"/>
  <c r="I280" i="12"/>
  <c r="I279" i="12"/>
  <c r="I278" i="12"/>
  <c r="I277" i="12"/>
  <c r="I276" i="12"/>
  <c r="I275" i="12"/>
  <c r="I274" i="12"/>
  <c r="I273" i="12"/>
  <c r="I272" i="12"/>
  <c r="I271" i="12"/>
  <c r="I270" i="12"/>
  <c r="I269" i="12"/>
  <c r="I268" i="12"/>
  <c r="I267" i="12"/>
  <c r="I266" i="12"/>
  <c r="I265" i="12"/>
  <c r="I264" i="12"/>
  <c r="I263" i="12"/>
  <c r="I262" i="12"/>
  <c r="I261" i="12"/>
  <c r="I260" i="12"/>
  <c r="I259" i="12"/>
  <c r="I258" i="12"/>
  <c r="I257" i="12"/>
  <c r="I256" i="12"/>
  <c r="I255" i="12"/>
  <c r="I254" i="12"/>
  <c r="I253" i="12"/>
  <c r="I252" i="12"/>
  <c r="I251" i="12"/>
  <c r="I250" i="12"/>
  <c r="I249" i="12"/>
  <c r="I248" i="12"/>
  <c r="I247" i="12"/>
  <c r="I246" i="12"/>
  <c r="I245" i="12"/>
  <c r="I244" i="12"/>
  <c r="I243" i="12"/>
  <c r="I242" i="12"/>
  <c r="I241" i="12"/>
  <c r="I240" i="12"/>
  <c r="I239" i="12"/>
  <c r="I238" i="12"/>
  <c r="I237" i="12"/>
  <c r="I236" i="12"/>
  <c r="I235" i="12"/>
  <c r="I234" i="12"/>
  <c r="I233" i="12"/>
  <c r="I232" i="12"/>
  <c r="I231" i="12"/>
  <c r="I230" i="12"/>
  <c r="I229" i="12"/>
  <c r="I228" i="12"/>
  <c r="I227" i="12"/>
  <c r="I226" i="12"/>
  <c r="I225" i="12"/>
  <c r="I224" i="12"/>
  <c r="I223" i="12"/>
  <c r="I222" i="12"/>
  <c r="I221" i="12"/>
  <c r="I220" i="12"/>
  <c r="I219" i="12"/>
  <c r="I218" i="12"/>
  <c r="I217" i="12"/>
  <c r="I216" i="12"/>
  <c r="I215" i="12"/>
  <c r="I214" i="12"/>
  <c r="I213" i="12"/>
  <c r="I212" i="12"/>
  <c r="I211" i="12"/>
  <c r="I210" i="12"/>
  <c r="I209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I195" i="12"/>
  <c r="I194" i="12"/>
  <c r="I193" i="12"/>
  <c r="I192" i="12"/>
  <c r="I191" i="12"/>
  <c r="I190" i="12"/>
  <c r="I189" i="12"/>
  <c r="I188" i="12"/>
  <c r="I187" i="12"/>
  <c r="I186" i="12"/>
  <c r="I185" i="12"/>
  <c r="I184" i="12"/>
  <c r="I183" i="12"/>
  <c r="I182" i="12"/>
  <c r="I181" i="12"/>
  <c r="I180" i="12"/>
  <c r="I179" i="12"/>
  <c r="I178" i="12"/>
  <c r="I177" i="12"/>
  <c r="I176" i="12"/>
  <c r="I175" i="12"/>
  <c r="I174" i="12"/>
  <c r="I173" i="12"/>
  <c r="I172" i="12"/>
  <c r="I171" i="12"/>
  <c r="I170" i="12"/>
  <c r="I169" i="12"/>
  <c r="I168" i="12"/>
  <c r="I167" i="12"/>
  <c r="I166" i="12"/>
  <c r="I165" i="12"/>
  <c r="I164" i="12"/>
  <c r="I163" i="12"/>
  <c r="I162" i="12"/>
  <c r="I161" i="12"/>
  <c r="I160" i="12"/>
  <c r="I159" i="12"/>
  <c r="I158" i="12"/>
  <c r="I157" i="12"/>
  <c r="I156" i="12"/>
  <c r="I155" i="12"/>
  <c r="I154" i="12"/>
  <c r="I153" i="12"/>
  <c r="I152" i="12"/>
  <c r="I151" i="12"/>
  <c r="I150" i="12"/>
  <c r="I149" i="12"/>
  <c r="I148" i="12"/>
  <c r="I147" i="12"/>
  <c r="I146" i="12"/>
  <c r="I145" i="12"/>
  <c r="I144" i="12"/>
  <c r="I143" i="12"/>
  <c r="I142" i="12"/>
  <c r="I141" i="12"/>
  <c r="I140" i="12"/>
  <c r="I139" i="12"/>
  <c r="I138" i="12"/>
  <c r="I137" i="12"/>
  <c r="I136" i="12"/>
  <c r="I135" i="12"/>
  <c r="I134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21" i="12"/>
  <c r="I120" i="12"/>
  <c r="I119" i="12"/>
  <c r="I118" i="12"/>
  <c r="I117" i="12"/>
  <c r="I116" i="12"/>
  <c r="I115" i="12"/>
  <c r="I114" i="12"/>
  <c r="I113" i="12"/>
  <c r="I112" i="12"/>
  <c r="I111" i="12"/>
  <c r="I110" i="12"/>
  <c r="I109" i="12"/>
  <c r="I108" i="12"/>
  <c r="I107" i="12"/>
  <c r="I106" i="12"/>
  <c r="I105" i="12"/>
  <c r="I104" i="12"/>
  <c r="I103" i="12"/>
  <c r="I102" i="12"/>
  <c r="I101" i="12"/>
  <c r="I100" i="12"/>
  <c r="I99" i="12"/>
  <c r="I98" i="12"/>
  <c r="I97" i="12"/>
  <c r="I96" i="12"/>
  <c r="I95" i="12"/>
  <c r="I94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1" i="12"/>
  <c r="EQ5" i="32"/>
  <c r="KV5" i="32"/>
  <c r="IE5" i="32"/>
  <c r="BZ5" i="32"/>
  <c r="CW5" i="32"/>
  <c r="AF5" i="32"/>
  <c r="OJ5" i="32"/>
  <c r="BC5" i="32"/>
  <c r="JY5" i="32"/>
  <c r="GK5" i="32"/>
  <c r="PG5" i="32"/>
  <c r="FN5" i="32"/>
  <c r="MP5" i="32"/>
  <c r="HH5" i="32"/>
  <c r="NM5" i="32"/>
  <c r="JB5" i="32"/>
  <c r="N5" i="32"/>
  <c r="QD5" i="32"/>
  <c r="LS5" i="32"/>
  <c r="DT5" i="32"/>
  <c r="C108" i="1" l="1"/>
  <c r="E108" i="1" s="1"/>
  <c r="C124" i="1"/>
  <c r="E124" i="1" s="1"/>
  <c r="C113" i="1"/>
  <c r="E113" i="1" s="1"/>
  <c r="C110" i="1"/>
  <c r="E110" i="1" s="1"/>
  <c r="C109" i="1"/>
  <c r="E109" i="1" s="1"/>
  <c r="C111" i="1"/>
  <c r="E111" i="1" s="1"/>
  <c r="C107" i="1"/>
  <c r="E107" i="1" s="1"/>
  <c r="C120" i="1"/>
  <c r="E120" i="1" s="1"/>
  <c r="C112" i="1"/>
  <c r="E112" i="1" s="1"/>
  <c r="C117" i="1"/>
  <c r="E117" i="1" s="1"/>
  <c r="C116" i="1"/>
  <c r="E116" i="1" s="1"/>
  <c r="C123" i="1"/>
  <c r="E123" i="1" s="1"/>
  <c r="C115" i="1"/>
  <c r="E115" i="1" s="1"/>
  <c r="C114" i="1"/>
  <c r="E114" i="1" s="1"/>
  <c r="C121" i="1"/>
  <c r="E121" i="1" s="1"/>
  <c r="C119" i="1"/>
  <c r="E119" i="1" s="1"/>
  <c r="C118" i="1"/>
  <c r="E118" i="1" s="1"/>
  <c r="C122" i="1"/>
  <c r="E122" i="1" s="1"/>
  <c r="C106" i="1"/>
  <c r="E106" i="1" s="1"/>
  <c r="D105" i="1"/>
  <c r="C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O139" i="1" s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N130" i="1"/>
  <c r="M130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I105" i="1"/>
  <c r="H105" i="1"/>
  <c r="N105" i="1"/>
  <c r="M105" i="1"/>
  <c r="O105" i="1" s="1"/>
  <c r="R81" i="1"/>
  <c r="S81" i="1"/>
  <c r="R82" i="1"/>
  <c r="S82" i="1"/>
  <c r="R83" i="1"/>
  <c r="S83" i="1"/>
  <c r="R84" i="1"/>
  <c r="S84" i="1"/>
  <c r="T84" i="1" s="1"/>
  <c r="R85" i="1"/>
  <c r="S85" i="1"/>
  <c r="R86" i="1"/>
  <c r="S86" i="1"/>
  <c r="R87" i="1"/>
  <c r="S87" i="1"/>
  <c r="R88" i="1"/>
  <c r="S88" i="1"/>
  <c r="R89" i="1"/>
  <c r="S89" i="1"/>
  <c r="R90" i="1"/>
  <c r="S90" i="1"/>
  <c r="R91" i="1"/>
  <c r="S91" i="1"/>
  <c r="R92" i="1"/>
  <c r="S92" i="1"/>
  <c r="R93" i="1"/>
  <c r="S93" i="1"/>
  <c r="R94" i="1"/>
  <c r="S94" i="1"/>
  <c r="R95" i="1"/>
  <c r="S95" i="1"/>
  <c r="R96" i="1"/>
  <c r="S96" i="1"/>
  <c r="T96" i="1" s="1"/>
  <c r="R97" i="1"/>
  <c r="S97" i="1"/>
  <c r="R98" i="1"/>
  <c r="S98" i="1"/>
  <c r="R99" i="1"/>
  <c r="S99" i="1"/>
  <c r="S80" i="1"/>
  <c r="R80" i="1"/>
  <c r="T80" i="1" s="1"/>
  <c r="R56" i="1"/>
  <c r="S56" i="1"/>
  <c r="R57" i="1"/>
  <c r="S57" i="1"/>
  <c r="R58" i="1"/>
  <c r="S58" i="1"/>
  <c r="R59" i="1"/>
  <c r="S59" i="1"/>
  <c r="T59" i="1" s="1"/>
  <c r="R60" i="1"/>
  <c r="S60" i="1"/>
  <c r="R61" i="1"/>
  <c r="S61" i="1"/>
  <c r="R62" i="1"/>
  <c r="S62" i="1"/>
  <c r="R63" i="1"/>
  <c r="S63" i="1"/>
  <c r="R64" i="1"/>
  <c r="S64" i="1"/>
  <c r="R65" i="1"/>
  <c r="S65" i="1"/>
  <c r="R66" i="1"/>
  <c r="S66" i="1"/>
  <c r="R67" i="1"/>
  <c r="S67" i="1"/>
  <c r="T67" i="1" s="1"/>
  <c r="R68" i="1"/>
  <c r="S68" i="1"/>
  <c r="R69" i="1"/>
  <c r="S69" i="1"/>
  <c r="R70" i="1"/>
  <c r="S70" i="1"/>
  <c r="R71" i="1"/>
  <c r="S71" i="1"/>
  <c r="R72" i="1"/>
  <c r="S72" i="1"/>
  <c r="R73" i="1"/>
  <c r="S73" i="1"/>
  <c r="R74" i="1"/>
  <c r="S74" i="1"/>
  <c r="S55" i="1"/>
  <c r="R55" i="1"/>
  <c r="R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S30" i="1"/>
  <c r="LK5" i="32"/>
  <c r="GZ5" i="32"/>
  <c r="CO5" i="32"/>
  <c r="PV5" i="32"/>
  <c r="MH5" i="32"/>
  <c r="NZ5" i="32"/>
  <c r="DJ5" i="32"/>
  <c r="JQ5" i="32"/>
  <c r="FF5" i="32"/>
  <c r="KN5" i="32"/>
  <c r="OY5" i="32"/>
  <c r="IT5" i="32"/>
  <c r="OB5" i="32"/>
  <c r="EI5" i="32"/>
  <c r="Z5" i="32"/>
  <c r="HW5" i="32"/>
  <c r="NE5" i="32"/>
  <c r="KG5" i="32"/>
  <c r="DE5" i="32"/>
  <c r="DL5" i="32"/>
  <c r="V5" i="32"/>
  <c r="IC5" i="32"/>
  <c r="QS5" i="32"/>
  <c r="AU5" i="32"/>
  <c r="BR5" i="32"/>
  <c r="GC5" i="32"/>
  <c r="T74" i="1" l="1"/>
  <c r="T72" i="1"/>
  <c r="T30" i="1"/>
  <c r="O134" i="1"/>
  <c r="T70" i="1"/>
  <c r="T68" i="1"/>
  <c r="T66" i="1"/>
  <c r="T64" i="1"/>
  <c r="T62" i="1"/>
  <c r="T60" i="1"/>
  <c r="T58" i="1"/>
  <c r="T63" i="1"/>
  <c r="T47" i="1"/>
  <c r="T45" i="1"/>
  <c r="T41" i="1"/>
  <c r="T39" i="1"/>
  <c r="T35" i="1"/>
  <c r="O120" i="1"/>
  <c r="O114" i="1"/>
  <c r="O133" i="1"/>
  <c r="O131" i="1"/>
  <c r="O121" i="1"/>
  <c r="O119" i="1"/>
  <c r="O117" i="1"/>
  <c r="O132" i="1"/>
  <c r="T56" i="1"/>
  <c r="T31" i="1"/>
  <c r="T55" i="1"/>
  <c r="O130" i="1"/>
  <c r="T71" i="1"/>
  <c r="O110" i="1"/>
  <c r="O148" i="1"/>
  <c r="O146" i="1"/>
  <c r="O144" i="1"/>
  <c r="O142" i="1"/>
  <c r="T92" i="1"/>
  <c r="O113" i="1"/>
  <c r="O149" i="1"/>
  <c r="O145" i="1"/>
  <c r="O143" i="1"/>
  <c r="T88" i="1"/>
  <c r="O123" i="1"/>
  <c r="O112" i="1"/>
  <c r="O108" i="1"/>
  <c r="O106" i="1"/>
  <c r="O147" i="1"/>
  <c r="O140" i="1"/>
  <c r="O138" i="1"/>
  <c r="O136" i="1"/>
  <c r="T44" i="1"/>
  <c r="T42" i="1"/>
  <c r="T38" i="1"/>
  <c r="T36" i="1"/>
  <c r="T34" i="1"/>
  <c r="T32" i="1"/>
  <c r="T99" i="1"/>
  <c r="T97" i="1"/>
  <c r="T95" i="1"/>
  <c r="T93" i="1"/>
  <c r="T91" i="1"/>
  <c r="T89" i="1"/>
  <c r="T87" i="1"/>
  <c r="T85" i="1"/>
  <c r="T83" i="1"/>
  <c r="T81" i="1"/>
  <c r="O124" i="1"/>
  <c r="O122" i="1"/>
  <c r="O118" i="1"/>
  <c r="O111" i="1"/>
  <c r="O109" i="1"/>
  <c r="O107" i="1"/>
  <c r="O141" i="1"/>
  <c r="O137" i="1"/>
  <c r="O135" i="1"/>
  <c r="T33" i="1"/>
  <c r="T46" i="1"/>
  <c r="T40" i="1"/>
  <c r="T73" i="1"/>
  <c r="T69" i="1"/>
  <c r="T61" i="1"/>
  <c r="T57" i="1"/>
  <c r="T49" i="1"/>
  <c r="T43" i="1"/>
  <c r="T37" i="1"/>
  <c r="T98" i="1"/>
  <c r="T94" i="1"/>
  <c r="T90" i="1"/>
  <c r="T86" i="1"/>
  <c r="T82" i="1"/>
  <c r="O116" i="1"/>
  <c r="T65" i="1"/>
  <c r="O115" i="1"/>
  <c r="T48" i="1"/>
  <c r="BT5" i="32"/>
  <c r="CM5" i="32"/>
  <c r="DR5" i="32"/>
  <c r="MJ5" i="32"/>
  <c r="NU5" i="32"/>
  <c r="OR5" i="32"/>
  <c r="HU5" i="32"/>
  <c r="HF5" i="32"/>
  <c r="EK5" i="32"/>
  <c r="CZ5" i="32"/>
  <c r="JW5" i="32"/>
  <c r="PT5" i="32"/>
  <c r="LQ5" i="32"/>
  <c r="IR5" i="32"/>
  <c r="PO5" i="32"/>
  <c r="EB5" i="32"/>
  <c r="Q5" i="32"/>
  <c r="LD5" i="32"/>
  <c r="OH5" i="32"/>
  <c r="QQ5" i="32"/>
  <c r="BF5" i="32"/>
  <c r="EO5" i="32"/>
  <c r="JE5" i="32"/>
  <c r="BK5" i="32"/>
  <c r="FQ5" i="32"/>
  <c r="FD5" i="32"/>
  <c r="NC5" i="32"/>
  <c r="GN5" i="32"/>
  <c r="EG5" i="32"/>
  <c r="BA5" i="32"/>
  <c r="HK5" i="32"/>
  <c r="JJ5" i="32"/>
  <c r="MS5" i="32"/>
  <c r="BP5" i="32"/>
  <c r="OW5" i="32"/>
  <c r="CU5" i="32"/>
  <c r="HB5" i="32"/>
  <c r="QY5" i="32"/>
  <c r="CQ5" i="32"/>
  <c r="AW5" i="32"/>
  <c r="GA5" i="32"/>
  <c r="GX5" i="32"/>
  <c r="MF5" i="32"/>
  <c r="LV5" i="32"/>
  <c r="KT5" i="32"/>
  <c r="IV5" i="32"/>
  <c r="HY5" i="32"/>
  <c r="MN5" i="32"/>
  <c r="PJ5" i="32"/>
  <c r="BX5" i="32"/>
  <c r="PA5" i="32"/>
  <c r="GE5" i="32"/>
  <c r="QG5" i="32"/>
  <c r="GS5" i="32"/>
  <c r="AS5" i="32"/>
  <c r="KL5" i="32"/>
  <c r="IH5" i="32"/>
  <c r="JS5" i="32"/>
  <c r="OM5" i="32"/>
  <c r="GI5" i="32"/>
  <c r="MX5" i="32"/>
  <c r="MA5" i="32"/>
  <c r="DW5" i="32"/>
  <c r="CC5" i="32"/>
  <c r="LM5" i="32"/>
  <c r="JO5" i="32"/>
  <c r="FH5" i="32"/>
  <c r="NG5" i="32"/>
  <c r="DN5" i="32"/>
  <c r="IZ5" i="32"/>
  <c r="ET5" i="32"/>
  <c r="QL5" i="32"/>
  <c r="KB5" i="32"/>
  <c r="HP5" i="32"/>
  <c r="AN5" i="32"/>
  <c r="PX5" i="32"/>
  <c r="FV5" i="32"/>
  <c r="KP5" i="32"/>
  <c r="L5" i="32"/>
  <c r="QU5" i="32"/>
  <c r="QB5" i="32"/>
  <c r="FL5" i="32"/>
  <c r="EY5" i="32"/>
  <c r="AI5" i="32"/>
  <c r="LI5" i="32"/>
  <c r="NK5" i="32"/>
  <c r="PE5" i="32"/>
  <c r="IM5" i="32"/>
  <c r="AD5" i="32"/>
  <c r="NP5" i="32"/>
  <c r="OD5" i="32"/>
  <c r="CH5" i="32"/>
  <c r="KY5" i="32"/>
  <c r="G159" i="1" l="1" a="1"/>
  <c r="G159" i="1" s="1"/>
  <c r="T8" i="31" s="1"/>
  <c r="C159" i="1" a="1"/>
  <c r="C159" i="1" s="1"/>
  <c r="J8" i="31" s="1"/>
  <c r="K155" i="1"/>
  <c r="N159" i="1" a="1"/>
  <c r="N159" i="1" s="1"/>
  <c r="N8" i="31" s="1"/>
  <c r="O159" i="1" a="1"/>
  <c r="O159" i="1" s="1"/>
  <c r="X8" i="31" s="1"/>
  <c r="S8" i="31"/>
  <c r="I8" i="31"/>
  <c r="M42" i="1" l="1"/>
  <c r="N42" i="1"/>
  <c r="O42" i="1" l="1"/>
  <c r="I149" i="1"/>
  <c r="H149" i="1"/>
  <c r="I148" i="1"/>
  <c r="H148" i="1"/>
  <c r="I147" i="1"/>
  <c r="H147" i="1"/>
  <c r="I146" i="1"/>
  <c r="H146" i="1"/>
  <c r="I145" i="1"/>
  <c r="H145" i="1"/>
  <c r="I144" i="1"/>
  <c r="H144" i="1"/>
  <c r="I143" i="1"/>
  <c r="H143" i="1"/>
  <c r="I142" i="1"/>
  <c r="H142" i="1"/>
  <c r="I141" i="1"/>
  <c r="H141" i="1"/>
  <c r="I140" i="1"/>
  <c r="H140" i="1"/>
  <c r="I139" i="1"/>
  <c r="H139" i="1"/>
  <c r="I138" i="1"/>
  <c r="H138" i="1"/>
  <c r="I137" i="1"/>
  <c r="H137" i="1"/>
  <c r="I136" i="1"/>
  <c r="H136" i="1"/>
  <c r="I135" i="1"/>
  <c r="H135" i="1"/>
  <c r="I134" i="1"/>
  <c r="H134" i="1"/>
  <c r="I133" i="1"/>
  <c r="H133" i="1"/>
  <c r="I132" i="1"/>
  <c r="H132" i="1"/>
  <c r="I131" i="1"/>
  <c r="H131" i="1"/>
  <c r="I130" i="1"/>
  <c r="H130" i="1"/>
  <c r="I124" i="1"/>
  <c r="H124" i="1"/>
  <c r="I123" i="1"/>
  <c r="H123" i="1"/>
  <c r="I122" i="1"/>
  <c r="H122" i="1"/>
  <c r="I121" i="1"/>
  <c r="H121" i="1"/>
  <c r="I120" i="1"/>
  <c r="H120" i="1"/>
  <c r="I119" i="1"/>
  <c r="H119" i="1"/>
  <c r="I118" i="1"/>
  <c r="H118" i="1"/>
  <c r="I117" i="1"/>
  <c r="H117" i="1"/>
  <c r="I116" i="1"/>
  <c r="H116" i="1"/>
  <c r="I115" i="1"/>
  <c r="H115" i="1"/>
  <c r="I114" i="1"/>
  <c r="H114" i="1"/>
  <c r="I113" i="1"/>
  <c r="H113" i="1"/>
  <c r="I112" i="1"/>
  <c r="H112" i="1"/>
  <c r="I111" i="1"/>
  <c r="H111" i="1"/>
  <c r="I110" i="1"/>
  <c r="H110" i="1"/>
  <c r="I109" i="1"/>
  <c r="H109" i="1"/>
  <c r="I108" i="1"/>
  <c r="H108" i="1"/>
  <c r="I107" i="1"/>
  <c r="H107" i="1"/>
  <c r="I106" i="1"/>
  <c r="H106" i="1"/>
  <c r="N99" i="1"/>
  <c r="M99" i="1"/>
  <c r="I99" i="1"/>
  <c r="H99" i="1"/>
  <c r="N98" i="1"/>
  <c r="M98" i="1"/>
  <c r="I98" i="1"/>
  <c r="H98" i="1"/>
  <c r="N97" i="1"/>
  <c r="M97" i="1"/>
  <c r="I97" i="1"/>
  <c r="H97" i="1"/>
  <c r="N96" i="1"/>
  <c r="M96" i="1"/>
  <c r="I96" i="1"/>
  <c r="H96" i="1"/>
  <c r="N95" i="1"/>
  <c r="M95" i="1"/>
  <c r="I95" i="1"/>
  <c r="H95" i="1"/>
  <c r="N94" i="1"/>
  <c r="M94" i="1"/>
  <c r="I94" i="1"/>
  <c r="H94" i="1"/>
  <c r="N93" i="1"/>
  <c r="M93" i="1"/>
  <c r="I93" i="1"/>
  <c r="H93" i="1"/>
  <c r="N92" i="1"/>
  <c r="M92" i="1"/>
  <c r="I92" i="1"/>
  <c r="H92" i="1"/>
  <c r="N91" i="1"/>
  <c r="M91" i="1"/>
  <c r="I91" i="1"/>
  <c r="H91" i="1"/>
  <c r="N90" i="1"/>
  <c r="M90" i="1"/>
  <c r="I90" i="1"/>
  <c r="H90" i="1"/>
  <c r="N89" i="1"/>
  <c r="M89" i="1"/>
  <c r="I89" i="1"/>
  <c r="H89" i="1"/>
  <c r="N88" i="1"/>
  <c r="M88" i="1"/>
  <c r="I88" i="1"/>
  <c r="H88" i="1"/>
  <c r="N87" i="1"/>
  <c r="M87" i="1"/>
  <c r="I87" i="1"/>
  <c r="H87" i="1"/>
  <c r="N86" i="1"/>
  <c r="M86" i="1"/>
  <c r="I86" i="1"/>
  <c r="H86" i="1"/>
  <c r="N85" i="1"/>
  <c r="M85" i="1"/>
  <c r="I85" i="1"/>
  <c r="H85" i="1"/>
  <c r="N84" i="1"/>
  <c r="M84" i="1"/>
  <c r="I84" i="1"/>
  <c r="H84" i="1"/>
  <c r="N83" i="1"/>
  <c r="M83" i="1"/>
  <c r="I83" i="1"/>
  <c r="H83" i="1"/>
  <c r="N82" i="1"/>
  <c r="M82" i="1"/>
  <c r="I82" i="1"/>
  <c r="H82" i="1"/>
  <c r="N81" i="1"/>
  <c r="M81" i="1"/>
  <c r="I81" i="1"/>
  <c r="H81" i="1"/>
  <c r="N80" i="1"/>
  <c r="M80" i="1"/>
  <c r="I80" i="1"/>
  <c r="H80" i="1"/>
  <c r="N74" i="1"/>
  <c r="M74" i="1"/>
  <c r="I74" i="1"/>
  <c r="H74" i="1"/>
  <c r="N73" i="1"/>
  <c r="M73" i="1"/>
  <c r="I73" i="1"/>
  <c r="H73" i="1"/>
  <c r="N72" i="1"/>
  <c r="M72" i="1"/>
  <c r="I72" i="1"/>
  <c r="H72" i="1"/>
  <c r="N71" i="1"/>
  <c r="M71" i="1"/>
  <c r="I71" i="1"/>
  <c r="H71" i="1"/>
  <c r="N70" i="1"/>
  <c r="M70" i="1"/>
  <c r="I70" i="1"/>
  <c r="H70" i="1"/>
  <c r="N69" i="1"/>
  <c r="M69" i="1"/>
  <c r="I69" i="1"/>
  <c r="H69" i="1"/>
  <c r="N68" i="1"/>
  <c r="M68" i="1"/>
  <c r="I68" i="1"/>
  <c r="H68" i="1"/>
  <c r="N67" i="1"/>
  <c r="M67" i="1"/>
  <c r="I67" i="1"/>
  <c r="H67" i="1"/>
  <c r="N66" i="1"/>
  <c r="M66" i="1"/>
  <c r="I66" i="1"/>
  <c r="H66" i="1"/>
  <c r="N65" i="1"/>
  <c r="M65" i="1"/>
  <c r="I65" i="1"/>
  <c r="H65" i="1"/>
  <c r="N64" i="1"/>
  <c r="M64" i="1"/>
  <c r="I64" i="1"/>
  <c r="H64" i="1"/>
  <c r="N63" i="1"/>
  <c r="M63" i="1"/>
  <c r="I63" i="1"/>
  <c r="H63" i="1"/>
  <c r="N62" i="1"/>
  <c r="M62" i="1"/>
  <c r="I62" i="1"/>
  <c r="H62" i="1"/>
  <c r="N61" i="1"/>
  <c r="M61" i="1"/>
  <c r="I61" i="1"/>
  <c r="H61" i="1"/>
  <c r="N60" i="1"/>
  <c r="M60" i="1"/>
  <c r="I60" i="1"/>
  <c r="H60" i="1"/>
  <c r="N59" i="1"/>
  <c r="M59" i="1"/>
  <c r="I59" i="1"/>
  <c r="H59" i="1"/>
  <c r="N58" i="1"/>
  <c r="M58" i="1"/>
  <c r="I58" i="1"/>
  <c r="H58" i="1"/>
  <c r="N57" i="1"/>
  <c r="M57" i="1"/>
  <c r="I57" i="1"/>
  <c r="H57" i="1"/>
  <c r="N56" i="1"/>
  <c r="M56" i="1"/>
  <c r="I56" i="1"/>
  <c r="H56" i="1"/>
  <c r="N55" i="1"/>
  <c r="M55" i="1"/>
  <c r="I55" i="1"/>
  <c r="H55" i="1"/>
  <c r="N49" i="1"/>
  <c r="M49" i="1"/>
  <c r="I49" i="1"/>
  <c r="H49" i="1"/>
  <c r="N48" i="1"/>
  <c r="M48" i="1"/>
  <c r="I48" i="1"/>
  <c r="H48" i="1"/>
  <c r="N47" i="1"/>
  <c r="M47" i="1"/>
  <c r="I47" i="1"/>
  <c r="H47" i="1"/>
  <c r="N46" i="1"/>
  <c r="M46" i="1"/>
  <c r="I46" i="1"/>
  <c r="H46" i="1"/>
  <c r="N45" i="1"/>
  <c r="M45" i="1"/>
  <c r="I45" i="1"/>
  <c r="H45" i="1"/>
  <c r="N44" i="1"/>
  <c r="M44" i="1"/>
  <c r="I44" i="1"/>
  <c r="H44" i="1"/>
  <c r="N43" i="1"/>
  <c r="M43" i="1"/>
  <c r="I43" i="1"/>
  <c r="H43" i="1"/>
  <c r="I42" i="1"/>
  <c r="H42" i="1"/>
  <c r="N41" i="1"/>
  <c r="M41" i="1"/>
  <c r="I41" i="1"/>
  <c r="H41" i="1"/>
  <c r="N40" i="1"/>
  <c r="M40" i="1"/>
  <c r="I40" i="1"/>
  <c r="H40" i="1"/>
  <c r="N39" i="1"/>
  <c r="M39" i="1"/>
  <c r="I39" i="1"/>
  <c r="H39" i="1"/>
  <c r="N38" i="1"/>
  <c r="M38" i="1"/>
  <c r="I38" i="1"/>
  <c r="H38" i="1"/>
  <c r="N37" i="1"/>
  <c r="M37" i="1"/>
  <c r="I37" i="1"/>
  <c r="H37" i="1"/>
  <c r="N36" i="1"/>
  <c r="M36" i="1"/>
  <c r="I36" i="1"/>
  <c r="H36" i="1"/>
  <c r="N35" i="1"/>
  <c r="M35" i="1"/>
  <c r="I35" i="1"/>
  <c r="H35" i="1"/>
  <c r="N34" i="1"/>
  <c r="M34" i="1"/>
  <c r="I34" i="1"/>
  <c r="H34" i="1"/>
  <c r="N33" i="1"/>
  <c r="M33" i="1"/>
  <c r="I33" i="1"/>
  <c r="H33" i="1"/>
  <c r="N32" i="1"/>
  <c r="M32" i="1"/>
  <c r="I32" i="1"/>
  <c r="H32" i="1"/>
  <c r="N31" i="1"/>
  <c r="M31" i="1"/>
  <c r="I31" i="1"/>
  <c r="H31" i="1"/>
  <c r="N30" i="1"/>
  <c r="M30" i="1"/>
  <c r="I30" i="1"/>
  <c r="H30" i="1"/>
  <c r="E30" i="1"/>
  <c r="KA5" i="32"/>
  <c r="I5" i="32"/>
  <c r="E155" i="1" l="1"/>
  <c r="O8" i="31" s="1"/>
  <c r="C105" i="1"/>
  <c r="E105" i="1" s="1"/>
  <c r="A155" i="1"/>
  <c r="E8" i="31" s="1"/>
  <c r="J47" i="1"/>
  <c r="J85" i="1"/>
  <c r="J93" i="1"/>
  <c r="J108" i="1"/>
  <c r="J110" i="1"/>
  <c r="J118" i="1"/>
  <c r="J124" i="1"/>
  <c r="J137" i="1"/>
  <c r="J145" i="1"/>
  <c r="J33" i="1"/>
  <c r="J56" i="1"/>
  <c r="J64" i="1"/>
  <c r="J72" i="1"/>
  <c r="J74" i="1"/>
  <c r="J87" i="1"/>
  <c r="J95" i="1"/>
  <c r="J131" i="1"/>
  <c r="J139" i="1"/>
  <c r="J58" i="1"/>
  <c r="J45" i="1"/>
  <c r="J41" i="1"/>
  <c r="J66" i="1"/>
  <c r="J116" i="1"/>
  <c r="J35" i="1"/>
  <c r="J147" i="1"/>
  <c r="J37" i="1"/>
  <c r="J49" i="1"/>
  <c r="J60" i="1"/>
  <c r="J68" i="1"/>
  <c r="J81" i="1"/>
  <c r="J89" i="1"/>
  <c r="J97" i="1"/>
  <c r="J112" i="1"/>
  <c r="J120" i="1"/>
  <c r="J133" i="1"/>
  <c r="J141" i="1"/>
  <c r="J149" i="1"/>
  <c r="J31" i="1"/>
  <c r="J39" i="1"/>
  <c r="J43" i="1"/>
  <c r="J62" i="1"/>
  <c r="J70" i="1"/>
  <c r="J83" i="1"/>
  <c r="J91" i="1"/>
  <c r="J99" i="1"/>
  <c r="J106" i="1"/>
  <c r="J114" i="1"/>
  <c r="J122" i="1"/>
  <c r="J135" i="1"/>
  <c r="J143" i="1"/>
  <c r="O30" i="1"/>
  <c r="O32" i="1"/>
  <c r="O34" i="1"/>
  <c r="O36" i="1"/>
  <c r="O38" i="1"/>
  <c r="O40" i="1"/>
  <c r="O44" i="1"/>
  <c r="O46" i="1"/>
  <c r="O48" i="1"/>
  <c r="O57" i="1"/>
  <c r="O59" i="1"/>
  <c r="O61" i="1"/>
  <c r="O63" i="1"/>
  <c r="O65" i="1"/>
  <c r="O67" i="1"/>
  <c r="O69" i="1"/>
  <c r="O71" i="1"/>
  <c r="O73" i="1"/>
  <c r="E80" i="1"/>
  <c r="O80" i="1"/>
  <c r="O82" i="1"/>
  <c r="O84" i="1"/>
  <c r="O86" i="1"/>
  <c r="O88" i="1"/>
  <c r="O90" i="1"/>
  <c r="O92" i="1"/>
  <c r="O94" i="1"/>
  <c r="O96" i="1"/>
  <c r="O98" i="1"/>
  <c r="O55" i="1"/>
  <c r="J32" i="1"/>
  <c r="O33" i="1"/>
  <c r="J36" i="1"/>
  <c r="O37" i="1"/>
  <c r="J40" i="1"/>
  <c r="O41" i="1"/>
  <c r="O43" i="1"/>
  <c r="J46" i="1"/>
  <c r="O47" i="1"/>
  <c r="J55" i="1"/>
  <c r="O56" i="1"/>
  <c r="J59" i="1"/>
  <c r="O60" i="1"/>
  <c r="J63" i="1"/>
  <c r="O64" i="1"/>
  <c r="J67" i="1"/>
  <c r="O68" i="1"/>
  <c r="J71" i="1"/>
  <c r="O72" i="1"/>
  <c r="J80" i="1"/>
  <c r="O81" i="1"/>
  <c r="J84" i="1"/>
  <c r="O85" i="1"/>
  <c r="J88" i="1"/>
  <c r="O89" i="1"/>
  <c r="J92" i="1"/>
  <c r="O93" i="1"/>
  <c r="J96" i="1"/>
  <c r="O97" i="1"/>
  <c r="J105" i="1"/>
  <c r="J109" i="1"/>
  <c r="J113" i="1"/>
  <c r="J117" i="1"/>
  <c r="J121" i="1"/>
  <c r="J130" i="1"/>
  <c r="J134" i="1"/>
  <c r="J138" i="1"/>
  <c r="J142" i="1"/>
  <c r="J146" i="1"/>
  <c r="J30" i="1"/>
  <c r="O31" i="1"/>
  <c r="J34" i="1"/>
  <c r="O35" i="1"/>
  <c r="J38" i="1"/>
  <c r="O39" i="1"/>
  <c r="J42" i="1"/>
  <c r="J44" i="1"/>
  <c r="O45" i="1"/>
  <c r="J48" i="1"/>
  <c r="O49" i="1"/>
  <c r="J57" i="1"/>
  <c r="O58" i="1"/>
  <c r="J61" i="1"/>
  <c r="O62" i="1"/>
  <c r="J65" i="1"/>
  <c r="O66" i="1"/>
  <c r="J69" i="1"/>
  <c r="O70" i="1"/>
  <c r="J73" i="1"/>
  <c r="O74" i="1"/>
  <c r="J82" i="1"/>
  <c r="O83" i="1"/>
  <c r="J86" i="1"/>
  <c r="O87" i="1"/>
  <c r="J90" i="1"/>
  <c r="O91" i="1"/>
  <c r="J94" i="1"/>
  <c r="O95" i="1"/>
  <c r="J98" i="1"/>
  <c r="O99" i="1"/>
  <c r="J107" i="1"/>
  <c r="J111" i="1"/>
  <c r="J115" i="1"/>
  <c r="J119" i="1"/>
  <c r="J123" i="1"/>
  <c r="J132" i="1"/>
  <c r="J136" i="1"/>
  <c r="J140" i="1"/>
  <c r="J144" i="1"/>
  <c r="J148" i="1"/>
  <c r="D130" i="1" l="1"/>
  <c r="E130" i="1" s="1"/>
  <c r="H159" i="1" a="1"/>
  <c r="H159" i="1" s="1"/>
  <c r="V8" i="31" s="1"/>
  <c r="D159" i="1" a="1"/>
  <c r="D159" i="1" s="1"/>
  <c r="L8" i="31" s="1"/>
  <c r="A159" i="1" a="1"/>
  <c r="A159" i="1" s="1"/>
  <c r="F8" i="31" s="1"/>
  <c r="E159" i="1" a="1"/>
  <c r="E159" i="1" s="1"/>
  <c r="P8" i="31" s="1"/>
  <c r="J159" i="1" a="1"/>
  <c r="J159" i="1" s="1"/>
  <c r="AB8" i="31" s="1"/>
  <c r="F159" i="1" a="1"/>
  <c r="F159" i="1" s="1"/>
  <c r="R8" i="31" s="1"/>
  <c r="B159" i="1" a="1"/>
  <c r="B159" i="1" s="1"/>
  <c r="H8" i="31" s="1"/>
  <c r="B155" i="1"/>
  <c r="G8" i="31" s="1"/>
  <c r="F155" i="1"/>
  <c r="Q8" i="31" s="1"/>
  <c r="K8" i="31"/>
  <c r="U8" i="31"/>
  <c r="J155" i="1"/>
  <c r="J5" i="32"/>
  <c r="IU5" i="32"/>
  <c r="NN5" i="32"/>
  <c r="DH5" i="32"/>
  <c r="HN5" i="32"/>
  <c r="GM5" i="32"/>
  <c r="FC5" i="32"/>
  <c r="QJ5" i="32"/>
  <c r="DV5" i="32"/>
  <c r="EE5" i="32"/>
  <c r="CF5" i="32"/>
  <c r="OL5" i="32"/>
  <c r="CX5" i="32"/>
  <c r="KW5" i="32"/>
  <c r="IB5" i="32"/>
  <c r="HS5" i="32"/>
  <c r="ER5" i="32"/>
  <c r="FK5" i="32"/>
  <c r="LL5" i="32"/>
  <c r="IL5" i="32"/>
  <c r="PR5" i="32"/>
  <c r="HX5" i="32"/>
  <c r="LT5" i="32"/>
  <c r="DD5" i="32"/>
  <c r="DQ5" i="32"/>
  <c r="OG5" i="32"/>
  <c r="KS5" i="32"/>
  <c r="PS5" i="32"/>
  <c r="DI5" i="32"/>
  <c r="IF5" i="32"/>
  <c r="HA5" i="32"/>
  <c r="PH5" i="32"/>
  <c r="OV5" i="32"/>
  <c r="KX5" i="32"/>
  <c r="LH5" i="32"/>
  <c r="DM5" i="32"/>
  <c r="EW5" i="32"/>
  <c r="LP5" i="32"/>
  <c r="QA5" i="32"/>
  <c r="PI5" i="32"/>
  <c r="NO5" i="32"/>
  <c r="LC5" i="32"/>
  <c r="HO5" i="32"/>
  <c r="FZ5" i="32"/>
  <c r="FP5" i="32"/>
  <c r="MQ5" i="32"/>
  <c r="MM5" i="32"/>
  <c r="EA5" i="32"/>
  <c r="ME5" i="32"/>
  <c r="BN5" i="32"/>
  <c r="NF5" i="32"/>
  <c r="AH5" i="32"/>
  <c r="JR5" i="32"/>
  <c r="HE5" i="32"/>
  <c r="QK5" i="32"/>
  <c r="PD5" i="32"/>
  <c r="ES5" i="32"/>
  <c r="KJ5" i="32"/>
  <c r="BE5" i="32"/>
  <c r="IK5" i="32"/>
  <c r="PW5" i="32"/>
  <c r="CA5" i="32"/>
  <c r="MW5" i="32"/>
  <c r="DZ5" i="32"/>
  <c r="NB5" i="32"/>
  <c r="HJ5" i="32"/>
  <c r="DU5" i="32"/>
  <c r="JZ5" i="32"/>
  <c r="LG5" i="32"/>
  <c r="FU5" i="32"/>
  <c r="AG5" i="32"/>
  <c r="KK5" i="32"/>
  <c r="IG5" i="32"/>
  <c r="U5" i="32"/>
  <c r="NT5" i="32"/>
  <c r="JI5" i="32"/>
  <c r="MI5" i="32"/>
  <c r="MD5" i="32"/>
  <c r="QF5" i="32"/>
  <c r="CT5" i="32"/>
  <c r="MR5" i="32"/>
  <c r="BO5" i="32"/>
  <c r="JD5" i="32"/>
  <c r="JC5" i="32"/>
  <c r="OU5" i="32"/>
  <c r="JN5" i="32"/>
  <c r="AV5" i="32"/>
  <c r="S5" i="32"/>
  <c r="LZ5" i="32"/>
  <c r="KF5" i="32"/>
  <c r="OQ5" i="32"/>
  <c r="LY5" i="32"/>
  <c r="NS5" i="32"/>
  <c r="K5" i="32"/>
  <c r="GH5" i="32"/>
  <c r="OK5" i="32"/>
  <c r="GW5" i="32"/>
  <c r="LU5" i="32"/>
  <c r="IQ5" i="32"/>
  <c r="OZ5" i="32"/>
  <c r="CL5" i="32"/>
  <c r="QX5" i="32"/>
  <c r="PM5" i="32"/>
  <c r="QP5" i="32"/>
  <c r="LB5" i="32"/>
  <c r="EN5" i="32"/>
  <c r="IY5" i="32"/>
  <c r="P5" i="32"/>
  <c r="T5" i="32"/>
  <c r="FO5" i="32"/>
  <c r="EX5" i="32"/>
  <c r="QT5" i="32"/>
  <c r="JH5" i="32"/>
  <c r="BJ5" i="32"/>
  <c r="AR5" i="32"/>
  <c r="JM5" i="32"/>
  <c r="FT5" i="32"/>
  <c r="GR5" i="32"/>
  <c r="CB5" i="32"/>
  <c r="GV5" i="32"/>
  <c r="O5" i="32"/>
  <c r="OC5" i="32"/>
  <c r="KE5" i="32"/>
  <c r="HI5" i="32"/>
  <c r="BI5" i="32"/>
  <c r="HT5" i="32"/>
  <c r="QE5" i="32"/>
  <c r="GD5" i="32"/>
  <c r="BW5" i="32"/>
  <c r="EF5" i="32"/>
  <c r="FG5" i="32"/>
  <c r="KO5" i="32"/>
  <c r="CY5" i="32"/>
  <c r="DC5" i="32"/>
  <c r="AM5" i="32"/>
  <c r="CP5" i="32"/>
  <c r="NJ5" i="32"/>
  <c r="BS5" i="32"/>
  <c r="QO5" i="32"/>
  <c r="FB5" i="32"/>
  <c r="GQ5" i="32"/>
  <c r="JV5" i="32"/>
  <c r="AB5" i="32"/>
  <c r="NY5" i="32"/>
  <c r="NX5" i="32"/>
  <c r="NA5" i="32"/>
  <c r="GL5" i="32"/>
  <c r="AZ5" i="32"/>
  <c r="CG5" i="32"/>
  <c r="AQ5" i="32"/>
  <c r="OP5" i="32"/>
  <c r="EJ5" i="32"/>
  <c r="X5" i="32"/>
  <c r="MV5" i="32"/>
  <c r="FY5" i="32"/>
  <c r="AL5" i="32"/>
  <c r="Y5" i="32"/>
  <c r="CK5" i="32"/>
  <c r="AC5" i="32"/>
  <c r="IP5" i="32"/>
  <c r="PN5" i="32"/>
  <c r="BD5" i="32"/>
  <c r="I159" i="1" l="1" a="1"/>
  <c r="I159" i="1" s="1"/>
  <c r="Z8" i="31" s="1"/>
  <c r="I155" i="1"/>
  <c r="Y8" i="31" s="1"/>
  <c r="AA8" i="31"/>
  <c r="L155" i="1" l="1"/>
  <c r="M155" i="1" s="1"/>
  <c r="AD8" i="31" s="1"/>
  <c r="JU5" i="28"/>
  <c r="NF5" i="28"/>
  <c r="AO5" i="28"/>
  <c r="BJ5" i="28"/>
  <c r="NG5" i="28"/>
  <c r="PB5" i="28"/>
  <c r="DP5" i="28"/>
  <c r="AZ5" i="28"/>
  <c r="OQ5" i="28"/>
  <c r="OX5" i="28"/>
  <c r="KQ5" i="28"/>
  <c r="KG5" i="28"/>
  <c r="CO5" i="28"/>
  <c r="FA5" i="28"/>
  <c r="CU5" i="28"/>
  <c r="JN5" i="28"/>
  <c r="FD5" i="28"/>
  <c r="CY5" i="28"/>
  <c r="RB5" i="28"/>
  <c r="LJ5" i="28"/>
  <c r="SP5" i="28"/>
  <c r="QX5" i="28"/>
  <c r="RI5" i="28"/>
  <c r="V5" i="28"/>
  <c r="PK5" i="28"/>
  <c r="OO5" i="28"/>
  <c r="NV5" i="28"/>
  <c r="OS5" i="28"/>
  <c r="LD5" i="28"/>
  <c r="NQ5" i="28"/>
  <c r="QP5" i="28"/>
  <c r="SI5" i="28"/>
  <c r="OZ5" i="28"/>
  <c r="W5" i="28"/>
  <c r="KO5" i="28"/>
  <c r="KK5" i="28"/>
  <c r="GX5" i="28"/>
  <c r="AR5" i="28"/>
  <c r="KH5" i="28"/>
  <c r="PL5" i="28"/>
  <c r="PD5" i="28"/>
  <c r="MZ5" i="28"/>
  <c r="RU5" i="28"/>
  <c r="AD5" i="28"/>
  <c r="RT5" i="28"/>
  <c r="NU5" i="28"/>
  <c r="JX5" i="28"/>
  <c r="IT5" i="28"/>
  <c r="Z5" i="28"/>
  <c r="QB5" i="28"/>
  <c r="HP5" i="28"/>
  <c r="PV5" i="28"/>
  <c r="GN5" i="28"/>
  <c r="IS5" i="28"/>
  <c r="GQ5" i="28"/>
  <c r="OK5" i="28"/>
  <c r="TB5" i="28"/>
  <c r="MD5" i="28"/>
  <c r="MJ5" i="28"/>
  <c r="JJ5" i="28"/>
  <c r="RY5" i="28"/>
  <c r="NY5" i="28"/>
  <c r="MM5" i="28"/>
  <c r="EJ5" i="28"/>
  <c r="CV5" i="28"/>
  <c r="OE5" i="28"/>
  <c r="SO5" i="28"/>
  <c r="BH5" i="28"/>
  <c r="BI5" i="28"/>
  <c r="OP5" i="28"/>
  <c r="ES5" i="28"/>
  <c r="EC5" i="28"/>
  <c r="SK5" i="28"/>
  <c r="QM5" i="28"/>
  <c r="ID5" i="28"/>
  <c r="QS5" i="28"/>
  <c r="NW5" i="28"/>
  <c r="MP5" i="28"/>
  <c r="LO5" i="28"/>
  <c r="FM5" i="28"/>
  <c r="FC5" i="28"/>
  <c r="PQ5" i="28"/>
  <c r="PX5" i="28"/>
  <c r="SM5" i="28"/>
  <c r="PH5" i="28"/>
  <c r="RE5" i="28"/>
  <c r="I5" i="28"/>
  <c r="KL5" i="28"/>
  <c r="GM5" i="28"/>
  <c r="NI5" i="28"/>
  <c r="FX5" i="28"/>
  <c r="FZ5" i="28"/>
  <c r="ST5" i="28"/>
  <c r="HA5" i="28"/>
  <c r="BM5" i="28"/>
  <c r="GG5" i="28"/>
  <c r="RX5" i="28"/>
  <c r="GH5" i="28"/>
  <c r="LV5" i="28"/>
  <c r="HH5" i="28"/>
  <c r="DI5" i="28"/>
  <c r="DD5" i="28"/>
  <c r="OV5" i="28"/>
  <c r="RZ5" i="28"/>
  <c r="LR5" i="28"/>
  <c r="DA5" i="28"/>
  <c r="DX5" i="28"/>
  <c r="HE5" i="28"/>
  <c r="MX5" i="28"/>
  <c r="KE5" i="28"/>
  <c r="PE5" i="28"/>
  <c r="BX5" i="28"/>
  <c r="CH5" i="28"/>
  <c r="NB5" i="28"/>
  <c r="HF5" i="28"/>
  <c r="FY5" i="28"/>
  <c r="KV5" i="28"/>
  <c r="J5" i="28"/>
  <c r="BW5" i="28"/>
  <c r="JV5" i="28"/>
  <c r="JZ5" i="28"/>
  <c r="HB5" i="28"/>
  <c r="IF5" i="28"/>
  <c r="EG5" i="28"/>
  <c r="MG5" i="28"/>
  <c r="LW5" i="28"/>
  <c r="MT5" i="28"/>
  <c r="FT5" i="28"/>
  <c r="LB5" i="28"/>
  <c r="MS5" i="28"/>
  <c r="IN5" i="28"/>
  <c r="GB5" i="28"/>
  <c r="KR5" i="28"/>
  <c r="DH5" i="28"/>
  <c r="X5" i="28"/>
  <c r="LK5" i="28"/>
  <c r="LE5" i="28"/>
  <c r="DR5" i="28"/>
  <c r="TG5" i="28"/>
  <c r="AL5" i="28"/>
  <c r="NL5" i="28"/>
  <c r="HW5" i="28"/>
  <c r="FP5" i="28"/>
  <c r="CN5" i="28"/>
  <c r="EX5" i="28"/>
  <c r="JY5" i="28"/>
  <c r="GD5" i="28"/>
  <c r="ME5" i="28"/>
  <c r="MO5" i="28"/>
  <c r="NP5" i="28"/>
  <c r="NK5" i="28"/>
  <c r="QU5" i="28"/>
  <c r="EY5" i="28"/>
  <c r="AF5" i="28"/>
  <c r="FG5" i="28"/>
  <c r="LG5" i="28"/>
  <c r="SS5" i="28"/>
  <c r="QQ5" i="28"/>
  <c r="AV5" i="28"/>
  <c r="OB5" i="28"/>
  <c r="DM5" i="28"/>
  <c r="AA5" i="28"/>
  <c r="OF5" i="28"/>
  <c r="SG5" i="28"/>
  <c r="KI5" i="28"/>
  <c r="IB5" i="28"/>
  <c r="PY5" i="28"/>
  <c r="RH5" i="28"/>
  <c r="CJ5" i="28"/>
  <c r="OI5" i="28"/>
  <c r="BP5" i="28"/>
  <c r="NE5" i="28"/>
  <c r="JC5" i="28"/>
  <c r="KP5" i="28"/>
  <c r="HD5" i="28"/>
  <c r="SB5" i="28"/>
  <c r="PC5" i="28"/>
  <c r="PN5" i="28"/>
  <c r="FV5" i="28"/>
  <c r="EZ5" i="28"/>
  <c r="AK5" i="28"/>
  <c r="IH5" i="28"/>
  <c r="H5" i="28"/>
  <c r="BV5" i="28"/>
  <c r="TD5" i="28"/>
  <c r="KJ5" i="28"/>
  <c r="FR5" i="28"/>
  <c r="CZ5" i="28"/>
  <c r="AP5" i="28"/>
  <c r="EA5" i="28"/>
  <c r="OG5" i="28"/>
  <c r="QJ5" i="28"/>
  <c r="LT5" i="28"/>
  <c r="CF5" i="28"/>
  <c r="OR5" i="28"/>
  <c r="OT5" i="28"/>
  <c r="OH5" i="28"/>
  <c r="FH5" i="28"/>
  <c r="DO5" i="28"/>
  <c r="CX5" i="28"/>
  <c r="RK5" i="28"/>
  <c r="LU5" i="28"/>
  <c r="CR5" i="28"/>
  <c r="QF5" i="28"/>
  <c r="HJ5" i="28"/>
  <c r="BO5" i="28"/>
  <c r="LQ5" i="28"/>
  <c r="SN5" i="28"/>
  <c r="EB5" i="28"/>
  <c r="LP5" i="28"/>
  <c r="JK5" i="28"/>
  <c r="HU5" i="28"/>
  <c r="QD5" i="28"/>
  <c r="ML5" i="28"/>
  <c r="SY5" i="28"/>
  <c r="FW5" i="28"/>
  <c r="QW5" i="28"/>
  <c r="FS5" i="28"/>
  <c r="QR5" i="28"/>
  <c r="BF5" i="28"/>
  <c r="RS5" i="28"/>
  <c r="BT5" i="28"/>
  <c r="CM5" i="28"/>
  <c r="MN5" i="28"/>
  <c r="EE5" i="28"/>
  <c r="GZ5" i="28"/>
  <c r="AY5" i="28"/>
  <c r="RO5" i="28"/>
  <c r="KU5" i="28"/>
  <c r="QT5" i="28"/>
  <c r="MV5" i="28"/>
  <c r="DU5" i="28"/>
  <c r="MC5" i="28"/>
  <c r="GA5" i="28"/>
  <c r="LN5" i="28"/>
  <c r="BD5" i="28"/>
  <c r="GE5" i="28"/>
  <c r="M5" i="28"/>
  <c r="EQ5" i="28"/>
  <c r="QE5" i="28"/>
  <c r="BQ5" i="28"/>
  <c r="QL5" i="28"/>
  <c r="HQ5" i="28"/>
  <c r="CQ5" i="28"/>
  <c r="FF5" i="28"/>
  <c r="DE5" i="28"/>
  <c r="DV5" i="28"/>
  <c r="EH5" i="28"/>
  <c r="IV5" i="28"/>
  <c r="LA5" i="28"/>
  <c r="SR5" i="28"/>
  <c r="PA5" i="28"/>
  <c r="LL5" i="28"/>
  <c r="KN5" i="28"/>
  <c r="DB5" i="28"/>
  <c r="PJ5" i="28"/>
  <c r="P5" i="28"/>
  <c r="EV5" i="28"/>
  <c r="KF5" i="28"/>
  <c r="GI5" i="28"/>
  <c r="ND5" i="28"/>
  <c r="NR5" i="28"/>
  <c r="SJ5" i="28"/>
  <c r="FB5" i="28"/>
  <c r="KC5" i="28"/>
  <c r="AC5" i="28"/>
  <c r="ER5" i="28"/>
  <c r="FJ5" i="28"/>
  <c r="PG5" i="28"/>
  <c r="EK5" i="28"/>
  <c r="LZ5" i="28"/>
  <c r="TA5" i="28"/>
  <c r="QY5" i="28"/>
  <c r="GF5" i="28"/>
  <c r="CG5" i="28"/>
  <c r="AX5" i="28"/>
  <c r="AS5" i="28"/>
  <c r="AH5" i="28"/>
  <c r="EW5" i="28"/>
  <c r="CB5" i="28"/>
  <c r="NC5" i="28"/>
  <c r="BY5" i="28"/>
  <c r="DN5" i="28"/>
  <c r="OJ5" i="28"/>
  <c r="IP5" i="28"/>
  <c r="RM5" i="28"/>
  <c r="HY5" i="28"/>
  <c r="OC5" i="28"/>
  <c r="S5" i="28"/>
  <c r="QO5" i="28"/>
  <c r="JS5" i="28"/>
  <c r="PO5" i="28"/>
  <c r="AJ5" i="28"/>
  <c r="KY5" i="28"/>
  <c r="FU5" i="28"/>
  <c r="IO5" i="28"/>
  <c r="GV5" i="28"/>
  <c r="SU5" i="28"/>
  <c r="JO5" i="28"/>
  <c r="IX5" i="28"/>
  <c r="IZ5" i="28"/>
  <c r="CS5" i="28"/>
  <c r="TE5" i="28"/>
  <c r="HZ5" i="28"/>
  <c r="RV5" i="28"/>
  <c r="EN5" i="28"/>
  <c r="CD5" i="28"/>
  <c r="GC5" i="28"/>
  <c r="RR5" i="28"/>
  <c r="OY5" i="28"/>
  <c r="DF5" i="28"/>
  <c r="OW5" i="28"/>
  <c r="PW5" i="28"/>
  <c r="SA5" i="28"/>
  <c r="DC5" i="28"/>
  <c r="GO5" i="28"/>
  <c r="HO5" i="28"/>
  <c r="CA5" i="28"/>
  <c r="KS5" i="28"/>
  <c r="SW5" i="28"/>
  <c r="MW5" i="28"/>
  <c r="OD5" i="28"/>
  <c r="BC5" i="28"/>
  <c r="GR5" i="28"/>
  <c r="TF5" i="28"/>
  <c r="BK5" i="28"/>
  <c r="TC5" i="28"/>
  <c r="CW5" i="28"/>
  <c r="SE5" i="28"/>
  <c r="BR5" i="28"/>
  <c r="QN5" i="28"/>
  <c r="NN5" i="28"/>
  <c r="NO5" i="28"/>
  <c r="JE5" i="28"/>
  <c r="NZ5" i="28"/>
  <c r="AQ5" i="28"/>
  <c r="BL5" i="28"/>
  <c r="IK5" i="28"/>
  <c r="KW5" i="28"/>
  <c r="IE5" i="28"/>
  <c r="EL5" i="28"/>
  <c r="SC5" i="28"/>
  <c r="DL5" i="28"/>
  <c r="SZ5" i="28"/>
  <c r="CL5" i="28"/>
  <c r="SX5" i="28"/>
  <c r="AM5" i="28"/>
  <c r="JQ5" i="28"/>
  <c r="EU5" i="28"/>
  <c r="QK5" i="28"/>
  <c r="HM5" i="28"/>
  <c r="DT5" i="28"/>
  <c r="ED5" i="28"/>
  <c r="JF5" i="28"/>
  <c r="AW5" i="28"/>
  <c r="PI5" i="28"/>
  <c r="GL5" i="28"/>
  <c r="EI5" i="28"/>
  <c r="AI5" i="28"/>
  <c r="MB5" i="28"/>
  <c r="RL5" i="28"/>
  <c r="BA5" i="28"/>
  <c r="BZ5" i="28"/>
  <c r="RP5" i="28"/>
  <c r="JW5" i="28"/>
  <c r="IJ5" i="28"/>
  <c r="FO5" i="28"/>
  <c r="HR5" i="28"/>
  <c r="PZ5" i="28"/>
  <c r="QC5" i="28"/>
  <c r="RD5" i="28"/>
  <c r="DZ5" i="28"/>
  <c r="GY5" i="28"/>
  <c r="JR5" i="28"/>
  <c r="GP5" i="28"/>
  <c r="EM5" i="28"/>
  <c r="NS5" i="28"/>
  <c r="T5" i="28"/>
  <c r="SF5" i="28"/>
  <c r="O5" i="28"/>
  <c r="JM5" i="28"/>
  <c r="SQ5" i="28"/>
  <c r="LY5" i="28"/>
  <c r="QA5" i="28"/>
  <c r="JB5" i="28"/>
  <c r="GK5" i="28"/>
  <c r="BU5" i="28"/>
  <c r="MF5" i="28"/>
  <c r="KD5" i="28"/>
  <c r="PT5" i="28"/>
  <c r="RF5" i="28"/>
  <c r="GS5" i="28"/>
  <c r="GW5" i="28"/>
  <c r="FQ5" i="28"/>
  <c r="CC5" i="28"/>
  <c r="FE5" i="28"/>
  <c r="IU5" i="28"/>
  <c r="PU5" i="28"/>
  <c r="AE5" i="28"/>
  <c r="QH5" i="28"/>
  <c r="AB5" i="28"/>
  <c r="DG5" i="28"/>
  <c r="HI5" i="28"/>
  <c r="NM5" i="28"/>
  <c r="RQ5" i="28"/>
  <c r="HG5" i="28"/>
  <c r="JT5" i="28"/>
  <c r="KZ5" i="28"/>
  <c r="FI5" i="28"/>
  <c r="LI5" i="28"/>
  <c r="KA5" i="28"/>
  <c r="IM5" i="28"/>
  <c r="DJ5" i="28"/>
  <c r="HC5" i="28"/>
  <c r="NJ5" i="28"/>
  <c r="DW5" i="28"/>
  <c r="HN5" i="28"/>
  <c r="JL5" i="28"/>
  <c r="CI5" i="28"/>
  <c r="IR5" i="28"/>
  <c r="FN5" i="28"/>
  <c r="DK5" i="28"/>
  <c r="SH5" i="28"/>
  <c r="LS5" i="28"/>
  <c r="MH5" i="28"/>
  <c r="JD5" i="28"/>
  <c r="EF5" i="28"/>
  <c r="RW5" i="28"/>
  <c r="HS5" i="28"/>
  <c r="JI5" i="28"/>
  <c r="KB5" i="28"/>
  <c r="IG5" i="28"/>
  <c r="LC5" i="28"/>
  <c r="OM5" i="28"/>
  <c r="ON5" i="28"/>
  <c r="IC5" i="28"/>
  <c r="KM5" i="28"/>
  <c r="RC5" i="28"/>
  <c r="IL5" i="28"/>
  <c r="JA5" i="28"/>
  <c r="AG5" i="28"/>
  <c r="CK5" i="28"/>
  <c r="GJ5" i="28"/>
  <c r="MY5" i="28"/>
  <c r="NX5" i="28"/>
  <c r="L5" i="28"/>
  <c r="LH5" i="28"/>
  <c r="HT5" i="28"/>
  <c r="BG5" i="28"/>
  <c r="LM5" i="28"/>
  <c r="FL5" i="28"/>
  <c r="SL5" i="28"/>
  <c r="R5" i="28"/>
  <c r="MA5" i="28"/>
  <c r="CE5" i="28"/>
  <c r="RJ5" i="28"/>
  <c r="PM5" i="28"/>
  <c r="BS5" i="28"/>
  <c r="MR5" i="28"/>
  <c r="MQ5" i="28"/>
  <c r="OL5" i="28"/>
  <c r="PR5" i="28"/>
  <c r="PS5" i="28"/>
  <c r="OU5" i="28"/>
  <c r="KT5" i="28"/>
  <c r="N5" i="28"/>
  <c r="U5" i="28"/>
  <c r="EO5" i="28"/>
  <c r="NH5" i="28"/>
  <c r="DS5" i="28"/>
  <c r="II5" i="28"/>
  <c r="RG5" i="28"/>
  <c r="HL5" i="28"/>
  <c r="JG5" i="28"/>
  <c r="AN5" i="28"/>
  <c r="HX5" i="28"/>
  <c r="JH5" i="28"/>
  <c r="SV5" i="28"/>
  <c r="PF5" i="28"/>
  <c r="K5" i="28"/>
  <c r="QI5" i="28"/>
  <c r="NA5" i="28"/>
  <c r="AU5" i="28"/>
  <c r="LX5" i="28"/>
  <c r="QV5" i="28"/>
  <c r="MU5" i="28"/>
  <c r="Q5" i="28"/>
  <c r="GT5" i="28"/>
  <c r="SD5" i="28"/>
  <c r="JP5" i="28"/>
  <c r="CP5" i="28"/>
  <c r="Y5" i="28"/>
  <c r="LF5" i="28"/>
  <c r="DQ5" i="28"/>
  <c r="KX5" i="28"/>
  <c r="GU5" i="28"/>
  <c r="IQ5" i="28"/>
  <c r="RN5" i="28"/>
  <c r="RA5" i="28"/>
  <c r="OA5" i="28"/>
  <c r="EP5" i="28"/>
  <c r="NT5" i="28"/>
  <c r="DY5" i="28"/>
  <c r="PP5" i="28"/>
  <c r="MK5" i="28"/>
  <c r="IA5" i="28"/>
  <c r="QZ5" i="28"/>
  <c r="BN5" i="28"/>
  <c r="HK5" i="28"/>
  <c r="CT5" i="28"/>
  <c r="IW5" i="28"/>
  <c r="QG5" i="28"/>
  <c r="HV5" i="28"/>
  <c r="IY5" i="28"/>
  <c r="FK5" i="28"/>
  <c r="MI5" i="28"/>
  <c r="BE5" i="28"/>
  <c r="ET5" i="28"/>
  <c r="BB5" i="28"/>
  <c r="AT5" i="28"/>
  <c r="AC8" i="31" l="1"/>
</calcChain>
</file>

<file path=xl/sharedStrings.xml><?xml version="1.0" encoding="utf-8"?>
<sst xmlns="http://schemas.openxmlformats.org/spreadsheetml/2006/main" count="7352" uniqueCount="1397">
  <si>
    <t>Marker 1</t>
  </si>
  <si>
    <t>Marker 2</t>
  </si>
  <si>
    <t>Calculation double support time (sec):</t>
  </si>
  <si>
    <t>Swing side</t>
  </si>
  <si>
    <t>Distance</t>
  </si>
  <si>
    <t>Time</t>
  </si>
  <si>
    <t>Step 1</t>
  </si>
  <si>
    <t>Step 2</t>
  </si>
  <si>
    <t>Step 3</t>
  </si>
  <si>
    <t>Swing side: 0 = left ; 1 = right</t>
  </si>
  <si>
    <t>Dist 1</t>
  </si>
  <si>
    <t>Time 1</t>
  </si>
  <si>
    <t>Dist 2</t>
  </si>
  <si>
    <t>Time 2</t>
  </si>
  <si>
    <t>DS time</t>
  </si>
  <si>
    <t>Time 3</t>
  </si>
  <si>
    <t>Dist 3</t>
  </si>
  <si>
    <t>DS time 2</t>
  </si>
  <si>
    <t>Time 4</t>
  </si>
  <si>
    <t>Dist 4</t>
  </si>
  <si>
    <t>DS time 3</t>
  </si>
  <si>
    <t>Stride 1</t>
  </si>
  <si>
    <t>Calculation stride time (sec):</t>
  </si>
  <si>
    <t>Side 0%</t>
  </si>
  <si>
    <t>Stride 2</t>
  </si>
  <si>
    <t>Trial 1</t>
  </si>
  <si>
    <t>Trial 2</t>
  </si>
  <si>
    <t>Trial 3</t>
  </si>
  <si>
    <t>Trial 4</t>
  </si>
  <si>
    <t>Trial 5</t>
  </si>
  <si>
    <t>Trial 6</t>
  </si>
  <si>
    <t>Trial 7</t>
  </si>
  <si>
    <t>Trial 8</t>
  </si>
  <si>
    <t>Trial 9</t>
  </si>
  <si>
    <t>Trial 10</t>
  </si>
  <si>
    <t>Trial 11</t>
  </si>
  <si>
    <t>Trial 12</t>
  </si>
  <si>
    <t>Trial 13</t>
  </si>
  <si>
    <t>Trial 14</t>
  </si>
  <si>
    <t>Trial 15</t>
  </si>
  <si>
    <t>Trial 16</t>
  </si>
  <si>
    <t>Trial 17</t>
  </si>
  <si>
    <t>Trial 18</t>
  </si>
  <si>
    <t>Trial 19</t>
  </si>
  <si>
    <t>Trial 20</t>
  </si>
  <si>
    <t>PIN</t>
  </si>
  <si>
    <t>Marker1</t>
  </si>
  <si>
    <t>Marker2</t>
  </si>
  <si>
    <t>Co</t>
  </si>
  <si>
    <t>A$2</t>
  </si>
  <si>
    <t>C$2</t>
  </si>
  <si>
    <t>E$2</t>
  </si>
  <si>
    <t>B30</t>
  </si>
  <si>
    <t>E30</t>
  </si>
  <si>
    <t>J30</t>
  </si>
  <si>
    <t>O30</t>
  </si>
  <si>
    <t>B55</t>
  </si>
  <si>
    <t>E55</t>
  </si>
  <si>
    <t>J55</t>
  </si>
  <si>
    <t>O55</t>
  </si>
  <si>
    <t>B80</t>
  </si>
  <si>
    <t>E80</t>
  </si>
  <si>
    <t>J80</t>
  </si>
  <si>
    <t>O80</t>
  </si>
  <si>
    <t>B105</t>
  </si>
  <si>
    <t>E105</t>
  </si>
  <si>
    <t>J105</t>
  </si>
  <si>
    <t>O105</t>
  </si>
  <si>
    <t>B130</t>
  </si>
  <si>
    <t>E130</t>
  </si>
  <si>
    <t>J130</t>
  </si>
  <si>
    <t>O130</t>
  </si>
  <si>
    <t>Poging:</t>
  </si>
  <si>
    <t>Calculation step time (sec):</t>
  </si>
  <si>
    <t>Calculation distance step length (cm):</t>
  </si>
  <si>
    <t>Calculation stride length (cm):</t>
  </si>
  <si>
    <t>Stance time (sec):</t>
  </si>
  <si>
    <t>Swing time (sec):</t>
  </si>
  <si>
    <t>G$2</t>
  </si>
  <si>
    <t>T30</t>
  </si>
  <si>
    <t>StepLength</t>
  </si>
  <si>
    <t>Swingside</t>
  </si>
  <si>
    <t>Step</t>
  </si>
  <si>
    <t>DoubleSupport</t>
  </si>
  <si>
    <t>Stance</t>
  </si>
  <si>
    <t>Stride</t>
  </si>
  <si>
    <t>StrideLength</t>
  </si>
  <si>
    <t>Side0%</t>
  </si>
  <si>
    <t>Swing</t>
  </si>
  <si>
    <t>T</t>
  </si>
  <si>
    <t>B</t>
  </si>
  <si>
    <t>E</t>
  </si>
  <si>
    <t>J</t>
  </si>
  <si>
    <t>O</t>
  </si>
  <si>
    <t>T55</t>
  </si>
  <si>
    <t>T80</t>
  </si>
  <si>
    <t>CoStep1StepLengthSwingsideT1</t>
  </si>
  <si>
    <t>CoStep1StepLengthDistanceT1</t>
  </si>
  <si>
    <t>CoStep1StepTimeT1</t>
  </si>
  <si>
    <t>CoStep1DoubleSupportTimeT1</t>
  </si>
  <si>
    <t>CoStep1StanceTimeT1</t>
  </si>
  <si>
    <t>CoStep2StepLengthSwingsideT1</t>
  </si>
  <si>
    <t>CoStep2StepLengthDistanceT1</t>
  </si>
  <si>
    <t>CoStep2StepTimeT1</t>
  </si>
  <si>
    <t>CoStep2DoubleSupportTimeT1</t>
  </si>
  <si>
    <t>CoStep2StanceTimeT1</t>
  </si>
  <si>
    <t>CoStep3StepLengthSwingsideT1</t>
  </si>
  <si>
    <t>CoStep3StepLengthDistanceT1</t>
  </si>
  <si>
    <t>CoStep3StepTimeT1</t>
  </si>
  <si>
    <t>CoStep3DoubleSupportTimeT1</t>
  </si>
  <si>
    <t>CoStep3StanceTimeT1</t>
  </si>
  <si>
    <t>CoStride1StrideLengthSide0%T1</t>
  </si>
  <si>
    <t>CoStride1StrideLengthDistanceT1</t>
  </si>
  <si>
    <t>CoStride1StrideTimeT1</t>
  </si>
  <si>
    <t>CoStride1SwingTimeT1</t>
  </si>
  <si>
    <t>CoStride2StrideLengthSide0%T1</t>
  </si>
  <si>
    <t>CoStride2StrideLengthDistanceT1</t>
  </si>
  <si>
    <t>CoStride2StrideTimeT1</t>
  </si>
  <si>
    <t>CoStride2SwingTimeT1</t>
  </si>
  <si>
    <t>CoStep1StepLengthSwingsideT2</t>
  </si>
  <si>
    <t>CoStep1StepLengthDistanceT2</t>
  </si>
  <si>
    <t>CoStep1StepTimeT2</t>
  </si>
  <si>
    <t>CoStep1DoubleSupportTimeT2</t>
  </si>
  <si>
    <t>CoStep1StanceTimeT2</t>
  </si>
  <si>
    <t>CoStep2StepLengthSwingsideT2</t>
  </si>
  <si>
    <t>CoStep2StepLengthDistanceT2</t>
  </si>
  <si>
    <t>CoStep2StepTimeT2</t>
  </si>
  <si>
    <t>CoStep2DoubleSupportTimeT2</t>
  </si>
  <si>
    <t>CoStep2StanceTimeT2</t>
  </si>
  <si>
    <t>CoStep3StepLengthSwingsideT2</t>
  </si>
  <si>
    <t>CoStep3StepLengthDistanceT2</t>
  </si>
  <si>
    <t>CoStep3StepTimeT2</t>
  </si>
  <si>
    <t>CoStep3DoubleSupportTimeT2</t>
  </si>
  <si>
    <t>CoStep3StanceTimeT2</t>
  </si>
  <si>
    <t>CoStride1StrideLengthSide0%T2</t>
  </si>
  <si>
    <t>CoStride1StrideLengthDistanceT2</t>
  </si>
  <si>
    <t>CoStride1StrideTimeT2</t>
  </si>
  <si>
    <t>CoStride1SwingTimeT2</t>
  </si>
  <si>
    <t>CoStride2StrideLengthSide0%T2</t>
  </si>
  <si>
    <t>CoStride2StrideLengthDistanceT2</t>
  </si>
  <si>
    <t>CoStride2StrideTimeT2</t>
  </si>
  <si>
    <t>CoStride2SwingTimeT2</t>
  </si>
  <si>
    <t>CoStep1StepLengthSwingsideT3</t>
  </si>
  <si>
    <t>CoStep1StepLengthDistanceT3</t>
  </si>
  <si>
    <t>CoStep1StepTimeT3</t>
  </si>
  <si>
    <t>CoStep1DoubleSupportTimeT3</t>
  </si>
  <si>
    <t>CoStep1StanceTimeT3</t>
  </si>
  <si>
    <t>CoStep2StepLengthSwingsideT3</t>
  </si>
  <si>
    <t>CoStep2StepLengthDistanceT3</t>
  </si>
  <si>
    <t>CoStep2StepTimeT3</t>
  </si>
  <si>
    <t>CoStep2DoubleSupportTimeT3</t>
  </si>
  <si>
    <t>CoStep2StanceTimeT3</t>
  </si>
  <si>
    <t>CoStep3StepLengthSwingsideT3</t>
  </si>
  <si>
    <t>CoStep3StepLengthDistanceT3</t>
  </si>
  <si>
    <t>CoStep3StepTimeT3</t>
  </si>
  <si>
    <t>CoStep3DoubleSupportTimeT3</t>
  </si>
  <si>
    <t>CoStep3StanceTimeT3</t>
  </si>
  <si>
    <t>CoStride1StrideLengthSide0%T3</t>
  </si>
  <si>
    <t>CoStride1StrideLengthDistanceT3</t>
  </si>
  <si>
    <t>CoStride1StrideTimeT3</t>
  </si>
  <si>
    <t>CoStride1SwingTimeT3</t>
  </si>
  <si>
    <t>CoStride2StrideLengthSide0%T3</t>
  </si>
  <si>
    <t>CoStride2StrideLengthDistanceT3</t>
  </si>
  <si>
    <t>CoStride2StrideTimeT3</t>
  </si>
  <si>
    <t>CoStride2SwingTimeT3</t>
  </si>
  <si>
    <t>CoStep1StepLengthSwingsideT4</t>
  </si>
  <si>
    <t>CoStep1StepLengthDistanceT4</t>
  </si>
  <si>
    <t>CoStep1StepTimeT4</t>
  </si>
  <si>
    <t>CoStep1DoubleSupportTimeT4</t>
  </si>
  <si>
    <t>CoStep1StanceTimeT4</t>
  </si>
  <si>
    <t>CoStep2StepLengthSwingsideT4</t>
  </si>
  <si>
    <t>CoStep2StepLengthDistanceT4</t>
  </si>
  <si>
    <t>CoStep2StepTimeT4</t>
  </si>
  <si>
    <t>CoStep2DoubleSupportTimeT4</t>
  </si>
  <si>
    <t>CoStep2StanceTimeT4</t>
  </si>
  <si>
    <t>CoStep3StepLengthSwingsideT4</t>
  </si>
  <si>
    <t>CoStep3StepLengthDistanceT4</t>
  </si>
  <si>
    <t>CoStep3StepTimeT4</t>
  </si>
  <si>
    <t>CoStep3DoubleSupportTimeT4</t>
  </si>
  <si>
    <t>CoStep3StanceTimeT4</t>
  </si>
  <si>
    <t>CoStride1StrideLengthSide0%T4</t>
  </si>
  <si>
    <t>CoStride1StrideLengthDistanceT4</t>
  </si>
  <si>
    <t>CoStride1StrideTimeT4</t>
  </si>
  <si>
    <t>CoStride1SwingTimeT4</t>
  </si>
  <si>
    <t>CoStride2StrideLengthSide0%T4</t>
  </si>
  <si>
    <t>CoStride2StrideLengthDistanceT4</t>
  </si>
  <si>
    <t>CoStride2StrideTimeT4</t>
  </si>
  <si>
    <t>CoStride2SwingTimeT4</t>
  </si>
  <si>
    <t>CoStep1StepLengthSwingsideT5</t>
  </si>
  <si>
    <t>CoStep1StepLengthDistanceT5</t>
  </si>
  <si>
    <t>CoStep1StepTimeT5</t>
  </si>
  <si>
    <t>CoStep1DoubleSupportTimeT5</t>
  </si>
  <si>
    <t>CoStep1StanceTimeT5</t>
  </si>
  <si>
    <t>CoStep2StepLengthSwingsideT5</t>
  </si>
  <si>
    <t>CoStep2StepLengthDistanceT5</t>
  </si>
  <si>
    <t>CoStep2StepTimeT5</t>
  </si>
  <si>
    <t>CoStep2DoubleSupportTimeT5</t>
  </si>
  <si>
    <t>CoStep2StanceTimeT5</t>
  </si>
  <si>
    <t>CoStep3StepLengthSwingsideT5</t>
  </si>
  <si>
    <t>CoStep3StepLengthDistanceT5</t>
  </si>
  <si>
    <t>CoStep3StepTimeT5</t>
  </si>
  <si>
    <t>CoStep3DoubleSupportTimeT5</t>
  </si>
  <si>
    <t>CoStep3StanceTimeT5</t>
  </si>
  <si>
    <t>CoStride1StrideLengthSide0%T5</t>
  </si>
  <si>
    <t>CoStride1StrideLengthDistanceT5</t>
  </si>
  <si>
    <t>CoStride1StrideTimeT5</t>
  </si>
  <si>
    <t>CoStride1SwingTimeT5</t>
  </si>
  <si>
    <t>CoStride2StrideLengthSide0%T5</t>
  </si>
  <si>
    <t>CoStride2StrideLengthDistanceT5</t>
  </si>
  <si>
    <t>CoStride2StrideTimeT5</t>
  </si>
  <si>
    <t>CoStride2SwingTimeT5</t>
  </si>
  <si>
    <t>CoStep1StepLengthSwingsideT6</t>
  </si>
  <si>
    <t>CoStep1StepLengthDistanceT6</t>
  </si>
  <si>
    <t>CoStep1StepTimeT6</t>
  </si>
  <si>
    <t>CoStep1DoubleSupportTimeT6</t>
  </si>
  <si>
    <t>CoStep1StanceTimeT6</t>
  </si>
  <si>
    <t>CoStep2StepLengthSwingsideT6</t>
  </si>
  <si>
    <t>CoStep2StepLengthDistanceT6</t>
  </si>
  <si>
    <t>CoStep2StepTimeT6</t>
  </si>
  <si>
    <t>CoStep2DoubleSupportTimeT6</t>
  </si>
  <si>
    <t>CoStep2StanceTimeT6</t>
  </si>
  <si>
    <t>CoStep3StepLengthSwingsideT6</t>
  </si>
  <si>
    <t>CoStep3StepLengthDistanceT6</t>
  </si>
  <si>
    <t>CoStep3StepTimeT6</t>
  </si>
  <si>
    <t>CoStep3DoubleSupportTimeT6</t>
  </si>
  <si>
    <t>CoStep3StanceTimeT6</t>
  </si>
  <si>
    <t>CoStride1StrideLengthSide0%T6</t>
  </si>
  <si>
    <t>CoStride1StrideLengthDistanceT6</t>
  </si>
  <si>
    <t>CoStride1StrideTimeT6</t>
  </si>
  <si>
    <t>CoStride1SwingTimeT6</t>
  </si>
  <si>
    <t>CoStride2StrideLengthSide0%T6</t>
  </si>
  <si>
    <t>CoStride2StrideLengthDistanceT6</t>
  </si>
  <si>
    <t>CoStride2StrideTimeT6</t>
  </si>
  <si>
    <t>CoStride2SwingTimeT6</t>
  </si>
  <si>
    <t>CoStep1StepLengthSwingsideT7</t>
  </si>
  <si>
    <t>CoStep1StepLengthDistanceT7</t>
  </si>
  <si>
    <t>CoStep1StepTimeT7</t>
  </si>
  <si>
    <t>CoStep1DoubleSupportTimeT7</t>
  </si>
  <si>
    <t>CoStep1StanceTimeT7</t>
  </si>
  <si>
    <t>CoStep2StepLengthSwingsideT7</t>
  </si>
  <si>
    <t>CoStep2StepLengthDistanceT7</t>
  </si>
  <si>
    <t>CoStep2StepTimeT7</t>
  </si>
  <si>
    <t>CoStep2DoubleSupportTimeT7</t>
  </si>
  <si>
    <t>CoStep2StanceTimeT7</t>
  </si>
  <si>
    <t>CoStep3StepLengthSwingsideT7</t>
  </si>
  <si>
    <t>CoStep3StepLengthDistanceT7</t>
  </si>
  <si>
    <t>CoStep3StepTimeT7</t>
  </si>
  <si>
    <t>CoStep3DoubleSupportTimeT7</t>
  </si>
  <si>
    <t>CoStep3StanceTimeT7</t>
  </si>
  <si>
    <t>CoStride1StrideLengthSide0%T7</t>
  </si>
  <si>
    <t>CoStride1StrideLengthDistanceT7</t>
  </si>
  <si>
    <t>CoStride1StrideTimeT7</t>
  </si>
  <si>
    <t>CoStride1SwingTimeT7</t>
  </si>
  <si>
    <t>CoStride2StrideLengthSide0%T7</t>
  </si>
  <si>
    <t>CoStride2StrideLengthDistanceT7</t>
  </si>
  <si>
    <t>CoStride2StrideTimeT7</t>
  </si>
  <si>
    <t>CoStride2SwingTimeT7</t>
  </si>
  <si>
    <t>CoStep1StepLengthSwingsideT8</t>
  </si>
  <si>
    <t>CoStep1StepLengthDistanceT8</t>
  </si>
  <si>
    <t>CoStep1StepTimeT8</t>
  </si>
  <si>
    <t>CoStep1DoubleSupportTimeT8</t>
  </si>
  <si>
    <t>CoStep1StanceTimeT8</t>
  </si>
  <si>
    <t>CoStep2StepLengthSwingsideT8</t>
  </si>
  <si>
    <t>CoStep2StepLengthDistanceT8</t>
  </si>
  <si>
    <t>CoStep2StepTimeT8</t>
  </si>
  <si>
    <t>CoStep2DoubleSupportTimeT8</t>
  </si>
  <si>
    <t>CoStep2StanceTimeT8</t>
  </si>
  <si>
    <t>CoStep3StepLengthSwingsideT8</t>
  </si>
  <si>
    <t>CoStep3StepLengthDistanceT8</t>
  </si>
  <si>
    <t>CoStep3StepTimeT8</t>
  </si>
  <si>
    <t>CoStep3DoubleSupportTimeT8</t>
  </si>
  <si>
    <t>CoStep3StanceTimeT8</t>
  </si>
  <si>
    <t>CoStride1StrideLengthSide0%T8</t>
  </si>
  <si>
    <t>CoStride1StrideLengthDistanceT8</t>
  </si>
  <si>
    <t>CoStride1StrideTimeT8</t>
  </si>
  <si>
    <t>CoStride1SwingTimeT8</t>
  </si>
  <si>
    <t>CoStride2StrideLengthSide0%T8</t>
  </si>
  <si>
    <t>CoStride2StrideLengthDistanceT8</t>
  </si>
  <si>
    <t>CoStride2StrideTimeT8</t>
  </si>
  <si>
    <t>CoStride2SwingTimeT8</t>
  </si>
  <si>
    <t>CoStep1StepLengthSwingsideT9</t>
  </si>
  <si>
    <t>CoStep1StepLengthDistanceT9</t>
  </si>
  <si>
    <t>CoStep1StepTimeT9</t>
  </si>
  <si>
    <t>CoStep1DoubleSupportTimeT9</t>
  </si>
  <si>
    <t>CoStep1StanceTimeT9</t>
  </si>
  <si>
    <t>CoStep2StepLengthSwingsideT9</t>
  </si>
  <si>
    <t>CoStep2StepLengthDistanceT9</t>
  </si>
  <si>
    <t>CoStep2StepTimeT9</t>
  </si>
  <si>
    <t>CoStep2DoubleSupportTimeT9</t>
  </si>
  <si>
    <t>CoStep2StanceTimeT9</t>
  </si>
  <si>
    <t>CoStep3StepLengthSwingsideT9</t>
  </si>
  <si>
    <t>CoStep3StepLengthDistanceT9</t>
  </si>
  <si>
    <t>CoStep3StepTimeT9</t>
  </si>
  <si>
    <t>CoStep3DoubleSupportTimeT9</t>
  </si>
  <si>
    <t>CoStep3StanceTimeT9</t>
  </si>
  <si>
    <t>CoStride1StrideLengthSide0%T9</t>
  </si>
  <si>
    <t>CoStride1StrideLengthDistanceT9</t>
  </si>
  <si>
    <t>CoStride1StrideTimeT9</t>
  </si>
  <si>
    <t>CoStride1SwingTimeT9</t>
  </si>
  <si>
    <t>CoStride2StrideLengthSide0%T9</t>
  </si>
  <si>
    <t>CoStride2StrideLengthDistanceT9</t>
  </si>
  <si>
    <t>CoStride2StrideTimeT9</t>
  </si>
  <si>
    <t>CoStride2SwingTimeT9</t>
  </si>
  <si>
    <t>CoStep1StepLengthSwingsideT10</t>
  </si>
  <si>
    <t>CoStep1StepLengthDistanceT10</t>
  </si>
  <si>
    <t>CoStep1StepTimeT10</t>
  </si>
  <si>
    <t>CoStep1DoubleSupportTimeT10</t>
  </si>
  <si>
    <t>CoStep1StanceTimeT10</t>
  </si>
  <si>
    <t>CoStep2StepLengthSwingsideT10</t>
  </si>
  <si>
    <t>CoStep2StepLengthDistanceT10</t>
  </si>
  <si>
    <t>CoStep2StepTimeT10</t>
  </si>
  <si>
    <t>CoStep2DoubleSupportTimeT10</t>
  </si>
  <si>
    <t>CoStep2StanceTimeT10</t>
  </si>
  <si>
    <t>CoStep3StepLengthSwingsideT10</t>
  </si>
  <si>
    <t>CoStep3StepLengthDistanceT10</t>
  </si>
  <si>
    <t>CoStep3StepTimeT10</t>
  </si>
  <si>
    <t>CoStep3DoubleSupportTimeT10</t>
  </si>
  <si>
    <t>CoStep3StanceTimeT10</t>
  </si>
  <si>
    <t>CoStride1StrideLengthSide0%T10</t>
  </si>
  <si>
    <t>CoStride1StrideLengthDistanceT10</t>
  </si>
  <si>
    <t>CoStride1StrideTimeT10</t>
  </si>
  <si>
    <t>CoStride1SwingTimeT10</t>
  </si>
  <si>
    <t>CoStride2StrideLengthSide0%T10</t>
  </si>
  <si>
    <t>CoStride2StrideLengthDistanceT10</t>
  </si>
  <si>
    <t>CoStride2StrideTimeT10</t>
  </si>
  <si>
    <t>CoStride2SwingTimeT10</t>
  </si>
  <si>
    <t>CoStep1StepLengthSwingsideT11</t>
  </si>
  <si>
    <t>CoStep1StepLengthDistanceT11</t>
  </si>
  <si>
    <t>CoStep1StepTimeT11</t>
  </si>
  <si>
    <t>CoStep1DoubleSupportTimeT11</t>
  </si>
  <si>
    <t>CoStep1StanceTimeT11</t>
  </si>
  <si>
    <t>CoStep2StepLengthSwingsideT11</t>
  </si>
  <si>
    <t>CoStep2StepLengthDistanceT11</t>
  </si>
  <si>
    <t>CoStep2StepTimeT11</t>
  </si>
  <si>
    <t>CoStep2DoubleSupportTimeT11</t>
  </si>
  <si>
    <t>CoStep2StanceTimeT11</t>
  </si>
  <si>
    <t>CoStep3StepLengthSwingsideT11</t>
  </si>
  <si>
    <t>CoStep3StepLengthDistanceT11</t>
  </si>
  <si>
    <t>CoStep3StepTimeT11</t>
  </si>
  <si>
    <t>CoStep3DoubleSupportTimeT11</t>
  </si>
  <si>
    <t>CoStep3StanceTimeT11</t>
  </si>
  <si>
    <t>CoStride1StrideLengthSide0%T11</t>
  </si>
  <si>
    <t>CoStride1StrideLengthDistanceT11</t>
  </si>
  <si>
    <t>CoStride1StrideTimeT11</t>
  </si>
  <si>
    <t>CoStride1SwingTimeT11</t>
  </si>
  <si>
    <t>CoStride2StrideLengthSide0%T11</t>
  </si>
  <si>
    <t>CoStride2StrideLengthDistanceT11</t>
  </si>
  <si>
    <t>CoStride2StrideTimeT11</t>
  </si>
  <si>
    <t>CoStride2SwingTimeT11</t>
  </si>
  <si>
    <t>CoStep1StepLengthSwingsideT12</t>
  </si>
  <si>
    <t>CoStep1StepLengthDistanceT12</t>
  </si>
  <si>
    <t>CoStep1StepTimeT12</t>
  </si>
  <si>
    <t>CoStep1DoubleSupportTimeT12</t>
  </si>
  <si>
    <t>CoStep1StanceTimeT12</t>
  </si>
  <si>
    <t>CoStep2StepLengthSwingsideT12</t>
  </si>
  <si>
    <t>CoStep2StepLengthDistanceT12</t>
  </si>
  <si>
    <t>CoStep2StepTimeT12</t>
  </si>
  <si>
    <t>CoStep2DoubleSupportTimeT12</t>
  </si>
  <si>
    <t>CoStep2StanceTimeT12</t>
  </si>
  <si>
    <t>CoStep3StepLengthSwingsideT12</t>
  </si>
  <si>
    <t>CoStep3StepLengthDistanceT12</t>
  </si>
  <si>
    <t>CoStep3StepTimeT12</t>
  </si>
  <si>
    <t>CoStep3DoubleSupportTimeT12</t>
  </si>
  <si>
    <t>CoStep3StanceTimeT12</t>
  </si>
  <si>
    <t>CoStride1StrideLengthSide0%T12</t>
  </si>
  <si>
    <t>CoStride1StrideLengthDistanceT12</t>
  </si>
  <si>
    <t>CoStride1StrideTimeT12</t>
  </si>
  <si>
    <t>CoStride1SwingTimeT12</t>
  </si>
  <si>
    <t>CoStride2StrideLengthSide0%T12</t>
  </si>
  <si>
    <t>CoStride2StrideLengthDistanceT12</t>
  </si>
  <si>
    <t>CoStride2StrideTimeT12</t>
  </si>
  <si>
    <t>CoStride2SwingTimeT12</t>
  </si>
  <si>
    <t>CoStep1StepLengthSwingsideT13</t>
  </si>
  <si>
    <t>CoStep1StepLengthDistanceT13</t>
  </si>
  <si>
    <t>CoStep1StepTimeT13</t>
  </si>
  <si>
    <t>CoStep1DoubleSupportTimeT13</t>
  </si>
  <si>
    <t>CoStep1StanceTimeT13</t>
  </si>
  <si>
    <t>CoStep2StepLengthSwingsideT13</t>
  </si>
  <si>
    <t>CoStep2StepLengthDistanceT13</t>
  </si>
  <si>
    <t>CoStep2StepTimeT13</t>
  </si>
  <si>
    <t>CoStep2DoubleSupportTimeT13</t>
  </si>
  <si>
    <t>CoStep2StanceTimeT13</t>
  </si>
  <si>
    <t>CoStep3StepLengthSwingsideT13</t>
  </si>
  <si>
    <t>CoStep3StepLengthDistanceT13</t>
  </si>
  <si>
    <t>CoStep3StepTimeT13</t>
  </si>
  <si>
    <t>CoStep3DoubleSupportTimeT13</t>
  </si>
  <si>
    <t>CoStep3StanceTimeT13</t>
  </si>
  <si>
    <t>CoStride1StrideLengthSide0%T13</t>
  </si>
  <si>
    <t>CoStride1StrideLengthDistanceT13</t>
  </si>
  <si>
    <t>CoStride1StrideTimeT13</t>
  </si>
  <si>
    <t>CoStride1SwingTimeT13</t>
  </si>
  <si>
    <t>CoStride2StrideLengthSide0%T13</t>
  </si>
  <si>
    <t>CoStride2StrideLengthDistanceT13</t>
  </si>
  <si>
    <t>CoStride2StrideTimeT13</t>
  </si>
  <si>
    <t>CoStride2SwingTimeT13</t>
  </si>
  <si>
    <t>CoStep1StepLengthSwingsideT14</t>
  </si>
  <si>
    <t>CoStep1StepLengthDistanceT14</t>
  </si>
  <si>
    <t>CoStep1StepTimeT14</t>
  </si>
  <si>
    <t>CoStep1DoubleSupportTimeT14</t>
  </si>
  <si>
    <t>CoStep1StanceTimeT14</t>
  </si>
  <si>
    <t>CoStep2StepLengthSwingsideT14</t>
  </si>
  <si>
    <t>CoStep2StepLengthDistanceT14</t>
  </si>
  <si>
    <t>CoStep2StepTimeT14</t>
  </si>
  <si>
    <t>CoStep2DoubleSupportTimeT14</t>
  </si>
  <si>
    <t>CoStep2StanceTimeT14</t>
  </si>
  <si>
    <t>CoStep3StepLengthSwingsideT14</t>
  </si>
  <si>
    <t>CoStep3StepLengthDistanceT14</t>
  </si>
  <si>
    <t>CoStep3StepTimeT14</t>
  </si>
  <si>
    <t>CoStep3DoubleSupportTimeT14</t>
  </si>
  <si>
    <t>CoStep3StanceTimeT14</t>
  </si>
  <si>
    <t>CoStride1StrideLengthSide0%T14</t>
  </si>
  <si>
    <t>CoStride1StrideLengthDistanceT14</t>
  </si>
  <si>
    <t>CoStride1StrideTimeT14</t>
  </si>
  <si>
    <t>CoStride1SwingTimeT14</t>
  </si>
  <si>
    <t>CoStride2StrideLengthSide0%T14</t>
  </si>
  <si>
    <t>CoStride2StrideLengthDistanceT14</t>
  </si>
  <si>
    <t>CoStride2StrideTimeT14</t>
  </si>
  <si>
    <t>CoStride2SwingTimeT14</t>
  </si>
  <si>
    <t>CoStep1StepLengthSwingsideT15</t>
  </si>
  <si>
    <t>CoStep1StepLengthDistanceT15</t>
  </si>
  <si>
    <t>CoStep1StepTimeT15</t>
  </si>
  <si>
    <t>CoStep1DoubleSupportTimeT15</t>
  </si>
  <si>
    <t>CoStep1StanceTimeT15</t>
  </si>
  <si>
    <t>CoStep2StepLengthSwingsideT15</t>
  </si>
  <si>
    <t>CoStep2StepLengthDistanceT15</t>
  </si>
  <si>
    <t>CoStep2StepTimeT15</t>
  </si>
  <si>
    <t>CoStep2DoubleSupportTimeT15</t>
  </si>
  <si>
    <t>CoStep2StanceTimeT15</t>
  </si>
  <si>
    <t>CoStep3StepLengthSwingsideT15</t>
  </si>
  <si>
    <t>CoStep3StepLengthDistanceT15</t>
  </si>
  <si>
    <t>CoStep3StepTimeT15</t>
  </si>
  <si>
    <t>CoStep3DoubleSupportTimeT15</t>
  </si>
  <si>
    <t>CoStep3StanceTimeT15</t>
  </si>
  <si>
    <t>CoStride1StrideLengthSide0%T15</t>
  </si>
  <si>
    <t>CoStride1StrideLengthDistanceT15</t>
  </si>
  <si>
    <t>CoStride1StrideTimeT15</t>
  </si>
  <si>
    <t>CoStride1SwingTimeT15</t>
  </si>
  <si>
    <t>CoStride2StrideLengthSide0%T15</t>
  </si>
  <si>
    <t>CoStride2StrideLengthDistanceT15</t>
  </si>
  <si>
    <t>CoStride2StrideTimeT15</t>
  </si>
  <si>
    <t>CoStride2SwingTimeT15</t>
  </si>
  <si>
    <t>CoStep1StepLengthSwingsideT16</t>
  </si>
  <si>
    <t>CoStep1StepLengthDistanceT16</t>
  </si>
  <si>
    <t>CoStep1StepTimeT16</t>
  </si>
  <si>
    <t>CoStep1DoubleSupportTimeT16</t>
  </si>
  <si>
    <t>CoStep1StanceTimeT16</t>
  </si>
  <si>
    <t>CoStep2StepLengthSwingsideT16</t>
  </si>
  <si>
    <t>CoStep2StepLengthDistanceT16</t>
  </si>
  <si>
    <t>CoStep2StepTimeT16</t>
  </si>
  <si>
    <t>CoStep2DoubleSupportTimeT16</t>
  </si>
  <si>
    <t>CoStep2StanceTimeT16</t>
  </si>
  <si>
    <t>CoStep3StepLengthSwingsideT16</t>
  </si>
  <si>
    <t>CoStep3StepLengthDistanceT16</t>
  </si>
  <si>
    <t>CoStep3StepTimeT16</t>
  </si>
  <si>
    <t>CoStep3DoubleSupportTimeT16</t>
  </si>
  <si>
    <t>CoStep3StanceTimeT16</t>
  </si>
  <si>
    <t>CoStride1StrideLengthSide0%T16</t>
  </si>
  <si>
    <t>CoStride1StrideLengthDistanceT16</t>
  </si>
  <si>
    <t>CoStride1StrideTimeT16</t>
  </si>
  <si>
    <t>CoStride1SwingTimeT16</t>
  </si>
  <si>
    <t>CoStride2StrideLengthSide0%T16</t>
  </si>
  <si>
    <t>CoStride2StrideLengthDistanceT16</t>
  </si>
  <si>
    <t>CoStride2StrideTimeT16</t>
  </si>
  <si>
    <t>CoStride2SwingTimeT16</t>
  </si>
  <si>
    <t>CoStep1StepLengthSwingsideT17</t>
  </si>
  <si>
    <t>CoStep1StepLengthDistanceT17</t>
  </si>
  <si>
    <t>CoStep1StepTimeT17</t>
  </si>
  <si>
    <t>CoStep1DoubleSupportTimeT17</t>
  </si>
  <si>
    <t>CoStep1StanceTimeT17</t>
  </si>
  <si>
    <t>CoStep2StepLengthSwingsideT17</t>
  </si>
  <si>
    <t>CoStep2StepLengthDistanceT17</t>
  </si>
  <si>
    <t>CoStep2StepTimeT17</t>
  </si>
  <si>
    <t>CoStep2DoubleSupportTimeT17</t>
  </si>
  <si>
    <t>CoStep2StanceTimeT17</t>
  </si>
  <si>
    <t>CoStep3StepLengthSwingsideT17</t>
  </si>
  <si>
    <t>CoStep3StepLengthDistanceT17</t>
  </si>
  <si>
    <t>CoStep3StepTimeT17</t>
  </si>
  <si>
    <t>CoStep3DoubleSupportTimeT17</t>
  </si>
  <si>
    <t>CoStep3StanceTimeT17</t>
  </si>
  <si>
    <t>CoStride1StrideLengthSide0%T17</t>
  </si>
  <si>
    <t>CoStride1StrideLengthDistanceT17</t>
  </si>
  <si>
    <t>CoStride1StrideTimeT17</t>
  </si>
  <si>
    <t>CoStride1SwingTimeT17</t>
  </si>
  <si>
    <t>CoStride2StrideLengthSide0%T17</t>
  </si>
  <si>
    <t>CoStride2StrideLengthDistanceT17</t>
  </si>
  <si>
    <t>CoStride2StrideTimeT17</t>
  </si>
  <si>
    <t>CoStride2SwingTimeT17</t>
  </si>
  <si>
    <t>CoStep1StepLengthSwingsideT18</t>
  </si>
  <si>
    <t>CoStep1StepLengthDistanceT18</t>
  </si>
  <si>
    <t>CoStep1StepTimeT18</t>
  </si>
  <si>
    <t>CoStep1DoubleSupportTimeT18</t>
  </si>
  <si>
    <t>CoStep1StanceTimeT18</t>
  </si>
  <si>
    <t>CoStep2StepLengthSwingsideT18</t>
  </si>
  <si>
    <t>CoStep2StepLengthDistanceT18</t>
  </si>
  <si>
    <t>CoStep2StepTimeT18</t>
  </si>
  <si>
    <t>CoStep2DoubleSupportTimeT18</t>
  </si>
  <si>
    <t>CoStep2StanceTimeT18</t>
  </si>
  <si>
    <t>CoStep3StepLengthSwingsideT18</t>
  </si>
  <si>
    <t>CoStep3StepLengthDistanceT18</t>
  </si>
  <si>
    <t>CoStep3StepTimeT18</t>
  </si>
  <si>
    <t>CoStep3DoubleSupportTimeT18</t>
  </si>
  <si>
    <t>CoStep3StanceTimeT18</t>
  </si>
  <si>
    <t>CoStride1StrideLengthSide0%T18</t>
  </si>
  <si>
    <t>CoStride1StrideLengthDistanceT18</t>
  </si>
  <si>
    <t>CoStride1StrideTimeT18</t>
  </si>
  <si>
    <t>CoStride1SwingTimeT18</t>
  </si>
  <si>
    <t>CoStride2StrideLengthSide0%T18</t>
  </si>
  <si>
    <t>CoStride2StrideLengthDistanceT18</t>
  </si>
  <si>
    <t>CoStride2StrideTimeT18</t>
  </si>
  <si>
    <t>CoStride2SwingTimeT18</t>
  </si>
  <si>
    <t>CoStep1StepLengthSwingsideT19</t>
  </si>
  <si>
    <t>CoStep1StepLengthDistanceT19</t>
  </si>
  <si>
    <t>CoStep1StepTimeT19</t>
  </si>
  <si>
    <t>CoStep1DoubleSupportTimeT19</t>
  </si>
  <si>
    <t>CoStep1StanceTimeT19</t>
  </si>
  <si>
    <t>CoStep2StepLengthSwingsideT19</t>
  </si>
  <si>
    <t>CoStep2StepLengthDistanceT19</t>
  </si>
  <si>
    <t>CoStep2StepTimeT19</t>
  </si>
  <si>
    <t>CoStep2DoubleSupportTimeT19</t>
  </si>
  <si>
    <t>CoStep2StanceTimeT19</t>
  </si>
  <si>
    <t>CoStep3StepLengthSwingsideT19</t>
  </si>
  <si>
    <t>CoStep3StepLengthDistanceT19</t>
  </si>
  <si>
    <t>CoStep3StepTimeT19</t>
  </si>
  <si>
    <t>CoStep3DoubleSupportTimeT19</t>
  </si>
  <si>
    <t>CoStep3StanceTimeT19</t>
  </si>
  <si>
    <t>CoStride1StrideLengthSide0%T19</t>
  </si>
  <si>
    <t>CoStride1StrideLengthDistanceT19</t>
  </si>
  <si>
    <t>CoStride1StrideTimeT19</t>
  </si>
  <si>
    <t>CoStride1SwingTimeT19</t>
  </si>
  <si>
    <t>CoStride2StrideLengthSide0%T19</t>
  </si>
  <si>
    <t>CoStride2StrideLengthDistanceT19</t>
  </si>
  <si>
    <t>CoStride2StrideTimeT19</t>
  </si>
  <si>
    <t>CoStride2SwingTimeT19</t>
  </si>
  <si>
    <t>CoStep1StepLengthSwingsideT20</t>
  </si>
  <si>
    <t>CoStep1StepLengthDistanceT20</t>
  </si>
  <si>
    <t>CoStep1StepTimeT20</t>
  </si>
  <si>
    <t>CoStep1DoubleSupportTimeT20</t>
  </si>
  <si>
    <t>CoStep1StanceTimeT20</t>
  </si>
  <si>
    <t>CoStep2StepLengthSwingsideT20</t>
  </si>
  <si>
    <t>CoStep2StepLengthDistanceT20</t>
  </si>
  <si>
    <t>CoStep2StepTimeT20</t>
  </si>
  <si>
    <t>CoStep2DoubleSupportTimeT20</t>
  </si>
  <si>
    <t>CoStep2StanceTimeT20</t>
  </si>
  <si>
    <t>CoStep3StepLengthSwingsideT20</t>
  </si>
  <si>
    <t>CoStep3StepLengthDistanceT20</t>
  </si>
  <si>
    <t>CoStep3StepTimeT20</t>
  </si>
  <si>
    <t>CoStep3DoubleSupportTimeT20</t>
  </si>
  <si>
    <t>CoStep3StanceTimeT20</t>
  </si>
  <si>
    <t>CoStride1StrideLengthSide0%T20</t>
  </si>
  <si>
    <t>CoStride1StrideLengthDistanceT20</t>
  </si>
  <si>
    <t>CoStride1StrideTimeT20</t>
  </si>
  <si>
    <t>CoStride1SwingTimeT20</t>
  </si>
  <si>
    <t>CoStride2StrideLengthSide0%T20</t>
  </si>
  <si>
    <t>CoStride2StrideLengthDistanceT20</t>
  </si>
  <si>
    <t>CoStride2StrideTimeT20</t>
  </si>
  <si>
    <t>CoStride2SwingTimeT20</t>
  </si>
  <si>
    <t>CoStep1StepLengthT1</t>
  </si>
  <si>
    <t>CoStep2StepLengthT1</t>
  </si>
  <si>
    <t>CoStep3StepLengthT1</t>
  </si>
  <si>
    <t>CoStep1StepLengthT2</t>
  </si>
  <si>
    <t>CoStep2StepLengthT2</t>
  </si>
  <si>
    <t>CoStep3StepLengthT2</t>
  </si>
  <si>
    <t>CoStep1StepLengthT3</t>
  </si>
  <si>
    <t>CoStep2StepLengthT3</t>
  </si>
  <si>
    <t>CoStep3StepLengthT3</t>
  </si>
  <si>
    <t>CoStep1StepLengthT4</t>
  </si>
  <si>
    <t>CoStep2StepLengthT4</t>
  </si>
  <si>
    <t>CoStep3StepLengthT4</t>
  </si>
  <si>
    <t>CoStep1StepLengthT5</t>
  </si>
  <si>
    <t>CoStep2StepLengthT5</t>
  </si>
  <si>
    <t>CoStep3StepLengthT5</t>
  </si>
  <si>
    <t>CoStep1StepLengthT6</t>
  </si>
  <si>
    <t>CoStep2StepLengthT6</t>
  </si>
  <si>
    <t>CoStep3StepLengthT6</t>
  </si>
  <si>
    <t>CoStep1StepLengthT7</t>
  </si>
  <si>
    <t>CoStep2StepLengthT7</t>
  </si>
  <si>
    <t>CoStep3StepLengthT7</t>
  </si>
  <si>
    <t>CoStep1StepLengthT8</t>
  </si>
  <si>
    <t>CoStep2StepLengthT8</t>
  </si>
  <si>
    <t>CoStep3StepLengthT8</t>
  </si>
  <si>
    <t>CoStep1StepLengthT9</t>
  </si>
  <si>
    <t>CoStep2StepLengthT9</t>
  </si>
  <si>
    <t>CoStep3StepLengthT9</t>
  </si>
  <si>
    <t>CoStep1StepLengthT10</t>
  </si>
  <si>
    <t>CoStep2StepLengthT10</t>
  </si>
  <si>
    <t>CoStep3StepLengthT10</t>
  </si>
  <si>
    <t>CoStep1StepLengthT11</t>
  </si>
  <si>
    <t>CoStep2StepLengthT11</t>
  </si>
  <si>
    <t>CoStep3StepLengthT11</t>
  </si>
  <si>
    <t>CoStep1StepLengthT12</t>
  </si>
  <si>
    <t>CoStep2StepLengthT12</t>
  </si>
  <si>
    <t>CoStep3StepLengthT12</t>
  </si>
  <si>
    <t>CoStep1StepLengthT13</t>
  </si>
  <si>
    <t>CoStep2StepLengthT13</t>
  </si>
  <si>
    <t>CoStep3StepLengthT13</t>
  </si>
  <si>
    <t>CoStep1StepLengthT14</t>
  </si>
  <si>
    <t>CoStep2StepLengthT14</t>
  </si>
  <si>
    <t>CoStep3StepLengthT14</t>
  </si>
  <si>
    <t>CoStep1StepLengthT15</t>
  </si>
  <si>
    <t>CoStep2StepLengthT15</t>
  </si>
  <si>
    <t>CoStep3StepLengthT15</t>
  </si>
  <si>
    <t>CoStep1StepLengthT16</t>
  </si>
  <si>
    <t>CoStep2StepLengthT16</t>
  </si>
  <si>
    <t>CoStep3StepLengthT16</t>
  </si>
  <si>
    <t>CoStep1StepLengthT17</t>
  </si>
  <si>
    <t>CoStep2StepLengthT17</t>
  </si>
  <si>
    <t>CoStep3StepLengthT17</t>
  </si>
  <si>
    <t>CoStep1StepLengthT18</t>
  </si>
  <si>
    <t>CoStep2StepLengthT18</t>
  </si>
  <si>
    <t>CoStep3StepLengthT18</t>
  </si>
  <si>
    <t>CoStep1StepLengthT19</t>
  </si>
  <si>
    <t>CoStep2StepLengthT19</t>
  </si>
  <si>
    <t>CoStep3StepLengthT19</t>
  </si>
  <si>
    <t>CoStep1StepLengthT20</t>
  </si>
  <si>
    <t>CoStep2StepLengthT20</t>
  </si>
  <si>
    <t>CoStep3StepLengthT20</t>
  </si>
  <si>
    <t>CoStep1SwingsideT1</t>
  </si>
  <si>
    <t>CoStep2SwingsideT1</t>
  </si>
  <si>
    <t>CoStep3SwingsideT1</t>
  </si>
  <si>
    <t>CoStep1SwingsideT2</t>
  </si>
  <si>
    <t>CoStep2SwingsideT2</t>
  </si>
  <si>
    <t>CoStep3SwingsideT2</t>
  </si>
  <si>
    <t>CoStep1SwingsideT3</t>
  </si>
  <si>
    <t>CoStep2SwingsideT3</t>
  </si>
  <si>
    <t>CoStep3SwingsideT3</t>
  </si>
  <si>
    <t>CoStep1SwingsideT4</t>
  </si>
  <si>
    <t>CoStep2SwingsideT4</t>
  </si>
  <si>
    <t>CoStep3SwingsideT4</t>
  </si>
  <si>
    <t>CoStep1SwingsideT5</t>
  </si>
  <si>
    <t>CoStep2SwingsideT5</t>
  </si>
  <si>
    <t>CoStep3SwingsideT5</t>
  </si>
  <si>
    <t>CoStep1SwingsideT6</t>
  </si>
  <si>
    <t>CoStep2SwingsideT6</t>
  </si>
  <si>
    <t>CoStep3SwingsideT6</t>
  </si>
  <si>
    <t>CoStep1SwingsideT7</t>
  </si>
  <si>
    <t>CoStep2SwingsideT7</t>
  </si>
  <si>
    <t>CoStep3SwingsideT7</t>
  </si>
  <si>
    <t>CoStep1SwingsideT8</t>
  </si>
  <si>
    <t>CoStep2SwingsideT8</t>
  </si>
  <si>
    <t>CoStep3SwingsideT8</t>
  </si>
  <si>
    <t>CoStep1SwingsideT9</t>
  </si>
  <si>
    <t>CoStep2SwingsideT9</t>
  </si>
  <si>
    <t>CoStep3SwingsideT9</t>
  </si>
  <si>
    <t>CoStep1SwingsideT10</t>
  </si>
  <si>
    <t>CoStep2SwingsideT10</t>
  </si>
  <si>
    <t>CoStep3SwingsideT10</t>
  </si>
  <si>
    <t>CoStep1SwingsideT11</t>
  </si>
  <si>
    <t>CoStep2SwingsideT11</t>
  </si>
  <si>
    <t>CoStep3SwingsideT11</t>
  </si>
  <si>
    <t>CoStep1SwingsideT12</t>
  </si>
  <si>
    <t>CoStep2SwingsideT12</t>
  </si>
  <si>
    <t>CoStep3SwingsideT12</t>
  </si>
  <si>
    <t>CoStep1SwingsideT13</t>
  </si>
  <si>
    <t>CoStep2SwingsideT13</t>
  </si>
  <si>
    <t>CoStep3SwingsideT13</t>
  </si>
  <si>
    <t>CoStep1SwingsideT14</t>
  </si>
  <si>
    <t>CoStep2SwingsideT14</t>
  </si>
  <si>
    <t>CoStep3SwingsideT14</t>
  </si>
  <si>
    <t>CoStep1SwingsideT15</t>
  </si>
  <si>
    <t>CoStep2SwingsideT15</t>
  </si>
  <si>
    <t>CoStep3SwingsideT15</t>
  </si>
  <si>
    <t>CoStep1SwingsideT16</t>
  </si>
  <si>
    <t>CoStep2SwingsideT16</t>
  </si>
  <si>
    <t>CoStep3SwingsideT16</t>
  </si>
  <si>
    <t>CoStep1SwingsideT17</t>
  </si>
  <si>
    <t>CoStep2SwingsideT17</t>
  </si>
  <si>
    <t>CoStep3SwingsideT17</t>
  </si>
  <si>
    <t>CoStep1SwingsideT18</t>
  </si>
  <si>
    <t>CoStep2SwingsideT18</t>
  </si>
  <si>
    <t>CoStep3SwingsideT18</t>
  </si>
  <si>
    <t>CoStep1SwingsideT19</t>
  </si>
  <si>
    <t>CoStep2SwingsideT19</t>
  </si>
  <si>
    <t>CoStep3SwingsideT19</t>
  </si>
  <si>
    <t>CoStep1SwingsideT20</t>
  </si>
  <si>
    <t>CoStep2SwingsideT20</t>
  </si>
  <si>
    <t>CoStep3SwingsideT20</t>
  </si>
  <si>
    <t>CoStride1SideT1</t>
  </si>
  <si>
    <t>CoStride2SideT1</t>
  </si>
  <si>
    <t>CoStride1SideT2</t>
  </si>
  <si>
    <t>CoStride2SideT2</t>
  </si>
  <si>
    <t>CoStride1SideT3</t>
  </si>
  <si>
    <t>CoStride2SideT3</t>
  </si>
  <si>
    <t>CoStride1SideT4</t>
  </si>
  <si>
    <t>CoStride2SideT4</t>
  </si>
  <si>
    <t>CoStride1SideT5</t>
  </si>
  <si>
    <t>CoStride2SideT5</t>
  </si>
  <si>
    <t>CoStride1SideT6</t>
  </si>
  <si>
    <t>CoStride2SideT6</t>
  </si>
  <si>
    <t>CoStride1SideT7</t>
  </si>
  <si>
    <t>CoStride2SideT7</t>
  </si>
  <si>
    <t>CoStride1SideT8</t>
  </si>
  <si>
    <t>CoStride2SideT8</t>
  </si>
  <si>
    <t>CoStride1SideT9</t>
  </si>
  <si>
    <t>CoStride2SideT9</t>
  </si>
  <si>
    <t>CoStride1SideT10</t>
  </si>
  <si>
    <t>CoStride2SideT10</t>
  </si>
  <si>
    <t>CoStride1SideT11</t>
  </si>
  <si>
    <t>CoStride2SideT11</t>
  </si>
  <si>
    <t>CoStride1SideT12</t>
  </si>
  <si>
    <t>CoStride2SideT12</t>
  </si>
  <si>
    <t>CoStride1SideT13</t>
  </si>
  <si>
    <t>CoStride2SideT13</t>
  </si>
  <si>
    <t>CoStride1SideT14</t>
  </si>
  <si>
    <t>CoStride2SideT14</t>
  </si>
  <si>
    <t>CoStride1SideT15</t>
  </si>
  <si>
    <t>CoStride2SideT15</t>
  </si>
  <si>
    <t>CoStride1SideT16</t>
  </si>
  <si>
    <t>CoStride2SideT16</t>
  </si>
  <si>
    <t>CoStride1SideT17</t>
  </si>
  <si>
    <t>CoStride2SideT17</t>
  </si>
  <si>
    <t>CoStride1SideT18</t>
  </si>
  <si>
    <t>CoStride2SideT18</t>
  </si>
  <si>
    <t>CoStride1SideT19</t>
  </si>
  <si>
    <t>CoStride2SideT19</t>
  </si>
  <si>
    <t>CoStride1SideT20</t>
  </si>
  <si>
    <t>CoStride2SideT20</t>
  </si>
  <si>
    <t>CoStride1StrideLengthT1</t>
  </si>
  <si>
    <t>CoStride2StrideLengthT1</t>
  </si>
  <si>
    <t>CoStride1StrideLengthT2</t>
  </si>
  <si>
    <t>CoStride2StrideLengthT2</t>
  </si>
  <si>
    <t>CoStride1StrideLengthT3</t>
  </si>
  <si>
    <t>CoStride2StrideLengthT3</t>
  </si>
  <si>
    <t>CoStride1StrideLengthT4</t>
  </si>
  <si>
    <t>CoStride2StrideLengthT4</t>
  </si>
  <si>
    <t>CoStride1StrideLengthT5</t>
  </si>
  <si>
    <t>CoStride2StrideLengthT5</t>
  </si>
  <si>
    <t>CoStride1StrideLengthT6</t>
  </si>
  <si>
    <t>CoStride2StrideLengthT6</t>
  </si>
  <si>
    <t>CoStride1StrideLengthT7</t>
  </si>
  <si>
    <t>CoStride2StrideLengthT7</t>
  </si>
  <si>
    <t>CoStride1StrideLengthT8</t>
  </si>
  <si>
    <t>CoStride2StrideLengthT8</t>
  </si>
  <si>
    <t>CoStride1StrideLengthT9</t>
  </si>
  <si>
    <t>CoStride2StrideLengthT9</t>
  </si>
  <si>
    <t>CoStride1StrideLengthT10</t>
  </si>
  <si>
    <t>CoStride2StrideLengthT10</t>
  </si>
  <si>
    <t>CoStride1StrideLengthT11</t>
  </si>
  <si>
    <t>CoStride2StrideLengthT11</t>
  </si>
  <si>
    <t>CoStride1StrideLengthT12</t>
  </si>
  <si>
    <t>CoStride2StrideLengthT12</t>
  </si>
  <si>
    <t>CoStride1StrideLengthT13</t>
  </si>
  <si>
    <t>CoStride2StrideLengthT13</t>
  </si>
  <si>
    <t>CoStride1StrideLengthT14</t>
  </si>
  <si>
    <t>CoStride2StrideLengthT14</t>
  </si>
  <si>
    <t>CoStride1StrideLengthT15</t>
  </si>
  <si>
    <t>CoStride2StrideLengthT15</t>
  </si>
  <si>
    <t>CoStride1StrideLengthT16</t>
  </si>
  <si>
    <t>CoStride2StrideLengthT16</t>
  </si>
  <si>
    <t>CoStride1StrideLengthT17</t>
  </si>
  <si>
    <t>CoStride2StrideLengthT17</t>
  </si>
  <si>
    <t>CoStride1StrideLengthT18</t>
  </si>
  <si>
    <t>CoStride2StrideLengthT18</t>
  </si>
  <si>
    <t>CoStride1StrideLengthT19</t>
  </si>
  <si>
    <t>CoStride2StrideLengthT19</t>
  </si>
  <si>
    <t>CoStride1StrideLengthT20</t>
  </si>
  <si>
    <t>CoStride2StrideLengthT20</t>
  </si>
  <si>
    <t>Walkway</t>
  </si>
  <si>
    <t>Walkway:</t>
  </si>
  <si>
    <t>CoStep1WalkwayT1</t>
  </si>
  <si>
    <t>CoStep1WalkwayT2</t>
  </si>
  <si>
    <t>CoStep1WalkwayT3</t>
  </si>
  <si>
    <t>CoStep1WalkwayT4</t>
  </si>
  <si>
    <t>CoStep1WalkwayT5</t>
  </si>
  <si>
    <t>CoStep1WalkwayT6</t>
  </si>
  <si>
    <t>CoStep1WalkwayT7</t>
  </si>
  <si>
    <t>CoStep1WalkwayT8</t>
  </si>
  <si>
    <t>CoStep1WalkwayT9</t>
  </si>
  <si>
    <t>CoStep1WalkwayT10</t>
  </si>
  <si>
    <t>CoStep1WalkwayT11</t>
  </si>
  <si>
    <t>CoStep1WalkwayT12</t>
  </si>
  <si>
    <t>CoStep1WalkwayT13</t>
  </si>
  <si>
    <t>CoStep1WalkwayT14</t>
  </si>
  <si>
    <t>CoStep1WalkwayT15</t>
  </si>
  <si>
    <t>CoStep1WalkwayT16</t>
  </si>
  <si>
    <t>CoStep1WalkwayT17</t>
  </si>
  <si>
    <t>CoStep1WalkwayT18</t>
  </si>
  <si>
    <t>CoStep1WalkwayT19</t>
  </si>
  <si>
    <t>CoStep1WalkwayT20</t>
  </si>
  <si>
    <t>CoStep2WalkwayT1</t>
  </si>
  <si>
    <t>CoStep2WalkwayT2</t>
  </si>
  <si>
    <t>CoStep2WalkwayT3</t>
  </si>
  <si>
    <t>CoStep2WalkwayT4</t>
  </si>
  <si>
    <t>CoStep2WalkwayT5</t>
  </si>
  <si>
    <t>CoStep2WalkwayT6</t>
  </si>
  <si>
    <t>CoStep2WalkwayT7</t>
  </si>
  <si>
    <t>CoStep2WalkwayT8</t>
  </si>
  <si>
    <t>CoStep2WalkwayT9</t>
  </si>
  <si>
    <t>CoStep2WalkwayT10</t>
  </si>
  <si>
    <t>CoStep2WalkwayT11</t>
  </si>
  <si>
    <t>CoStep2WalkwayT12</t>
  </si>
  <si>
    <t>CoStep2WalkwayT13</t>
  </si>
  <si>
    <t>CoStep2WalkwayT14</t>
  </si>
  <si>
    <t>CoStep2WalkwayT15</t>
  </si>
  <si>
    <t>CoStep2WalkwayT16</t>
  </si>
  <si>
    <t>CoStep2WalkwayT17</t>
  </si>
  <si>
    <t>CoStep2WalkwayT18</t>
  </si>
  <si>
    <t>CoStep2WalkwayT19</t>
  </si>
  <si>
    <t>CoStep2WalkwayT20</t>
  </si>
  <si>
    <t>CoStep3WalkwayT1</t>
  </si>
  <si>
    <t>CoStep3WalkwayT2</t>
  </si>
  <si>
    <t>CoStep3WalkwayT3</t>
  </si>
  <si>
    <t>CoStep3WalkwayT4</t>
  </si>
  <si>
    <t>CoStep3WalkwayT5</t>
  </si>
  <si>
    <t>CoStep3WalkwayT6</t>
  </si>
  <si>
    <t>CoStep3WalkwayT7</t>
  </si>
  <si>
    <t>CoStep3WalkwayT8</t>
  </si>
  <si>
    <t>CoStep3WalkwayT9</t>
  </si>
  <si>
    <t>CoStep3WalkwayT10</t>
  </si>
  <si>
    <t>CoStep3WalkwayT11</t>
  </si>
  <si>
    <t>CoStep3WalkwayT12</t>
  </si>
  <si>
    <t>CoStep3WalkwayT13</t>
  </si>
  <si>
    <t>CoStep3WalkwayT14</t>
  </si>
  <si>
    <t>CoStep3WalkwayT15</t>
  </si>
  <si>
    <t>CoStep3WalkwayT16</t>
  </si>
  <si>
    <t>CoStep3WalkwayT17</t>
  </si>
  <si>
    <t>CoStep3WalkwayT18</t>
  </si>
  <si>
    <t>CoStep3WalkwayT19</t>
  </si>
  <si>
    <t>CoStep3WalkwayT20</t>
  </si>
  <si>
    <t>W</t>
  </si>
  <si>
    <t>W30</t>
  </si>
  <si>
    <t>W55</t>
  </si>
  <si>
    <t>W80</t>
  </si>
  <si>
    <t>ShStep1SwingsideT1</t>
  </si>
  <si>
    <t>ShStep1StepLengthT1</t>
  </si>
  <si>
    <t>ShStep1StepTimeT1</t>
  </si>
  <si>
    <t>ShStep1DoubleSupportTimeT1</t>
  </si>
  <si>
    <t>ShStep1StanceTimeT1</t>
  </si>
  <si>
    <t>ShStep2SwingsideT1</t>
  </si>
  <si>
    <t>ShStep2StepLengthT1</t>
  </si>
  <si>
    <t>ShStep2StepTimeT1</t>
  </si>
  <si>
    <t>ShStep2DoubleSupportTimeT1</t>
  </si>
  <si>
    <t>ShStep2StanceTimeT1</t>
  </si>
  <si>
    <t>ShStep3SwingsideT1</t>
  </si>
  <si>
    <t>ShStep3StepLengthT1</t>
  </si>
  <si>
    <t>ShStep3StepTimeT1</t>
  </si>
  <si>
    <t>ShStep3DoubleSupportTimeT1</t>
  </si>
  <si>
    <t>ShStep3StanceTimeT1</t>
  </si>
  <si>
    <t>ShStride1SideT1</t>
  </si>
  <si>
    <t>ShStride1StrideLengthT1</t>
  </si>
  <si>
    <t>ShStride1StrideTimeT1</t>
  </si>
  <si>
    <t>ShStride1SwingTimeT1</t>
  </si>
  <si>
    <t>ShStride2SideT1</t>
  </si>
  <si>
    <t>ShStride2StrideLengthT1</t>
  </si>
  <si>
    <t>ShStride2StrideTimeT1</t>
  </si>
  <si>
    <t>ShStride2SwingTimeT1</t>
  </si>
  <si>
    <t>ShStep1SwingsideT2</t>
  </si>
  <si>
    <t>ShStep1StepLengthT2</t>
  </si>
  <si>
    <t>ShStep1StepTimeT2</t>
  </si>
  <si>
    <t>ShStep1DoubleSupportTimeT2</t>
  </si>
  <si>
    <t>ShStep1StanceTimeT2</t>
  </si>
  <si>
    <t>ShStep2SwingsideT2</t>
  </si>
  <si>
    <t>ShStep2StepLengthT2</t>
  </si>
  <si>
    <t>ShStep2StepTimeT2</t>
  </si>
  <si>
    <t>ShStep2DoubleSupportTimeT2</t>
  </si>
  <si>
    <t>ShStep2StanceTimeT2</t>
  </si>
  <si>
    <t>ShStep3SwingsideT2</t>
  </si>
  <si>
    <t>ShStep3StepLengthT2</t>
  </si>
  <si>
    <t>ShStep3StepTimeT2</t>
  </si>
  <si>
    <t>ShStep3DoubleSupportTimeT2</t>
  </si>
  <si>
    <t>ShStep3StanceTimeT2</t>
  </si>
  <si>
    <t>ShStride1SideT2</t>
  </si>
  <si>
    <t>ShStride1StrideLengthT2</t>
  </si>
  <si>
    <t>ShStride1StrideTimeT2</t>
  </si>
  <si>
    <t>ShStride1SwingTimeT2</t>
  </si>
  <si>
    <t>ShStride2SideT2</t>
  </si>
  <si>
    <t>ShStride2StrideLengthT2</t>
  </si>
  <si>
    <t>ShStride2StrideTimeT2</t>
  </si>
  <si>
    <t>ShStride2SwingTimeT2</t>
  </si>
  <si>
    <t>ShStep1SwingsideT3</t>
  </si>
  <si>
    <t>ShStep1StepLengthT3</t>
  </si>
  <si>
    <t>ShStep1StepTimeT3</t>
  </si>
  <si>
    <t>ShStep1DoubleSupportTimeT3</t>
  </si>
  <si>
    <t>ShStep1StanceTimeT3</t>
  </si>
  <si>
    <t>ShStep2SwingsideT3</t>
  </si>
  <si>
    <t>ShStep2StepLengthT3</t>
  </si>
  <si>
    <t>ShStep2StepTimeT3</t>
  </si>
  <si>
    <t>ShStep2DoubleSupportTimeT3</t>
  </si>
  <si>
    <t>ShStep2StanceTimeT3</t>
  </si>
  <si>
    <t>ShStep3SwingsideT3</t>
  </si>
  <si>
    <t>ShStep3StepLengthT3</t>
  </si>
  <si>
    <t>ShStep3StepTimeT3</t>
  </si>
  <si>
    <t>ShStep3DoubleSupportTimeT3</t>
  </si>
  <si>
    <t>ShStep3StanceTimeT3</t>
  </si>
  <si>
    <t>ShStride1SideT3</t>
  </si>
  <si>
    <t>ShStride1StrideLengthT3</t>
  </si>
  <si>
    <t>ShStride1StrideTimeT3</t>
  </si>
  <si>
    <t>ShStride1SwingTimeT3</t>
  </si>
  <si>
    <t>ShStride2SideT3</t>
  </si>
  <si>
    <t>ShStride2StrideLengthT3</t>
  </si>
  <si>
    <t>ShStride2StrideTimeT3</t>
  </si>
  <si>
    <t>ShStride2SwingTimeT3</t>
  </si>
  <si>
    <t>ShStep1SwingsideT4</t>
  </si>
  <si>
    <t>ShStep1StepLengthT4</t>
  </si>
  <si>
    <t>ShStep1StepTimeT4</t>
  </si>
  <si>
    <t>ShStep1DoubleSupportTimeT4</t>
  </si>
  <si>
    <t>ShStep1StanceTimeT4</t>
  </si>
  <si>
    <t>ShStep2SwingsideT4</t>
  </si>
  <si>
    <t>ShStep2StepLengthT4</t>
  </si>
  <si>
    <t>ShStep2StepTimeT4</t>
  </si>
  <si>
    <t>ShStep2DoubleSupportTimeT4</t>
  </si>
  <si>
    <t>ShStep2StanceTimeT4</t>
  </si>
  <si>
    <t>ShStep3SwingsideT4</t>
  </si>
  <si>
    <t>ShStep3StepLengthT4</t>
  </si>
  <si>
    <t>ShStep3StepTimeT4</t>
  </si>
  <si>
    <t>ShStep3DoubleSupportTimeT4</t>
  </si>
  <si>
    <t>ShStep3StanceTimeT4</t>
  </si>
  <si>
    <t>ShStride1SideT4</t>
  </si>
  <si>
    <t>ShStride1StrideLengthT4</t>
  </si>
  <si>
    <t>ShStride1StrideTimeT4</t>
  </si>
  <si>
    <t>ShStride1SwingTimeT4</t>
  </si>
  <si>
    <t>ShStride2SideT4</t>
  </si>
  <si>
    <t>ShStride2StrideLengthT4</t>
  </si>
  <si>
    <t>ShStride2StrideTimeT4</t>
  </si>
  <si>
    <t>ShStride2SwingTimeT4</t>
  </si>
  <si>
    <t>ShStep1SwingsideT5</t>
  </si>
  <si>
    <t>ShStep1StepLengthT5</t>
  </si>
  <si>
    <t>ShStep1StepTimeT5</t>
  </si>
  <si>
    <t>ShStep1DoubleSupportTimeT5</t>
  </si>
  <si>
    <t>ShStep1StanceTimeT5</t>
  </si>
  <si>
    <t>ShStep2SwingsideT5</t>
  </si>
  <si>
    <t>ShStep2StepLengthT5</t>
  </si>
  <si>
    <t>ShStep2StepTimeT5</t>
  </si>
  <si>
    <t>ShStep2DoubleSupportTimeT5</t>
  </si>
  <si>
    <t>ShStep2StanceTimeT5</t>
  </si>
  <si>
    <t>ShStep3SwingsideT5</t>
  </si>
  <si>
    <t>ShStep3StepLengthT5</t>
  </si>
  <si>
    <t>ShStep3StepTimeT5</t>
  </si>
  <si>
    <t>ShStep3DoubleSupportTimeT5</t>
  </si>
  <si>
    <t>ShStep3StanceTimeT5</t>
  </si>
  <si>
    <t>ShStride1SideT5</t>
  </si>
  <si>
    <t>ShStride1StrideLengthT5</t>
  </si>
  <si>
    <t>ShStride1StrideTimeT5</t>
  </si>
  <si>
    <t>ShStride1SwingTimeT5</t>
  </si>
  <si>
    <t>ShStride2SideT5</t>
  </si>
  <si>
    <t>ShStride2StrideLengthT5</t>
  </si>
  <si>
    <t>ShStride2StrideTimeT5</t>
  </si>
  <si>
    <t>ShStride2SwingTimeT5</t>
  </si>
  <si>
    <t>ShStep1SwingsideT6</t>
  </si>
  <si>
    <t>ShStep1StepLengthT6</t>
  </si>
  <si>
    <t>ShStep1StepTimeT6</t>
  </si>
  <si>
    <t>ShStep1DoubleSupportTimeT6</t>
  </si>
  <si>
    <t>ShStep1StanceTimeT6</t>
  </si>
  <si>
    <t>ShStep2SwingsideT6</t>
  </si>
  <si>
    <t>ShStep2StepLengthT6</t>
  </si>
  <si>
    <t>ShStep2StepTimeT6</t>
  </si>
  <si>
    <t>ShStep2DoubleSupportTimeT6</t>
  </si>
  <si>
    <t>ShStep2StanceTimeT6</t>
  </si>
  <si>
    <t>ShStep3SwingsideT6</t>
  </si>
  <si>
    <t>ShStep3StepLengthT6</t>
  </si>
  <si>
    <t>ShStep3StepTimeT6</t>
  </si>
  <si>
    <t>ShStep3DoubleSupportTimeT6</t>
  </si>
  <si>
    <t>ShStep3StanceTimeT6</t>
  </si>
  <si>
    <t>ShStride1SideT6</t>
  </si>
  <si>
    <t>ShStride1StrideLengthT6</t>
  </si>
  <si>
    <t>ShStride1StrideTimeT6</t>
  </si>
  <si>
    <t>ShStride1SwingTimeT6</t>
  </si>
  <si>
    <t>ShStride2SideT6</t>
  </si>
  <si>
    <t>ShStride2StrideLengthT6</t>
  </si>
  <si>
    <t>ShStride2StrideTimeT6</t>
  </si>
  <si>
    <t>ShStride2SwingTimeT6</t>
  </si>
  <si>
    <t>ShStep1SwingsideT7</t>
  </si>
  <si>
    <t>ShStep1StepLengthT7</t>
  </si>
  <si>
    <t>ShStep1StepTimeT7</t>
  </si>
  <si>
    <t>ShStep1DoubleSupportTimeT7</t>
  </si>
  <si>
    <t>ShStep1StanceTimeT7</t>
  </si>
  <si>
    <t>ShStep2SwingsideT7</t>
  </si>
  <si>
    <t>ShStep2StepLengthT7</t>
  </si>
  <si>
    <t>ShStep2StepTimeT7</t>
  </si>
  <si>
    <t>ShStep2DoubleSupportTimeT7</t>
  </si>
  <si>
    <t>ShStep2StanceTimeT7</t>
  </si>
  <si>
    <t>ShStep3SwingsideT7</t>
  </si>
  <si>
    <t>ShStep3StepLengthT7</t>
  </si>
  <si>
    <t>ShStep3StepTimeT7</t>
  </si>
  <si>
    <t>ShStep3DoubleSupportTimeT7</t>
  </si>
  <si>
    <t>ShStep3StanceTimeT7</t>
  </si>
  <si>
    <t>ShStride1SideT7</t>
  </si>
  <si>
    <t>ShStride1StrideLengthT7</t>
  </si>
  <si>
    <t>ShStride1StrideTimeT7</t>
  </si>
  <si>
    <t>ShStride1SwingTimeT7</t>
  </si>
  <si>
    <t>ShStride2SideT7</t>
  </si>
  <si>
    <t>ShStride2StrideLengthT7</t>
  </si>
  <si>
    <t>ShStride2StrideTimeT7</t>
  </si>
  <si>
    <t>ShStride2SwingTimeT7</t>
  </si>
  <si>
    <t>ShStep1SwingsideT8</t>
  </si>
  <si>
    <t>ShStep1StepLengthT8</t>
  </si>
  <si>
    <t>ShStep1StepTimeT8</t>
  </si>
  <si>
    <t>ShStep1DoubleSupportTimeT8</t>
  </si>
  <si>
    <t>ShStep1StanceTimeT8</t>
  </si>
  <si>
    <t>ShStep2SwingsideT8</t>
  </si>
  <si>
    <t>ShStep2StepLengthT8</t>
  </si>
  <si>
    <t>ShStep2StepTimeT8</t>
  </si>
  <si>
    <t>ShStep2DoubleSupportTimeT8</t>
  </si>
  <si>
    <t>ShStep2StanceTimeT8</t>
  </si>
  <si>
    <t>ShStep3SwingsideT8</t>
  </si>
  <si>
    <t>ShStep3StepLengthT8</t>
  </si>
  <si>
    <t>ShStep3StepTimeT8</t>
  </si>
  <si>
    <t>ShStep3DoubleSupportTimeT8</t>
  </si>
  <si>
    <t>ShStep3StanceTimeT8</t>
  </si>
  <si>
    <t>ShStride1SideT8</t>
  </si>
  <si>
    <t>ShStride1StrideLengthT8</t>
  </si>
  <si>
    <t>ShStride1StrideTimeT8</t>
  </si>
  <si>
    <t>ShStride1SwingTimeT8</t>
  </si>
  <si>
    <t>ShStride2SideT8</t>
  </si>
  <si>
    <t>ShStride2StrideLengthT8</t>
  </si>
  <si>
    <t>ShStride2StrideTimeT8</t>
  </si>
  <si>
    <t>ShStride2SwingTimeT8</t>
  </si>
  <si>
    <t>ShStep1SwingsideT9</t>
  </si>
  <si>
    <t>ShStep1StepLengthT9</t>
  </si>
  <si>
    <t>ShStep1StepTimeT9</t>
  </si>
  <si>
    <t>ShStep1DoubleSupportTimeT9</t>
  </si>
  <si>
    <t>ShStep1StanceTimeT9</t>
  </si>
  <si>
    <t>ShStep2SwingsideT9</t>
  </si>
  <si>
    <t>ShStep2StepLengthT9</t>
  </si>
  <si>
    <t>ShStep2StepTimeT9</t>
  </si>
  <si>
    <t>ShStep2DoubleSupportTimeT9</t>
  </si>
  <si>
    <t>ShStep2StanceTimeT9</t>
  </si>
  <si>
    <t>ShStep3SwingsideT9</t>
  </si>
  <si>
    <t>ShStep3StepLengthT9</t>
  </si>
  <si>
    <t>ShStep3StepTimeT9</t>
  </si>
  <si>
    <t>ShStep3DoubleSupportTimeT9</t>
  </si>
  <si>
    <t>ShStep3StanceTimeT9</t>
  </si>
  <si>
    <t>ShStride1SideT9</t>
  </si>
  <si>
    <t>ShStride1StrideLengthT9</t>
  </si>
  <si>
    <t>ShStride1StrideTimeT9</t>
  </si>
  <si>
    <t>ShStride1SwingTimeT9</t>
  </si>
  <si>
    <t>ShStride2SideT9</t>
  </si>
  <si>
    <t>ShStride2StrideLengthT9</t>
  </si>
  <si>
    <t>ShStride2StrideTimeT9</t>
  </si>
  <si>
    <t>ShStride2SwingTimeT9</t>
  </si>
  <si>
    <t>ShStep1SwingsideT10</t>
  </si>
  <si>
    <t>ShStep1StepLengthT10</t>
  </si>
  <si>
    <t>ShStep1StepTimeT10</t>
  </si>
  <si>
    <t>ShStep1DoubleSupportTimeT10</t>
  </si>
  <si>
    <t>ShStep1StanceTimeT10</t>
  </si>
  <si>
    <t>ShStep2SwingsideT10</t>
  </si>
  <si>
    <t>ShStep2StepLengthT10</t>
  </si>
  <si>
    <t>ShStep2StepTimeT10</t>
  </si>
  <si>
    <t>ShStep2DoubleSupportTimeT10</t>
  </si>
  <si>
    <t>ShStep2StanceTimeT10</t>
  </si>
  <si>
    <t>ShStep3SwingsideT10</t>
  </si>
  <si>
    <t>ShStep3StepLengthT10</t>
  </si>
  <si>
    <t>ShStep3StepTimeT10</t>
  </si>
  <si>
    <t>ShStep3DoubleSupportTimeT10</t>
  </si>
  <si>
    <t>ShStep3StanceTimeT10</t>
  </si>
  <si>
    <t>ShStride1SideT10</t>
  </si>
  <si>
    <t>ShStride1StrideLengthT10</t>
  </si>
  <si>
    <t>ShStride1StrideTimeT10</t>
  </si>
  <si>
    <t>ShStride1SwingTimeT10</t>
  </si>
  <si>
    <t>ShStride2SideT10</t>
  </si>
  <si>
    <t>ShStride2StrideLengthT10</t>
  </si>
  <si>
    <t>ShStride2StrideTimeT10</t>
  </si>
  <si>
    <t>ShStride2SwingTimeT10</t>
  </si>
  <si>
    <t>ShStep1SwingsideT11</t>
  </si>
  <si>
    <t>ShStep1StepLengthT11</t>
  </si>
  <si>
    <t>ShStep1StepTimeT11</t>
  </si>
  <si>
    <t>ShStep1DoubleSupportTimeT11</t>
  </si>
  <si>
    <t>ShStep1StanceTimeT11</t>
  </si>
  <si>
    <t>ShStep2SwingsideT11</t>
  </si>
  <si>
    <t>ShStep2StepLengthT11</t>
  </si>
  <si>
    <t>ShStep2StepTimeT11</t>
  </si>
  <si>
    <t>ShStep2DoubleSupportTimeT11</t>
  </si>
  <si>
    <t>ShStep2StanceTimeT11</t>
  </si>
  <si>
    <t>ShStep3SwingsideT11</t>
  </si>
  <si>
    <t>ShStep3StepLengthT11</t>
  </si>
  <si>
    <t>ShStep3StepTimeT11</t>
  </si>
  <si>
    <t>ShStep3DoubleSupportTimeT11</t>
  </si>
  <si>
    <t>ShStep3StanceTimeT11</t>
  </si>
  <si>
    <t>ShStride1SideT11</t>
  </si>
  <si>
    <t>ShStride1StrideLengthT11</t>
  </si>
  <si>
    <t>ShStride1StrideTimeT11</t>
  </si>
  <si>
    <t>ShStride1SwingTimeT11</t>
  </si>
  <si>
    <t>ShStride2SideT11</t>
  </si>
  <si>
    <t>ShStride2StrideLengthT11</t>
  </si>
  <si>
    <t>ShStride2StrideTimeT11</t>
  </si>
  <si>
    <t>ShStride2SwingTimeT11</t>
  </si>
  <si>
    <t>ShStep1SwingsideT12</t>
  </si>
  <si>
    <t>ShStep1StepLengthT12</t>
  </si>
  <si>
    <t>ShStep1StepTimeT12</t>
  </si>
  <si>
    <t>ShStep1DoubleSupportTimeT12</t>
  </si>
  <si>
    <t>ShStep1StanceTimeT12</t>
  </si>
  <si>
    <t>ShStep2SwingsideT12</t>
  </si>
  <si>
    <t>ShStep2StepLengthT12</t>
  </si>
  <si>
    <t>ShStep2StepTimeT12</t>
  </si>
  <si>
    <t>ShStep2DoubleSupportTimeT12</t>
  </si>
  <si>
    <t>ShStep2StanceTimeT12</t>
  </si>
  <si>
    <t>ShStep3SwingsideT12</t>
  </si>
  <si>
    <t>ShStep3StepLengthT12</t>
  </si>
  <si>
    <t>ShStep3StepTimeT12</t>
  </si>
  <si>
    <t>ShStep3DoubleSupportTimeT12</t>
  </si>
  <si>
    <t>ShStep3StanceTimeT12</t>
  </si>
  <si>
    <t>ShStride1SideT12</t>
  </si>
  <si>
    <t>ShStride1StrideLengthT12</t>
  </si>
  <si>
    <t>ShStride1StrideTimeT12</t>
  </si>
  <si>
    <t>ShStride1SwingTimeT12</t>
  </si>
  <si>
    <t>ShStride2SideT12</t>
  </si>
  <si>
    <t>ShStride2StrideLengthT12</t>
  </si>
  <si>
    <t>ShStride2StrideTimeT12</t>
  </si>
  <si>
    <t>ShStride2SwingTimeT12</t>
  </si>
  <si>
    <t>ShStep1SwingsideT13</t>
  </si>
  <si>
    <t>ShStep1StepLengthT13</t>
  </si>
  <si>
    <t>ShStep1StepTimeT13</t>
  </si>
  <si>
    <t>ShStep1DoubleSupportTimeT13</t>
  </si>
  <si>
    <t>ShStep1StanceTimeT13</t>
  </si>
  <si>
    <t>ShStep2SwingsideT13</t>
  </si>
  <si>
    <t>ShStep2StepLengthT13</t>
  </si>
  <si>
    <t>ShStep2StepTimeT13</t>
  </si>
  <si>
    <t>ShStep2DoubleSupportTimeT13</t>
  </si>
  <si>
    <t>ShStep2StanceTimeT13</t>
  </si>
  <si>
    <t>ShStep3SwingsideT13</t>
  </si>
  <si>
    <t>ShStep3StepLengthT13</t>
  </si>
  <si>
    <t>ShStep3StepTimeT13</t>
  </si>
  <si>
    <t>ShStep3DoubleSupportTimeT13</t>
  </si>
  <si>
    <t>ShStep3StanceTimeT13</t>
  </si>
  <si>
    <t>ShStride1SideT13</t>
  </si>
  <si>
    <t>ShStride1StrideLengthT13</t>
  </si>
  <si>
    <t>ShStride1StrideTimeT13</t>
  </si>
  <si>
    <t>ShStride1SwingTimeT13</t>
  </si>
  <si>
    <t>ShStride2SideT13</t>
  </si>
  <si>
    <t>ShStride2StrideLengthT13</t>
  </si>
  <si>
    <t>ShStride2StrideTimeT13</t>
  </si>
  <si>
    <t>ShStride2SwingTimeT13</t>
  </si>
  <si>
    <t>ShStep1SwingsideT14</t>
  </si>
  <si>
    <t>ShStep1StepLengthT14</t>
  </si>
  <si>
    <t>ShStep1StepTimeT14</t>
  </si>
  <si>
    <t>ShStep1DoubleSupportTimeT14</t>
  </si>
  <si>
    <t>ShStep1StanceTimeT14</t>
  </si>
  <si>
    <t>ShStep2SwingsideT14</t>
  </si>
  <si>
    <t>ShStep2StepLengthT14</t>
  </si>
  <si>
    <t>ShStep2StepTimeT14</t>
  </si>
  <si>
    <t>ShStep2DoubleSupportTimeT14</t>
  </si>
  <si>
    <t>ShStep2StanceTimeT14</t>
  </si>
  <si>
    <t>ShStep3SwingsideT14</t>
  </si>
  <si>
    <t>ShStep3StepLengthT14</t>
  </si>
  <si>
    <t>ShStep3StepTimeT14</t>
  </si>
  <si>
    <t>ShStep3DoubleSupportTimeT14</t>
  </si>
  <si>
    <t>ShStep3StanceTimeT14</t>
  </si>
  <si>
    <t>ShStride1SideT14</t>
  </si>
  <si>
    <t>ShStride1StrideLengthT14</t>
  </si>
  <si>
    <t>ShStride1StrideTimeT14</t>
  </si>
  <si>
    <t>ShStride1SwingTimeT14</t>
  </si>
  <si>
    <t>ShStride2SideT14</t>
  </si>
  <si>
    <t>ShStride2StrideLengthT14</t>
  </si>
  <si>
    <t>ShStride2StrideTimeT14</t>
  </si>
  <si>
    <t>ShStride2SwingTimeT14</t>
  </si>
  <si>
    <t>ShStep1SwingsideT15</t>
  </si>
  <si>
    <t>ShStep1StepLengthT15</t>
  </si>
  <si>
    <t>ShStep1StepTimeT15</t>
  </si>
  <si>
    <t>ShStep1DoubleSupportTimeT15</t>
  </si>
  <si>
    <t>ShStep1StanceTimeT15</t>
  </si>
  <si>
    <t>ShStep2SwingsideT15</t>
  </si>
  <si>
    <t>ShStep2StepLengthT15</t>
  </si>
  <si>
    <t>ShStep2StepTimeT15</t>
  </si>
  <si>
    <t>ShStep2DoubleSupportTimeT15</t>
  </si>
  <si>
    <t>ShStep2StanceTimeT15</t>
  </si>
  <si>
    <t>ShStep3SwingsideT15</t>
  </si>
  <si>
    <t>ShStep3StepLengthT15</t>
  </si>
  <si>
    <t>ShStep3StepTimeT15</t>
  </si>
  <si>
    <t>ShStep3DoubleSupportTimeT15</t>
  </si>
  <si>
    <t>ShStep3StanceTimeT15</t>
  </si>
  <si>
    <t>ShStride1SideT15</t>
  </si>
  <si>
    <t>ShStride1StrideLengthT15</t>
  </si>
  <si>
    <t>ShStride1StrideTimeT15</t>
  </si>
  <si>
    <t>ShStride1SwingTimeT15</t>
  </si>
  <si>
    <t>ShStride2SideT15</t>
  </si>
  <si>
    <t>ShStride2StrideLengthT15</t>
  </si>
  <si>
    <t>ShStride2StrideTimeT15</t>
  </si>
  <si>
    <t>ShStride2SwingTimeT15</t>
  </si>
  <si>
    <t>ShStep1SwingsideT16</t>
  </si>
  <si>
    <t>ShStep1StepLengthT16</t>
  </si>
  <si>
    <t>ShStep1StepTimeT16</t>
  </si>
  <si>
    <t>ShStep1DoubleSupportTimeT16</t>
  </si>
  <si>
    <t>ShStep1StanceTimeT16</t>
  </si>
  <si>
    <t>ShStep2SwingsideT16</t>
  </si>
  <si>
    <t>ShStep2StepLengthT16</t>
  </si>
  <si>
    <t>ShStep2StepTimeT16</t>
  </si>
  <si>
    <t>ShStep2DoubleSupportTimeT16</t>
  </si>
  <si>
    <t>ShStep2StanceTimeT16</t>
  </si>
  <si>
    <t>ShStep3SwingsideT16</t>
  </si>
  <si>
    <t>ShStep3StepLengthT16</t>
  </si>
  <si>
    <t>ShStep3StepTimeT16</t>
  </si>
  <si>
    <t>ShStep3DoubleSupportTimeT16</t>
  </si>
  <si>
    <t>ShStep3StanceTimeT16</t>
  </si>
  <si>
    <t>ShStride1SideT16</t>
  </si>
  <si>
    <t>ShStride1StrideLengthT16</t>
  </si>
  <si>
    <t>ShStride1StrideTimeT16</t>
  </si>
  <si>
    <t>ShStride1SwingTimeT16</t>
  </si>
  <si>
    <t>ShStride2SideT16</t>
  </si>
  <si>
    <t>ShStride2StrideLengthT16</t>
  </si>
  <si>
    <t>ShStride2StrideTimeT16</t>
  </si>
  <si>
    <t>ShStride2SwingTimeT16</t>
  </si>
  <si>
    <t>ShStep1SwingsideT17</t>
  </si>
  <si>
    <t>ShStep1StepLengthT17</t>
  </si>
  <si>
    <t>ShStep1StepTimeT17</t>
  </si>
  <si>
    <t>ShStep1DoubleSupportTimeT17</t>
  </si>
  <si>
    <t>ShStep1StanceTimeT17</t>
  </si>
  <si>
    <t>ShStep2SwingsideT17</t>
  </si>
  <si>
    <t>ShStep2StepLengthT17</t>
  </si>
  <si>
    <t>ShStep2StepTimeT17</t>
  </si>
  <si>
    <t>ShStep2DoubleSupportTimeT17</t>
  </si>
  <si>
    <t>ShStep2StanceTimeT17</t>
  </si>
  <si>
    <t>ShStep3SwingsideT17</t>
  </si>
  <si>
    <t>ShStep3StepLengthT17</t>
  </si>
  <si>
    <t>ShStep3StepTimeT17</t>
  </si>
  <si>
    <t>ShStep3DoubleSupportTimeT17</t>
  </si>
  <si>
    <t>ShStep3StanceTimeT17</t>
  </si>
  <si>
    <t>ShStride1SideT17</t>
  </si>
  <si>
    <t>ShStride1StrideLengthT17</t>
  </si>
  <si>
    <t>ShStride1StrideTimeT17</t>
  </si>
  <si>
    <t>ShStride1SwingTimeT17</t>
  </si>
  <si>
    <t>ShStride2SideT17</t>
  </si>
  <si>
    <t>ShStride2StrideLengthT17</t>
  </si>
  <si>
    <t>ShStride2StrideTimeT17</t>
  </si>
  <si>
    <t>ShStride2SwingTimeT17</t>
  </si>
  <si>
    <t>ShStep1SwingsideT18</t>
  </si>
  <si>
    <t>ShStep1StepLengthT18</t>
  </si>
  <si>
    <t>ShStep1StepTimeT18</t>
  </si>
  <si>
    <t>ShStep1DoubleSupportTimeT18</t>
  </si>
  <si>
    <t>ShStep1StanceTimeT18</t>
  </si>
  <si>
    <t>ShStep2SwingsideT18</t>
  </si>
  <si>
    <t>ShStep2StepLengthT18</t>
  </si>
  <si>
    <t>ShStep2StepTimeT18</t>
  </si>
  <si>
    <t>ShStep2DoubleSupportTimeT18</t>
  </si>
  <si>
    <t>ShStep2StanceTimeT18</t>
  </si>
  <si>
    <t>ShStep3SwingsideT18</t>
  </si>
  <si>
    <t>ShStep3StepLengthT18</t>
  </si>
  <si>
    <t>ShStep3StepTimeT18</t>
  </si>
  <si>
    <t>ShStep3DoubleSupportTimeT18</t>
  </si>
  <si>
    <t>ShStep3StanceTimeT18</t>
  </si>
  <si>
    <t>ShStride1SideT18</t>
  </si>
  <si>
    <t>ShStride1StrideLengthT18</t>
  </si>
  <si>
    <t>ShStride1StrideTimeT18</t>
  </si>
  <si>
    <t>ShStride1SwingTimeT18</t>
  </si>
  <si>
    <t>ShStride2SideT18</t>
  </si>
  <si>
    <t>ShStride2StrideLengthT18</t>
  </si>
  <si>
    <t>ShStride2StrideTimeT18</t>
  </si>
  <si>
    <t>ShStride2SwingTimeT18</t>
  </si>
  <si>
    <t>ShStep1SwingsideT19</t>
  </si>
  <si>
    <t>ShStep1StepLengthT19</t>
  </si>
  <si>
    <t>ShStep1StepTimeT19</t>
  </si>
  <si>
    <t>ShStep1DoubleSupportTimeT19</t>
  </si>
  <si>
    <t>ShStep1StanceTimeT19</t>
  </si>
  <si>
    <t>ShStep2SwingsideT19</t>
  </si>
  <si>
    <t>ShStep2StepLengthT19</t>
  </si>
  <si>
    <t>ShStep2StepTimeT19</t>
  </si>
  <si>
    <t>ShStep2DoubleSupportTimeT19</t>
  </si>
  <si>
    <t>ShStep2StanceTimeT19</t>
  </si>
  <si>
    <t>ShStep3SwingsideT19</t>
  </si>
  <si>
    <t>ShStep3StepLengthT19</t>
  </si>
  <si>
    <t>ShStep3StepTimeT19</t>
  </si>
  <si>
    <t>ShStep3DoubleSupportTimeT19</t>
  </si>
  <si>
    <t>ShStep3StanceTimeT19</t>
  </si>
  <si>
    <t>ShStride1SideT19</t>
  </si>
  <si>
    <t>ShStride1StrideLengthT19</t>
  </si>
  <si>
    <t>ShStride1StrideTimeT19</t>
  </si>
  <si>
    <t>ShStride1SwingTimeT19</t>
  </si>
  <si>
    <t>ShStride2SideT19</t>
  </si>
  <si>
    <t>ShStride2StrideLengthT19</t>
  </si>
  <si>
    <t>ShStride2StrideTimeT19</t>
  </si>
  <si>
    <t>ShStride2SwingTimeT19</t>
  </si>
  <si>
    <t>ShStep1SwingsideT20</t>
  </si>
  <si>
    <t>ShStep1StepLengthT20</t>
  </si>
  <si>
    <t>ShStep1StepTimeT20</t>
  </si>
  <si>
    <t>ShStep1DoubleSupportTimeT20</t>
  </si>
  <si>
    <t>ShStep1StanceTimeT20</t>
  </si>
  <si>
    <t>ShStep2SwingsideT20</t>
  </si>
  <si>
    <t>ShStep2StepLengthT20</t>
  </si>
  <si>
    <t>ShStep2StepTimeT20</t>
  </si>
  <si>
    <t>ShStep2DoubleSupportTimeT20</t>
  </si>
  <si>
    <t>ShStep2StanceTimeT20</t>
  </si>
  <si>
    <t>ShStep3SwingsideT20</t>
  </si>
  <si>
    <t>ShStep3StepLengthT20</t>
  </si>
  <si>
    <t>ShStep3StepTimeT20</t>
  </si>
  <si>
    <t>ShStep3DoubleSupportTimeT20</t>
  </si>
  <si>
    <t>ShStep3StanceTimeT20</t>
  </si>
  <si>
    <t>ShStride1SideT20</t>
  </si>
  <si>
    <t>ShStride1StrideLengthT20</t>
  </si>
  <si>
    <t>ShStride1StrideTimeT20</t>
  </si>
  <si>
    <t>ShStride1SwingTimeT20</t>
  </si>
  <si>
    <t>ShStride2SideT20</t>
  </si>
  <si>
    <t>ShStride2StrideLengthT20</t>
  </si>
  <si>
    <t>ShStride2StrideTimeT20</t>
  </si>
  <si>
    <t>ShStride2SwingTimeT20</t>
  </si>
  <si>
    <t>ShStep1WalkwayT1</t>
  </si>
  <si>
    <t>ShStep1WalkwayT2</t>
  </si>
  <si>
    <t>ShStep1WalkwayT3</t>
  </si>
  <si>
    <t>ShStep1WalkwayT4</t>
  </si>
  <si>
    <t>ShStep1WalkwayT5</t>
  </si>
  <si>
    <t>ShStep1WalkwayT6</t>
  </si>
  <si>
    <t>ShStep1WalkwayT7</t>
  </si>
  <si>
    <t>ShStep1WalkwayT8</t>
  </si>
  <si>
    <t>ShStep1WalkwayT9</t>
  </si>
  <si>
    <t>ShStep1WalkwayT10</t>
  </si>
  <si>
    <t>ShStep1WalkwayT11</t>
  </si>
  <si>
    <t>ShStep1WalkwayT12</t>
  </si>
  <si>
    <t>ShStep1WalkwayT13</t>
  </si>
  <si>
    <t>ShStep1WalkwayT14</t>
  </si>
  <si>
    <t>ShStep1WalkwayT15</t>
  </si>
  <si>
    <t>ShStep1WalkwayT16</t>
  </si>
  <si>
    <t>ShStep1WalkwayT17</t>
  </si>
  <si>
    <t>ShStep1WalkwayT18</t>
  </si>
  <si>
    <t>ShStep1WalkwayT19</t>
  </si>
  <si>
    <t>ShStep1WalkwayT20</t>
  </si>
  <si>
    <t>ShStep2WalkwayT1</t>
  </si>
  <si>
    <t>ShStep2WalkwayT2</t>
  </si>
  <si>
    <t>ShStep2WalkwayT3</t>
  </si>
  <si>
    <t>ShStep2WalkwayT4</t>
  </si>
  <si>
    <t>ShStep2WalkwayT5</t>
  </si>
  <si>
    <t>ShStep2WalkwayT6</t>
  </si>
  <si>
    <t>ShStep2WalkwayT7</t>
  </si>
  <si>
    <t>ShStep2WalkwayT8</t>
  </si>
  <si>
    <t>ShStep2WalkwayT9</t>
  </si>
  <si>
    <t>ShStep2WalkwayT10</t>
  </si>
  <si>
    <t>ShStep2WalkwayT11</t>
  </si>
  <si>
    <t>ShStep2WalkwayT12</t>
  </si>
  <si>
    <t>ShStep2WalkwayT13</t>
  </si>
  <si>
    <t>ShStep2WalkwayT14</t>
  </si>
  <si>
    <t>ShStep2WalkwayT15</t>
  </si>
  <si>
    <t>ShStep2WalkwayT16</t>
  </si>
  <si>
    <t>ShStep2WalkwayT17</t>
  </si>
  <si>
    <t>ShStep2WalkwayT18</t>
  </si>
  <si>
    <t>ShStep2WalkwayT19</t>
  </si>
  <si>
    <t>ShStep2WalkwayT20</t>
  </si>
  <si>
    <t>ShStep3WalkwayT1</t>
  </si>
  <si>
    <t>ShStep3WalkwayT2</t>
  </si>
  <si>
    <t>ShStep3WalkwayT3</t>
  </si>
  <si>
    <t>ShStep3WalkwayT4</t>
  </si>
  <si>
    <t>ShStep3WalkwayT5</t>
  </si>
  <si>
    <t>ShStep3WalkwayT6</t>
  </si>
  <si>
    <t>ShStep3WalkwayT7</t>
  </si>
  <si>
    <t>ShStep3WalkwayT8</t>
  </si>
  <si>
    <t>ShStep3WalkwayT9</t>
  </si>
  <si>
    <t>ShStep3WalkwayT10</t>
  </si>
  <si>
    <t>ShStep3WalkwayT11</t>
  </si>
  <si>
    <t>ShStep3WalkwayT12</t>
  </si>
  <si>
    <t>ShStep3WalkwayT13</t>
  </si>
  <si>
    <t>ShStep3WalkwayT14</t>
  </si>
  <si>
    <t>ShStep3WalkwayT15</t>
  </si>
  <si>
    <t>ShStep3WalkwayT16</t>
  </si>
  <si>
    <t>ShStep3WalkwayT17</t>
  </si>
  <si>
    <t>ShStep3WalkwayT18</t>
  </si>
  <si>
    <t>ShStep3WalkwayT19</t>
  </si>
  <si>
    <t>ShStep3WalkwayT20</t>
  </si>
  <si>
    <t>Mean outcomes</t>
  </si>
  <si>
    <t>Step length L (cm)</t>
  </si>
  <si>
    <t>Step length R (cm)</t>
  </si>
  <si>
    <t>Step time L (s)</t>
  </si>
  <si>
    <t>Stance time L (s)</t>
  </si>
  <si>
    <t>Double support time L (s)</t>
  </si>
  <si>
    <t>Step time R (s)</t>
  </si>
  <si>
    <t>Stance time R (s)</t>
  </si>
  <si>
    <t>Stride length (cm)</t>
  </si>
  <si>
    <t>Stride time (s)</t>
  </si>
  <si>
    <t>Gait speed (m/s)</t>
  </si>
  <si>
    <t>Gait speed (km/h)</t>
  </si>
  <si>
    <t>Patient number</t>
  </si>
  <si>
    <t>Barefoot</t>
  </si>
  <si>
    <t>Stationairy</t>
  </si>
  <si>
    <t>Assessor</t>
  </si>
  <si>
    <t>Assessment number</t>
  </si>
  <si>
    <t>Shod</t>
  </si>
  <si>
    <t>Assessment</t>
  </si>
  <si>
    <t xml:space="preserve"> </t>
  </si>
  <si>
    <t>Date</t>
  </si>
  <si>
    <t>Condition:</t>
  </si>
  <si>
    <t>Double support time R (s)</t>
  </si>
  <si>
    <t>Length L</t>
  </si>
  <si>
    <t>Stance L</t>
  </si>
  <si>
    <t>StepT L</t>
  </si>
  <si>
    <t>DST L</t>
  </si>
  <si>
    <t>Length R</t>
  </si>
  <si>
    <t>StepT R</t>
  </si>
  <si>
    <t>Stance R</t>
  </si>
  <si>
    <t>DST R</t>
  </si>
  <si>
    <t>Stride time</t>
  </si>
  <si>
    <t>StrLength</t>
  </si>
  <si>
    <t>SwingT</t>
  </si>
  <si>
    <t>m/s</t>
  </si>
  <si>
    <t>km/u</t>
  </si>
  <si>
    <t>SwingT L</t>
  </si>
  <si>
    <t>SwingT R</t>
  </si>
  <si>
    <t>Swing time L (s)</t>
  </si>
  <si>
    <t>Swing time R (s)</t>
  </si>
  <si>
    <t>Standard deviation outcomes</t>
  </si>
  <si>
    <t>Step length L SD (cm)</t>
  </si>
  <si>
    <t>Step time L SD (s)</t>
  </si>
  <si>
    <t>Version SGAS form:</t>
  </si>
  <si>
    <t>Stance time L SD (s)</t>
  </si>
  <si>
    <t>Double support time L SD (s)</t>
  </si>
  <si>
    <t>Swing time L SD (s)</t>
  </si>
  <si>
    <t>Overview mean and SD outcomes</t>
  </si>
  <si>
    <t>Step length R SD (cm)</t>
  </si>
  <si>
    <t>Step time R SD (s)</t>
  </si>
  <si>
    <t>Stance time R SD (s)</t>
  </si>
  <si>
    <t>Double support time R SD (s)</t>
  </si>
  <si>
    <t>Swing time R SD (s)</t>
  </si>
  <si>
    <t>Stride length SD (cm)</t>
  </si>
  <si>
    <t>Stride time SD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</si>
</sst>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€&quot;\ * #,##0.00_);_(&quot;€&quot;\ * \(#,##0.00\);_(&quot;€&quot;\ * &quot;-&quot;??_);_(@_)"/>
  </numFmts>
  <fonts count="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sz val="10"/>
      <color theme="0" tint="-0.34998626667073579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8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3" fillId="0" borderId="0" xfId="0" applyFont="1"/>
    <xf numFmtId="0" fontId="0" fillId="0" borderId="6" xfId="0" applyBorder="1"/>
    <xf numFmtId="0" fontId="0" fillId="0" borderId="4" xfId="0" applyFill="1" applyBorder="1"/>
    <xf numFmtId="0" fontId="0" fillId="0" borderId="7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3" xfId="0" applyFill="1" applyBorder="1"/>
    <xf numFmtId="0" fontId="0" fillId="0" borderId="2" xfId="0" applyFill="1" applyBorder="1"/>
    <xf numFmtId="0" fontId="0" fillId="0" borderId="1" xfId="0" applyFill="1" applyBorder="1"/>
    <xf numFmtId="0" fontId="4" fillId="0" borderId="0" xfId="0" applyFont="1"/>
    <xf numFmtId="0" fontId="0" fillId="2" borderId="0" xfId="0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 applyAlignment="1">
      <alignment horizontal="center"/>
    </xf>
    <xf numFmtId="0" fontId="0" fillId="2" borderId="8" xfId="0" applyFill="1" applyBorder="1"/>
    <xf numFmtId="0" fontId="0" fillId="3" borderId="0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5" fillId="0" borderId="0" xfId="0" applyFont="1"/>
    <xf numFmtId="0" fontId="0" fillId="3" borderId="0" xfId="0" applyFill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1" fillId="0" borderId="1" xfId="0" applyFont="1" applyBorder="1"/>
    <xf numFmtId="0" fontId="1" fillId="0" borderId="0" xfId="0" applyFont="1" applyFill="1"/>
    <xf numFmtId="0" fontId="1" fillId="2" borderId="5" xfId="0" applyFont="1" applyFill="1" applyBorder="1"/>
    <xf numFmtId="0" fontId="0" fillId="4" borderId="0" xfId="0" applyFill="1" applyAlignment="1">
      <alignment wrapText="1"/>
    </xf>
    <xf numFmtId="0" fontId="0" fillId="0" borderId="0" xfId="0" applyAlignment="1">
      <alignment vertical="top"/>
    </xf>
    <xf numFmtId="0" fontId="6" fillId="0" borderId="0" xfId="0" applyFont="1"/>
    <xf numFmtId="0" fontId="1" fillId="0" borderId="0" xfId="0" applyFont="1" applyBorder="1"/>
    <xf numFmtId="0" fontId="0" fillId="3" borderId="6" xfId="0" applyFill="1" applyBorder="1" applyAlignment="1" applyProtection="1">
      <alignment horizontal="center"/>
      <protection locked="0"/>
    </xf>
    <xf numFmtId="0" fontId="0" fillId="0" borderId="0" xfId="0" applyFill="1" applyAlignment="1">
      <alignment wrapText="1"/>
    </xf>
    <xf numFmtId="0" fontId="0" fillId="0" borderId="0" xfId="0" applyBorder="1" applyAlignment="1"/>
    <xf numFmtId="0" fontId="1" fillId="3" borderId="0" xfId="0" applyFont="1" applyFill="1" applyProtection="1">
      <protection locked="0"/>
    </xf>
    <xf numFmtId="0" fontId="0" fillId="0" borderId="9" xfId="0" applyFont="1" applyFill="1" applyBorder="1"/>
    <xf numFmtId="0" fontId="0" fillId="4" borderId="10" xfId="0" applyFill="1" applyBorder="1" applyProtection="1">
      <protection locked="0"/>
    </xf>
    <xf numFmtId="0" fontId="0" fillId="4" borderId="11" xfId="0" applyFill="1" applyBorder="1" applyProtection="1">
      <protection locked="0"/>
    </xf>
    <xf numFmtId="0" fontId="1" fillId="0" borderId="3" xfId="0" applyFont="1" applyBorder="1"/>
    <xf numFmtId="0" fontId="1" fillId="0" borderId="0" xfId="2" applyBorder="1"/>
    <xf numFmtId="0" fontId="1" fillId="0" borderId="0" xfId="2"/>
    <xf numFmtId="0" fontId="3" fillId="5" borderId="1" xfId="2" applyFont="1" applyFill="1" applyBorder="1"/>
    <xf numFmtId="0" fontId="3" fillId="5" borderId="2" xfId="2" applyFont="1" applyFill="1" applyBorder="1"/>
    <xf numFmtId="0" fontId="3" fillId="6" borderId="2" xfId="2" applyFont="1" applyFill="1" applyBorder="1"/>
    <xf numFmtId="0" fontId="3" fillId="7" borderId="2" xfId="2" applyFont="1" applyFill="1" applyBorder="1"/>
    <xf numFmtId="0" fontId="1" fillId="5" borderId="7" xfId="2" applyFill="1" applyBorder="1"/>
    <xf numFmtId="0" fontId="1" fillId="5" borderId="6" xfId="2" applyFill="1" applyBorder="1"/>
    <xf numFmtId="0" fontId="1" fillId="6" borderId="6" xfId="2" applyFill="1" applyBorder="1"/>
    <xf numFmtId="0" fontId="1" fillId="7" borderId="6" xfId="2" applyFill="1" applyBorder="1"/>
    <xf numFmtId="0" fontId="1" fillId="6" borderId="7" xfId="2" applyFill="1" applyBorder="1"/>
    <xf numFmtId="0" fontId="3" fillId="6" borderId="1" xfId="2" applyFont="1" applyFill="1" applyBorder="1"/>
    <xf numFmtId="0" fontId="3" fillId="7" borderId="1" xfId="2" applyFont="1" applyFill="1" applyBorder="1"/>
    <xf numFmtId="0" fontId="1" fillId="7" borderId="7" xfId="2" applyFill="1" applyBorder="1"/>
    <xf numFmtId="0" fontId="1" fillId="0" borderId="0" xfId="0" applyFont="1" applyBorder="1" applyAlignment="1"/>
    <xf numFmtId="0" fontId="1" fillId="0" borderId="0" xfId="0" applyFont="1" applyFill="1" applyBorder="1" applyAlignment="1"/>
    <xf numFmtId="0" fontId="0" fillId="4" borderId="0" xfId="0" applyFill="1" applyProtection="1">
      <protection locked="0"/>
    </xf>
    <xf numFmtId="0" fontId="1" fillId="5" borderId="0" xfId="0" applyFont="1" applyFill="1" applyBorder="1"/>
    <xf numFmtId="0" fontId="1" fillId="5" borderId="0" xfId="0" applyFont="1" applyFill="1"/>
    <xf numFmtId="0" fontId="1" fillId="6" borderId="0" xfId="0" applyFont="1" applyFill="1" applyBorder="1"/>
    <xf numFmtId="0" fontId="1" fillId="6" borderId="0" xfId="0" applyFont="1" applyFill="1"/>
    <xf numFmtId="0" fontId="1" fillId="4" borderId="0" xfId="0" applyFont="1" applyFill="1" applyProtection="1">
      <protection locked="0"/>
    </xf>
    <xf numFmtId="0" fontId="0" fillId="3" borderId="0" xfId="0" applyFill="1" applyProtection="1"/>
    <xf numFmtId="16" fontId="1" fillId="3" borderId="0" xfId="0" applyNumberFormat="1" applyFont="1" applyFill="1" applyProtection="1">
      <protection locked="0"/>
    </xf>
    <xf numFmtId="0" fontId="1" fillId="5" borderId="11" xfId="2" applyFill="1" applyBorder="1"/>
    <xf numFmtId="0" fontId="1" fillId="6" borderId="11" xfId="2" applyFill="1" applyBorder="1"/>
    <xf numFmtId="0" fontId="3" fillId="5" borderId="9" xfId="2" applyFont="1" applyFill="1" applyBorder="1"/>
    <xf numFmtId="0" fontId="3" fillId="6" borderId="9" xfId="2" applyFont="1" applyFill="1" applyBorder="1"/>
    <xf numFmtId="0" fontId="1" fillId="0" borderId="4" xfId="0" applyFont="1" applyBorder="1"/>
    <xf numFmtId="0" fontId="3" fillId="0" borderId="0" xfId="0" applyFont="1" applyAlignment="1">
      <alignment horizontal="left"/>
    </xf>
    <xf numFmtId="0" fontId="3" fillId="0" borderId="0" xfId="2" applyFont="1" applyFill="1" applyBorder="1"/>
    <xf numFmtId="0" fontId="1" fillId="0" borderId="0" xfId="2" applyFill="1" applyBorder="1"/>
    <xf numFmtId="0" fontId="3" fillId="0" borderId="4" xfId="2" applyFont="1" applyFill="1" applyBorder="1"/>
    <xf numFmtId="0" fontId="1" fillId="0" borderId="4" xfId="2" applyFill="1" applyBorder="1"/>
    <xf numFmtId="0" fontId="1" fillId="0" borderId="5" xfId="2" applyFill="1" applyBorder="1"/>
    <xf numFmtId="0" fontId="3" fillId="0" borderId="5" xfId="2" applyFont="1" applyFill="1" applyBorder="1"/>
  </cellXfs>
  <cellStyles count="3">
    <cellStyle name="Euro" xfId="1"/>
    <cellStyle name="Standaard" xfId="0" builtinId="0"/>
    <cellStyle name="Standaard_Comf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66675</xdr:rowOff>
        </xdr:from>
        <xdr:to>
          <xdr:col>11</xdr:col>
          <xdr:colOff>466725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Opslaan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Y159"/>
  <sheetViews>
    <sheetView tabSelected="1" zoomScale="90" zoomScaleNormal="90" workbookViewId="0">
      <selection activeCell="C2" sqref="C2"/>
    </sheetView>
  </sheetViews>
  <sheetFormatPr defaultRowHeight="12.75" x14ac:dyDescent="0.2"/>
  <cols>
    <col min="2" max="2" width="9.140625" customWidth="1"/>
    <col min="6" max="6" width="10" bestFit="1" customWidth="1"/>
    <col min="9" max="9" width="10" bestFit="1" customWidth="1"/>
    <col min="10" max="10" width="11" bestFit="1" customWidth="1"/>
    <col min="15" max="18" width="9.42578125" bestFit="1" customWidth="1"/>
  </cols>
  <sheetData>
    <row r="1" spans="1:22" x14ac:dyDescent="0.2">
      <c r="A1" s="7" t="s">
        <v>1356</v>
      </c>
      <c r="C1" t="s">
        <v>0</v>
      </c>
      <c r="E1" t="s">
        <v>1</v>
      </c>
      <c r="G1" s="33" t="s">
        <v>1354</v>
      </c>
      <c r="H1" s="33"/>
      <c r="I1" s="33" t="s">
        <v>1362</v>
      </c>
      <c r="N1" s="33" t="s">
        <v>1357</v>
      </c>
      <c r="P1" s="33" t="s">
        <v>1358</v>
      </c>
      <c r="T1" s="7" t="s">
        <v>1385</v>
      </c>
      <c r="U1" s="7"/>
      <c r="V1" s="80">
        <v>9</v>
      </c>
    </row>
    <row r="2" spans="1:22" x14ac:dyDescent="0.2">
      <c r="A2" s="7" t="s">
        <v>1355</v>
      </c>
      <c r="C2" s="29"/>
      <c r="E2" s="29"/>
      <c r="G2" s="29"/>
      <c r="H2" s="13"/>
      <c r="I2" s="74"/>
      <c r="N2" s="72"/>
      <c r="P2" s="67"/>
    </row>
    <row r="3" spans="1:22" x14ac:dyDescent="0.2">
      <c r="E3" s="8"/>
      <c r="F3" s="8"/>
      <c r="H3" s="5"/>
      <c r="I3" s="5"/>
      <c r="J3" s="5"/>
      <c r="K3" s="5"/>
    </row>
    <row r="4" spans="1:22" x14ac:dyDescent="0.2">
      <c r="A4" s="1"/>
      <c r="B4" s="2" t="s">
        <v>11</v>
      </c>
      <c r="C4" s="2" t="s">
        <v>10</v>
      </c>
      <c r="D4" s="2" t="s">
        <v>13</v>
      </c>
      <c r="E4" s="5" t="s">
        <v>12</v>
      </c>
      <c r="F4" s="11" t="s">
        <v>3</v>
      </c>
      <c r="G4" s="15" t="s">
        <v>14</v>
      </c>
      <c r="H4" s="17" t="s">
        <v>15</v>
      </c>
      <c r="I4" s="16" t="s">
        <v>16</v>
      </c>
      <c r="J4" s="16" t="s">
        <v>17</v>
      </c>
      <c r="K4" s="16" t="s">
        <v>18</v>
      </c>
      <c r="L4" s="16" t="s">
        <v>19</v>
      </c>
      <c r="M4" s="15" t="s">
        <v>20</v>
      </c>
      <c r="N4" s="47" t="s">
        <v>756</v>
      </c>
      <c r="P4" t="s">
        <v>9</v>
      </c>
    </row>
    <row r="5" spans="1:22" x14ac:dyDescent="0.2">
      <c r="A5" s="4" t="s">
        <v>25</v>
      </c>
      <c r="B5" s="23"/>
      <c r="C5" s="23"/>
      <c r="D5" s="23"/>
      <c r="E5" s="23"/>
      <c r="F5" s="32"/>
      <c r="G5" s="23"/>
      <c r="H5" s="25"/>
      <c r="I5" s="23"/>
      <c r="J5" s="23"/>
      <c r="K5" s="23"/>
      <c r="L5" s="23"/>
      <c r="M5" s="24"/>
      <c r="N5" s="48"/>
    </row>
    <row r="6" spans="1:22" x14ac:dyDescent="0.2">
      <c r="A6" s="4" t="s">
        <v>26</v>
      </c>
      <c r="B6" s="23"/>
      <c r="C6" s="23"/>
      <c r="D6" s="23"/>
      <c r="E6" s="23"/>
      <c r="F6" s="32"/>
      <c r="G6" s="23"/>
      <c r="H6" s="25"/>
      <c r="I6" s="23"/>
      <c r="J6" s="23"/>
      <c r="K6" s="23"/>
      <c r="L6" s="23"/>
      <c r="M6" s="24"/>
      <c r="N6" s="48"/>
    </row>
    <row r="7" spans="1:22" x14ac:dyDescent="0.2">
      <c r="A7" s="4" t="s">
        <v>27</v>
      </c>
      <c r="B7" s="23"/>
      <c r="C7" s="23"/>
      <c r="D7" s="23"/>
      <c r="E7" s="23"/>
      <c r="F7" s="32"/>
      <c r="G7" s="23"/>
      <c r="H7" s="25"/>
      <c r="I7" s="23"/>
      <c r="J7" s="23"/>
      <c r="K7" s="23"/>
      <c r="L7" s="23"/>
      <c r="M7" s="24"/>
      <c r="N7" s="48"/>
    </row>
    <row r="8" spans="1:22" x14ac:dyDescent="0.2">
      <c r="A8" s="4" t="s">
        <v>28</v>
      </c>
      <c r="B8" s="23"/>
      <c r="C8" s="23"/>
      <c r="D8" s="23"/>
      <c r="E8" s="23"/>
      <c r="F8" s="32"/>
      <c r="G8" s="23"/>
      <c r="H8" s="25"/>
      <c r="I8" s="23"/>
      <c r="J8" s="23"/>
      <c r="K8" s="23"/>
      <c r="L8" s="23"/>
      <c r="M8" s="24"/>
      <c r="N8" s="48"/>
      <c r="S8" s="33"/>
      <c r="T8" s="33"/>
    </row>
    <row r="9" spans="1:22" x14ac:dyDescent="0.2">
      <c r="A9" s="4" t="s">
        <v>29</v>
      </c>
      <c r="B9" s="23"/>
      <c r="C9" s="23"/>
      <c r="D9" s="23"/>
      <c r="E9" s="23"/>
      <c r="F9" s="32"/>
      <c r="G9" s="23"/>
      <c r="H9" s="25"/>
      <c r="I9" s="23"/>
      <c r="J9" s="23"/>
      <c r="K9" s="23"/>
      <c r="L9" s="23"/>
      <c r="M9" s="24"/>
      <c r="N9" s="48"/>
    </row>
    <row r="10" spans="1:22" x14ac:dyDescent="0.2">
      <c r="A10" s="4" t="s">
        <v>30</v>
      </c>
      <c r="B10" s="23"/>
      <c r="C10" s="23"/>
      <c r="D10" s="23"/>
      <c r="E10" s="23"/>
      <c r="F10" s="32"/>
      <c r="G10" s="23"/>
      <c r="H10" s="25"/>
      <c r="I10" s="23"/>
      <c r="J10" s="23"/>
      <c r="K10" s="23"/>
      <c r="L10" s="23"/>
      <c r="M10" s="24"/>
      <c r="N10" s="48"/>
      <c r="O10" s="34"/>
    </row>
    <row r="11" spans="1:22" x14ac:dyDescent="0.2">
      <c r="A11" s="4" t="s">
        <v>31</v>
      </c>
      <c r="B11" s="23"/>
      <c r="C11" s="23"/>
      <c r="D11" s="23"/>
      <c r="E11" s="23"/>
      <c r="F11" s="32"/>
      <c r="G11" s="23"/>
      <c r="H11" s="25"/>
      <c r="I11" s="23"/>
      <c r="J11" s="23"/>
      <c r="K11" s="23"/>
      <c r="L11" s="23"/>
      <c r="M11" s="24"/>
      <c r="N11" s="48"/>
      <c r="O11" s="34"/>
    </row>
    <row r="12" spans="1:22" x14ac:dyDescent="0.2">
      <c r="A12" s="9" t="s">
        <v>32</v>
      </c>
      <c r="B12" s="23"/>
      <c r="C12" s="23"/>
      <c r="D12" s="23"/>
      <c r="E12" s="23"/>
      <c r="F12" s="32"/>
      <c r="G12" s="23"/>
      <c r="H12" s="25"/>
      <c r="I12" s="23"/>
      <c r="J12" s="23"/>
      <c r="K12" s="23"/>
      <c r="L12" s="23"/>
      <c r="M12" s="24"/>
      <c r="N12" s="48"/>
      <c r="O12" s="34"/>
    </row>
    <row r="13" spans="1:22" x14ac:dyDescent="0.2">
      <c r="A13" s="9" t="s">
        <v>33</v>
      </c>
      <c r="B13" s="23"/>
      <c r="C13" s="23"/>
      <c r="D13" s="23"/>
      <c r="E13" s="23"/>
      <c r="F13" s="32"/>
      <c r="G13" s="23"/>
      <c r="H13" s="25"/>
      <c r="I13" s="23"/>
      <c r="J13" s="23"/>
      <c r="K13" s="23"/>
      <c r="L13" s="23"/>
      <c r="M13" s="24"/>
      <c r="N13" s="48"/>
    </row>
    <row r="14" spans="1:22" x14ac:dyDescent="0.2">
      <c r="A14" s="9" t="s">
        <v>34</v>
      </c>
      <c r="B14" s="23"/>
      <c r="C14" s="23"/>
      <c r="D14" s="23"/>
      <c r="E14" s="23"/>
      <c r="F14" s="32"/>
      <c r="G14" s="23"/>
      <c r="H14" s="25"/>
      <c r="I14" s="23"/>
      <c r="J14" s="23"/>
      <c r="K14" s="23"/>
      <c r="L14" s="23"/>
      <c r="M14" s="24"/>
      <c r="N14" s="48"/>
    </row>
    <row r="15" spans="1:22" x14ac:dyDescent="0.2">
      <c r="A15" s="9" t="s">
        <v>35</v>
      </c>
      <c r="B15" s="23"/>
      <c r="C15" s="23"/>
      <c r="D15" s="23"/>
      <c r="E15" s="23"/>
      <c r="F15" s="32"/>
      <c r="G15" s="23"/>
      <c r="H15" s="25"/>
      <c r="I15" s="23"/>
      <c r="J15" s="23"/>
      <c r="K15" s="23"/>
      <c r="L15" s="23"/>
      <c r="M15" s="24"/>
      <c r="N15" s="48"/>
    </row>
    <row r="16" spans="1:22" x14ac:dyDescent="0.2">
      <c r="A16" s="9" t="s">
        <v>36</v>
      </c>
      <c r="B16" s="23"/>
      <c r="C16" s="23"/>
      <c r="D16" s="23"/>
      <c r="E16" s="23"/>
      <c r="F16" s="32"/>
      <c r="G16" s="23"/>
      <c r="H16" s="25"/>
      <c r="I16" s="23"/>
      <c r="J16" s="23"/>
      <c r="K16" s="23"/>
      <c r="L16" s="23"/>
      <c r="M16" s="24"/>
      <c r="N16" s="48"/>
    </row>
    <row r="17" spans="1:25" x14ac:dyDescent="0.2">
      <c r="A17" s="9" t="s">
        <v>37</v>
      </c>
      <c r="B17" s="23"/>
      <c r="C17" s="23"/>
      <c r="D17" s="23"/>
      <c r="E17" s="23"/>
      <c r="F17" s="32"/>
      <c r="G17" s="23"/>
      <c r="H17" s="25"/>
      <c r="I17" s="23"/>
      <c r="J17" s="23"/>
      <c r="K17" s="23"/>
      <c r="L17" s="23"/>
      <c r="M17" s="24"/>
      <c r="N17" s="48"/>
    </row>
    <row r="18" spans="1:25" x14ac:dyDescent="0.2">
      <c r="A18" s="9" t="s">
        <v>38</v>
      </c>
      <c r="B18" s="23"/>
      <c r="C18" s="23"/>
      <c r="D18" s="23"/>
      <c r="E18" s="23"/>
      <c r="F18" s="32"/>
      <c r="G18" s="23"/>
      <c r="H18" s="25"/>
      <c r="I18" s="23"/>
      <c r="J18" s="23"/>
      <c r="K18" s="23"/>
      <c r="L18" s="23"/>
      <c r="M18" s="24"/>
      <c r="N18" s="48"/>
    </row>
    <row r="19" spans="1:25" x14ac:dyDescent="0.2">
      <c r="A19" s="9" t="s">
        <v>39</v>
      </c>
      <c r="B19" s="23"/>
      <c r="C19" s="23"/>
      <c r="D19" s="23"/>
      <c r="E19" s="23"/>
      <c r="F19" s="32"/>
      <c r="G19" s="23"/>
      <c r="H19" s="25"/>
      <c r="I19" s="23"/>
      <c r="J19" s="23"/>
      <c r="K19" s="23"/>
      <c r="L19" s="23"/>
      <c r="M19" s="24"/>
      <c r="N19" s="48"/>
    </row>
    <row r="20" spans="1:25" x14ac:dyDescent="0.2">
      <c r="A20" s="9" t="s">
        <v>40</v>
      </c>
      <c r="B20" s="23"/>
      <c r="C20" s="23"/>
      <c r="D20" s="23"/>
      <c r="E20" s="23"/>
      <c r="F20" s="32"/>
      <c r="G20" s="23"/>
      <c r="H20" s="25"/>
      <c r="I20" s="23"/>
      <c r="J20" s="23"/>
      <c r="K20" s="23"/>
      <c r="L20" s="23"/>
      <c r="M20" s="24"/>
      <c r="N20" s="48"/>
    </row>
    <row r="21" spans="1:25" x14ac:dyDescent="0.2">
      <c r="A21" s="9" t="s">
        <v>41</v>
      </c>
      <c r="B21" s="23"/>
      <c r="C21" s="23"/>
      <c r="D21" s="23"/>
      <c r="E21" s="23"/>
      <c r="F21" s="32"/>
      <c r="G21" s="23"/>
      <c r="H21" s="25"/>
      <c r="I21" s="23"/>
      <c r="J21" s="23"/>
      <c r="K21" s="23"/>
      <c r="L21" s="23"/>
      <c r="M21" s="24"/>
      <c r="N21" s="48"/>
    </row>
    <row r="22" spans="1:25" x14ac:dyDescent="0.2">
      <c r="A22" s="9" t="s">
        <v>42</v>
      </c>
      <c r="B22" s="23"/>
      <c r="C22" s="23"/>
      <c r="D22" s="23"/>
      <c r="E22" s="23"/>
      <c r="F22" s="32"/>
      <c r="G22" s="23"/>
      <c r="H22" s="25"/>
      <c r="I22" s="23"/>
      <c r="J22" s="23"/>
      <c r="K22" s="23"/>
      <c r="L22" s="23"/>
      <c r="M22" s="24"/>
      <c r="N22" s="48"/>
    </row>
    <row r="23" spans="1:25" x14ac:dyDescent="0.2">
      <c r="A23" s="9" t="s">
        <v>43</v>
      </c>
      <c r="B23" s="23"/>
      <c r="C23" s="23"/>
      <c r="D23" s="23"/>
      <c r="E23" s="23"/>
      <c r="F23" s="32"/>
      <c r="G23" s="23"/>
      <c r="H23" s="25"/>
      <c r="I23" s="23"/>
      <c r="J23" s="23"/>
      <c r="K23" s="23"/>
      <c r="L23" s="23"/>
      <c r="M23" s="24"/>
      <c r="N23" s="48"/>
    </row>
    <row r="24" spans="1:25" x14ac:dyDescent="0.2">
      <c r="A24" s="10" t="s">
        <v>44</v>
      </c>
      <c r="B24" s="26"/>
      <c r="C24" s="26"/>
      <c r="D24" s="26"/>
      <c r="E24" s="26"/>
      <c r="F24" s="43"/>
      <c r="G24" s="26"/>
      <c r="H24" s="28"/>
      <c r="I24" s="26"/>
      <c r="J24" s="26"/>
      <c r="K24" s="26"/>
      <c r="L24" s="26"/>
      <c r="M24" s="27"/>
      <c r="N24" s="49"/>
    </row>
    <row r="26" spans="1:25" x14ac:dyDescent="0.2">
      <c r="A26" s="18" t="s">
        <v>6</v>
      </c>
      <c r="E26" s="8"/>
      <c r="G26" s="33"/>
    </row>
    <row r="27" spans="1:25" x14ac:dyDescent="0.2">
      <c r="A27" s="36" t="s">
        <v>74</v>
      </c>
      <c r="B27" s="2"/>
      <c r="C27" s="2"/>
      <c r="D27" s="2"/>
      <c r="E27" s="3"/>
      <c r="G27" s="35" t="s">
        <v>73</v>
      </c>
      <c r="H27" s="2"/>
      <c r="I27" s="2"/>
      <c r="J27" s="3"/>
      <c r="L27" s="1" t="s">
        <v>2</v>
      </c>
      <c r="M27" s="2"/>
      <c r="N27" s="2"/>
      <c r="O27" s="3"/>
      <c r="P27" s="5"/>
      <c r="Q27" s="36" t="s">
        <v>76</v>
      </c>
      <c r="R27" s="2"/>
      <c r="S27" s="2"/>
      <c r="T27" s="3"/>
      <c r="V27" s="36" t="s">
        <v>757</v>
      </c>
      <c r="W27" s="50"/>
    </row>
    <row r="28" spans="1:25" x14ac:dyDescent="0.2">
      <c r="A28" s="4"/>
      <c r="B28" s="5"/>
      <c r="C28" s="5"/>
      <c r="D28" s="5"/>
      <c r="E28" s="6"/>
      <c r="G28" s="4"/>
      <c r="H28" s="5"/>
      <c r="I28" s="5"/>
      <c r="J28" s="6"/>
      <c r="L28" s="4"/>
      <c r="M28" s="5"/>
      <c r="N28" s="5"/>
      <c r="O28" s="6"/>
      <c r="P28" s="5"/>
      <c r="Q28" s="4"/>
      <c r="R28" s="5"/>
      <c r="S28" s="5"/>
      <c r="T28" s="6"/>
      <c r="V28" s="4"/>
      <c r="W28" s="6"/>
      <c r="Y28" s="30"/>
    </row>
    <row r="29" spans="1:25" x14ac:dyDescent="0.2">
      <c r="A29" s="4"/>
      <c r="B29" s="19" t="s">
        <v>3</v>
      </c>
      <c r="C29" s="5"/>
      <c r="D29" s="5"/>
      <c r="E29" s="20" t="s">
        <v>4</v>
      </c>
      <c r="G29" s="4"/>
      <c r="H29" s="5"/>
      <c r="I29" s="5"/>
      <c r="J29" s="20" t="s">
        <v>5</v>
      </c>
      <c r="L29" s="4"/>
      <c r="M29" s="5"/>
      <c r="N29" s="5"/>
      <c r="O29" s="20" t="s">
        <v>5</v>
      </c>
      <c r="P29" s="11"/>
      <c r="Q29" s="4"/>
      <c r="R29" s="5"/>
      <c r="S29" s="5"/>
      <c r="T29" s="20" t="s">
        <v>5</v>
      </c>
      <c r="V29" s="4"/>
      <c r="W29" s="6"/>
    </row>
    <row r="30" spans="1:25" x14ac:dyDescent="0.2">
      <c r="A30" s="4" t="s">
        <v>25</v>
      </c>
      <c r="B30" s="19">
        <f>IF(F5="",9999,F5)</f>
        <v>9999</v>
      </c>
      <c r="C30" s="11">
        <f>IF(C5="na","na",IF(C5&gt;E5,C5/10,IF(E5="na","na",E5/10)))</f>
        <v>0</v>
      </c>
      <c r="D30" s="11">
        <f>IF(E5="na","na",IF(C5&gt;E5,E5/10,IF(C5="na","na",C5/10)))</f>
        <v>0</v>
      </c>
      <c r="E30" s="20">
        <f>IF(ISERROR(C30-D30),9999,IF(OR(C30=0,D30=0),9999,IF(SUM(C30-D30)&lt;=0,9999,SUM(C30-D30))))</f>
        <v>9999</v>
      </c>
      <c r="G30" s="4" t="s">
        <v>25</v>
      </c>
      <c r="H30" s="11">
        <f t="shared" ref="H30:H49" si="0">B5</f>
        <v>0</v>
      </c>
      <c r="I30" s="11">
        <f t="shared" ref="I30:I49" si="1">D5</f>
        <v>0</v>
      </c>
      <c r="J30" s="20">
        <f>IF(ISERROR(I30-H30),9999,IF(OR(H30=0,I30=0),9999,IF(SUM(I30-H30)&lt;=0,9999,SUM(I30-H30))))</f>
        <v>9999</v>
      </c>
      <c r="L30" s="4" t="s">
        <v>25</v>
      </c>
      <c r="M30" s="11">
        <f t="shared" ref="M30:M49" si="2">G5</f>
        <v>0</v>
      </c>
      <c r="N30" s="11">
        <f t="shared" ref="N30:N49" si="3">D5</f>
        <v>0</v>
      </c>
      <c r="O30" s="20">
        <f>IF(ISERROR(M30-N30),9999,IF(OR(M30=0,N30=0),9999,IF(SUM(M30-N30)&lt;=0,9999,SUM(M30-N30))))</f>
        <v>9999</v>
      </c>
      <c r="P30" s="13"/>
      <c r="Q30" s="4" t="s">
        <v>25</v>
      </c>
      <c r="R30" s="11">
        <f>G5</f>
        <v>0</v>
      </c>
      <c r="S30" s="11">
        <f>B5</f>
        <v>0</v>
      </c>
      <c r="T30" s="20">
        <f>IF(ISERROR(R30-S30),9999,IF(OR(R30=0,S30=0),9999,IF(SUM(R30-S30)&lt;=0,9999,SUM(R30-S30))))</f>
        <v>9999</v>
      </c>
      <c r="V30" s="4" t="s">
        <v>25</v>
      </c>
      <c r="W30" s="20">
        <f>IF(N5="",9999,N5)</f>
        <v>9999</v>
      </c>
    </row>
    <row r="31" spans="1:25" x14ac:dyDescent="0.2">
      <c r="A31" s="4" t="s">
        <v>26</v>
      </c>
      <c r="B31" s="19">
        <f>IF(F6="",9999,F6)</f>
        <v>9999</v>
      </c>
      <c r="C31" s="11">
        <f t="shared" ref="C31:C49" si="4">IF(C6="na","na",IF(C6&gt;E6,C6/10,IF(E6="na","na",E6/10)))</f>
        <v>0</v>
      </c>
      <c r="D31" s="11">
        <f t="shared" ref="D31:D49" si="5">IF(E6="na","na",IF(C6&gt;E6,E6/10,IF(C6="na","na",C6/10)))</f>
        <v>0</v>
      </c>
      <c r="E31" s="20">
        <f t="shared" ref="E31:E49" si="6">IF(ISERROR(C31-D31),9999,IF(OR(C31=0,D31=0),9999,IF(SUM(C31-D31)&lt;=0,9999,SUM(C31-D31))))</f>
        <v>9999</v>
      </c>
      <c r="G31" s="4" t="s">
        <v>26</v>
      </c>
      <c r="H31" s="11">
        <f t="shared" si="0"/>
        <v>0</v>
      </c>
      <c r="I31" s="11">
        <f t="shared" si="1"/>
        <v>0</v>
      </c>
      <c r="J31" s="20">
        <f t="shared" ref="J31:J49" si="7">IF(ISERROR(I31-H31),9999,IF(OR(H31=0,I31=0),9999,IF(SUM(I31-H31)&lt;=0,9999,SUM(I31-H31))))</f>
        <v>9999</v>
      </c>
      <c r="L31" s="4" t="s">
        <v>26</v>
      </c>
      <c r="M31" s="11">
        <f t="shared" si="2"/>
        <v>0</v>
      </c>
      <c r="N31" s="11">
        <f t="shared" si="3"/>
        <v>0</v>
      </c>
      <c r="O31" s="20">
        <f t="shared" ref="O31:O49" si="8">IF(ISERROR(M31-N31),9999,IF(OR(M31=0,N31=0),9999,IF(SUM(M31-N31)&lt;=0,9999,SUM(M31-N31))))</f>
        <v>9999</v>
      </c>
      <c r="P31" s="13"/>
      <c r="Q31" s="4" t="s">
        <v>26</v>
      </c>
      <c r="R31" s="11">
        <f t="shared" ref="R31:R49" si="9">G6</f>
        <v>0</v>
      </c>
      <c r="S31" s="11">
        <f t="shared" ref="S31:S49" si="10">B6</f>
        <v>0</v>
      </c>
      <c r="T31" s="20">
        <f t="shared" ref="T31:T49" si="11">IF(ISERROR(R31-S31),9999,IF(OR(R31=0,S31=0),9999,IF(SUM(R31-S31)&lt;=0,9999,SUM(R31-S31))))</f>
        <v>9999</v>
      </c>
      <c r="V31" s="4" t="s">
        <v>26</v>
      </c>
      <c r="W31" s="20">
        <f t="shared" ref="W31:W49" si="12">IF(N6="",9999,N6)</f>
        <v>9999</v>
      </c>
      <c r="Y31" s="37"/>
    </row>
    <row r="32" spans="1:25" x14ac:dyDescent="0.2">
      <c r="A32" s="4" t="s">
        <v>27</v>
      </c>
      <c r="B32" s="19">
        <f t="shared" ref="B32:B49" si="13">IF(F7="",9999,F7)</f>
        <v>9999</v>
      </c>
      <c r="C32" s="11">
        <f t="shared" si="4"/>
        <v>0</v>
      </c>
      <c r="D32" s="11">
        <f t="shared" si="5"/>
        <v>0</v>
      </c>
      <c r="E32" s="20">
        <f t="shared" si="6"/>
        <v>9999</v>
      </c>
      <c r="G32" s="4" t="s">
        <v>27</v>
      </c>
      <c r="H32" s="11">
        <f t="shared" si="0"/>
        <v>0</v>
      </c>
      <c r="I32" s="11">
        <f t="shared" si="1"/>
        <v>0</v>
      </c>
      <c r="J32" s="20">
        <f t="shared" si="7"/>
        <v>9999</v>
      </c>
      <c r="L32" s="4" t="s">
        <v>27</v>
      </c>
      <c r="M32" s="11">
        <f t="shared" si="2"/>
        <v>0</v>
      </c>
      <c r="N32" s="11">
        <f t="shared" si="3"/>
        <v>0</v>
      </c>
      <c r="O32" s="20">
        <f t="shared" si="8"/>
        <v>9999</v>
      </c>
      <c r="P32" s="13"/>
      <c r="Q32" s="4" t="s">
        <v>27</v>
      </c>
      <c r="R32" s="11">
        <f t="shared" si="9"/>
        <v>0</v>
      </c>
      <c r="S32" s="11">
        <f t="shared" si="10"/>
        <v>0</v>
      </c>
      <c r="T32" s="20">
        <f t="shared" si="11"/>
        <v>9999</v>
      </c>
      <c r="V32" s="4" t="s">
        <v>27</v>
      </c>
      <c r="W32" s="20">
        <f t="shared" si="12"/>
        <v>9999</v>
      </c>
    </row>
    <row r="33" spans="1:23" x14ac:dyDescent="0.2">
      <c r="A33" s="4" t="s">
        <v>28</v>
      </c>
      <c r="B33" s="19">
        <f t="shared" si="13"/>
        <v>9999</v>
      </c>
      <c r="C33" s="11">
        <f t="shared" si="4"/>
        <v>0</v>
      </c>
      <c r="D33" s="11">
        <f t="shared" si="5"/>
        <v>0</v>
      </c>
      <c r="E33" s="20">
        <f t="shared" si="6"/>
        <v>9999</v>
      </c>
      <c r="G33" s="4" t="s">
        <v>28</v>
      </c>
      <c r="H33" s="11">
        <f t="shared" si="0"/>
        <v>0</v>
      </c>
      <c r="I33" s="11">
        <f t="shared" si="1"/>
        <v>0</v>
      </c>
      <c r="J33" s="20">
        <f t="shared" si="7"/>
        <v>9999</v>
      </c>
      <c r="L33" s="4" t="s">
        <v>28</v>
      </c>
      <c r="M33" s="11">
        <f t="shared" si="2"/>
        <v>0</v>
      </c>
      <c r="N33" s="11">
        <f t="shared" si="3"/>
        <v>0</v>
      </c>
      <c r="O33" s="20">
        <f t="shared" si="8"/>
        <v>9999</v>
      </c>
      <c r="P33" s="13"/>
      <c r="Q33" s="4" t="s">
        <v>28</v>
      </c>
      <c r="R33" s="11">
        <f t="shared" si="9"/>
        <v>0</v>
      </c>
      <c r="S33" s="11">
        <f t="shared" si="10"/>
        <v>0</v>
      </c>
      <c r="T33" s="20">
        <f t="shared" si="11"/>
        <v>9999</v>
      </c>
      <c r="V33" s="4" t="s">
        <v>28</v>
      </c>
      <c r="W33" s="20">
        <f t="shared" si="12"/>
        <v>9999</v>
      </c>
    </row>
    <row r="34" spans="1:23" x14ac:dyDescent="0.2">
      <c r="A34" s="4" t="s">
        <v>29</v>
      </c>
      <c r="B34" s="19">
        <f t="shared" si="13"/>
        <v>9999</v>
      </c>
      <c r="C34" s="11">
        <f t="shared" si="4"/>
        <v>0</v>
      </c>
      <c r="D34" s="11">
        <f t="shared" si="5"/>
        <v>0</v>
      </c>
      <c r="E34" s="20">
        <f t="shared" si="6"/>
        <v>9999</v>
      </c>
      <c r="G34" s="4" t="s">
        <v>29</v>
      </c>
      <c r="H34" s="11">
        <f t="shared" si="0"/>
        <v>0</v>
      </c>
      <c r="I34" s="11">
        <f t="shared" si="1"/>
        <v>0</v>
      </c>
      <c r="J34" s="20">
        <f t="shared" si="7"/>
        <v>9999</v>
      </c>
      <c r="L34" s="4" t="s">
        <v>29</v>
      </c>
      <c r="M34" s="11">
        <f t="shared" si="2"/>
        <v>0</v>
      </c>
      <c r="N34" s="11">
        <f t="shared" si="3"/>
        <v>0</v>
      </c>
      <c r="O34" s="20">
        <f t="shared" si="8"/>
        <v>9999</v>
      </c>
      <c r="P34" s="13"/>
      <c r="Q34" s="4" t="s">
        <v>29</v>
      </c>
      <c r="R34" s="11">
        <f t="shared" si="9"/>
        <v>0</v>
      </c>
      <c r="S34" s="11">
        <f t="shared" si="10"/>
        <v>0</v>
      </c>
      <c r="T34" s="20">
        <f t="shared" si="11"/>
        <v>9999</v>
      </c>
      <c r="V34" s="4" t="s">
        <v>29</v>
      </c>
      <c r="W34" s="20">
        <f t="shared" si="12"/>
        <v>9999</v>
      </c>
    </row>
    <row r="35" spans="1:23" x14ac:dyDescent="0.2">
      <c r="A35" s="4" t="s">
        <v>30</v>
      </c>
      <c r="B35" s="19">
        <f t="shared" si="13"/>
        <v>9999</v>
      </c>
      <c r="C35" s="11">
        <f t="shared" si="4"/>
        <v>0</v>
      </c>
      <c r="D35" s="11">
        <f t="shared" si="5"/>
        <v>0</v>
      </c>
      <c r="E35" s="20">
        <f t="shared" si="6"/>
        <v>9999</v>
      </c>
      <c r="G35" s="4" t="s">
        <v>30</v>
      </c>
      <c r="H35" s="11">
        <f t="shared" si="0"/>
        <v>0</v>
      </c>
      <c r="I35" s="11">
        <f t="shared" si="1"/>
        <v>0</v>
      </c>
      <c r="J35" s="20">
        <f t="shared" si="7"/>
        <v>9999</v>
      </c>
      <c r="L35" s="4" t="s">
        <v>30</v>
      </c>
      <c r="M35" s="11">
        <f t="shared" si="2"/>
        <v>0</v>
      </c>
      <c r="N35" s="11">
        <f t="shared" si="3"/>
        <v>0</v>
      </c>
      <c r="O35" s="20">
        <f t="shared" si="8"/>
        <v>9999</v>
      </c>
      <c r="P35" s="13"/>
      <c r="Q35" s="4" t="s">
        <v>30</v>
      </c>
      <c r="R35" s="11">
        <f t="shared" si="9"/>
        <v>0</v>
      </c>
      <c r="S35" s="11">
        <f t="shared" si="10"/>
        <v>0</v>
      </c>
      <c r="T35" s="20">
        <f t="shared" si="11"/>
        <v>9999</v>
      </c>
      <c r="V35" s="4" t="s">
        <v>30</v>
      </c>
      <c r="W35" s="20">
        <f t="shared" si="12"/>
        <v>9999</v>
      </c>
    </row>
    <row r="36" spans="1:23" x14ac:dyDescent="0.2">
      <c r="A36" s="4" t="s">
        <v>31</v>
      </c>
      <c r="B36" s="19">
        <f t="shared" si="13"/>
        <v>9999</v>
      </c>
      <c r="C36" s="11">
        <f t="shared" si="4"/>
        <v>0</v>
      </c>
      <c r="D36" s="11">
        <f t="shared" si="5"/>
        <v>0</v>
      </c>
      <c r="E36" s="20">
        <f t="shared" si="6"/>
        <v>9999</v>
      </c>
      <c r="G36" s="4" t="s">
        <v>31</v>
      </c>
      <c r="H36" s="11">
        <f t="shared" si="0"/>
        <v>0</v>
      </c>
      <c r="I36" s="11">
        <f t="shared" si="1"/>
        <v>0</v>
      </c>
      <c r="J36" s="20">
        <f t="shared" si="7"/>
        <v>9999</v>
      </c>
      <c r="L36" s="4" t="s">
        <v>31</v>
      </c>
      <c r="M36" s="11">
        <f t="shared" si="2"/>
        <v>0</v>
      </c>
      <c r="N36" s="11">
        <f t="shared" si="3"/>
        <v>0</v>
      </c>
      <c r="O36" s="20">
        <f t="shared" si="8"/>
        <v>9999</v>
      </c>
      <c r="P36" s="13"/>
      <c r="Q36" s="4" t="s">
        <v>31</v>
      </c>
      <c r="R36" s="11">
        <f t="shared" si="9"/>
        <v>0</v>
      </c>
      <c r="S36" s="11">
        <f t="shared" si="10"/>
        <v>0</v>
      </c>
      <c r="T36" s="20">
        <f t="shared" si="11"/>
        <v>9999</v>
      </c>
      <c r="V36" s="4" t="s">
        <v>31</v>
      </c>
      <c r="W36" s="20">
        <f t="shared" si="12"/>
        <v>9999</v>
      </c>
    </row>
    <row r="37" spans="1:23" x14ac:dyDescent="0.2">
      <c r="A37" s="9" t="s">
        <v>32</v>
      </c>
      <c r="B37" s="19">
        <f t="shared" si="13"/>
        <v>9999</v>
      </c>
      <c r="C37" s="11">
        <f t="shared" si="4"/>
        <v>0</v>
      </c>
      <c r="D37" s="11">
        <f t="shared" si="5"/>
        <v>0</v>
      </c>
      <c r="E37" s="20">
        <f t="shared" si="6"/>
        <v>9999</v>
      </c>
      <c r="G37" s="9" t="s">
        <v>32</v>
      </c>
      <c r="H37" s="11">
        <f t="shared" si="0"/>
        <v>0</v>
      </c>
      <c r="I37" s="11">
        <f t="shared" si="1"/>
        <v>0</v>
      </c>
      <c r="J37" s="20">
        <f t="shared" si="7"/>
        <v>9999</v>
      </c>
      <c r="L37" s="9" t="s">
        <v>32</v>
      </c>
      <c r="M37" s="11">
        <f t="shared" si="2"/>
        <v>0</v>
      </c>
      <c r="N37" s="11">
        <f t="shared" si="3"/>
        <v>0</v>
      </c>
      <c r="O37" s="20">
        <f t="shared" si="8"/>
        <v>9999</v>
      </c>
      <c r="P37" s="13"/>
      <c r="Q37" s="9" t="s">
        <v>32</v>
      </c>
      <c r="R37" s="11">
        <f t="shared" si="9"/>
        <v>0</v>
      </c>
      <c r="S37" s="11">
        <f t="shared" si="10"/>
        <v>0</v>
      </c>
      <c r="T37" s="20">
        <f t="shared" si="11"/>
        <v>9999</v>
      </c>
      <c r="V37" s="9" t="s">
        <v>32</v>
      </c>
      <c r="W37" s="20">
        <f t="shared" si="12"/>
        <v>9999</v>
      </c>
    </row>
    <row r="38" spans="1:23" x14ac:dyDescent="0.2">
      <c r="A38" s="9" t="s">
        <v>33</v>
      </c>
      <c r="B38" s="19">
        <f t="shared" si="13"/>
        <v>9999</v>
      </c>
      <c r="C38" s="11">
        <f t="shared" si="4"/>
        <v>0</v>
      </c>
      <c r="D38" s="11">
        <f t="shared" si="5"/>
        <v>0</v>
      </c>
      <c r="E38" s="20">
        <f t="shared" si="6"/>
        <v>9999</v>
      </c>
      <c r="G38" s="9" t="s">
        <v>33</v>
      </c>
      <c r="H38" s="11">
        <f t="shared" si="0"/>
        <v>0</v>
      </c>
      <c r="I38" s="11">
        <f t="shared" si="1"/>
        <v>0</v>
      </c>
      <c r="J38" s="20">
        <f t="shared" si="7"/>
        <v>9999</v>
      </c>
      <c r="L38" s="9" t="s">
        <v>33</v>
      </c>
      <c r="M38" s="11">
        <f t="shared" si="2"/>
        <v>0</v>
      </c>
      <c r="N38" s="11">
        <f t="shared" si="3"/>
        <v>0</v>
      </c>
      <c r="O38" s="20">
        <f t="shared" si="8"/>
        <v>9999</v>
      </c>
      <c r="P38" s="13"/>
      <c r="Q38" s="9" t="s">
        <v>33</v>
      </c>
      <c r="R38" s="11">
        <f t="shared" si="9"/>
        <v>0</v>
      </c>
      <c r="S38" s="11">
        <f t="shared" si="10"/>
        <v>0</v>
      </c>
      <c r="T38" s="20">
        <f t="shared" si="11"/>
        <v>9999</v>
      </c>
      <c r="V38" s="9" t="s">
        <v>33</v>
      </c>
      <c r="W38" s="20">
        <f t="shared" si="12"/>
        <v>9999</v>
      </c>
    </row>
    <row r="39" spans="1:23" x14ac:dyDescent="0.2">
      <c r="A39" s="9" t="s">
        <v>34</v>
      </c>
      <c r="B39" s="19">
        <f t="shared" si="13"/>
        <v>9999</v>
      </c>
      <c r="C39" s="11">
        <f t="shared" si="4"/>
        <v>0</v>
      </c>
      <c r="D39" s="11">
        <f t="shared" si="5"/>
        <v>0</v>
      </c>
      <c r="E39" s="20">
        <f t="shared" si="6"/>
        <v>9999</v>
      </c>
      <c r="G39" s="9" t="s">
        <v>34</v>
      </c>
      <c r="H39" s="11">
        <f t="shared" si="0"/>
        <v>0</v>
      </c>
      <c r="I39" s="11">
        <f t="shared" si="1"/>
        <v>0</v>
      </c>
      <c r="J39" s="20">
        <f t="shared" si="7"/>
        <v>9999</v>
      </c>
      <c r="L39" s="9" t="s">
        <v>34</v>
      </c>
      <c r="M39" s="11">
        <f t="shared" si="2"/>
        <v>0</v>
      </c>
      <c r="N39" s="11">
        <f t="shared" si="3"/>
        <v>0</v>
      </c>
      <c r="O39" s="20">
        <f t="shared" si="8"/>
        <v>9999</v>
      </c>
      <c r="P39" s="13"/>
      <c r="Q39" s="9" t="s">
        <v>34</v>
      </c>
      <c r="R39" s="11">
        <f t="shared" si="9"/>
        <v>0</v>
      </c>
      <c r="S39" s="11">
        <f t="shared" si="10"/>
        <v>0</v>
      </c>
      <c r="T39" s="20">
        <f t="shared" si="11"/>
        <v>9999</v>
      </c>
      <c r="V39" s="9" t="s">
        <v>34</v>
      </c>
      <c r="W39" s="20">
        <f t="shared" si="12"/>
        <v>9999</v>
      </c>
    </row>
    <row r="40" spans="1:23" x14ac:dyDescent="0.2">
      <c r="A40" s="9" t="s">
        <v>35</v>
      </c>
      <c r="B40" s="19">
        <f t="shared" si="13"/>
        <v>9999</v>
      </c>
      <c r="C40" s="11">
        <f t="shared" si="4"/>
        <v>0</v>
      </c>
      <c r="D40" s="11">
        <f t="shared" si="5"/>
        <v>0</v>
      </c>
      <c r="E40" s="20">
        <f t="shared" si="6"/>
        <v>9999</v>
      </c>
      <c r="G40" s="9" t="s">
        <v>35</v>
      </c>
      <c r="H40" s="11">
        <f t="shared" si="0"/>
        <v>0</v>
      </c>
      <c r="I40" s="11">
        <f t="shared" si="1"/>
        <v>0</v>
      </c>
      <c r="J40" s="20">
        <f t="shared" si="7"/>
        <v>9999</v>
      </c>
      <c r="L40" s="9" t="s">
        <v>35</v>
      </c>
      <c r="M40" s="11">
        <f t="shared" si="2"/>
        <v>0</v>
      </c>
      <c r="N40" s="11">
        <f t="shared" si="3"/>
        <v>0</v>
      </c>
      <c r="O40" s="20">
        <f t="shared" si="8"/>
        <v>9999</v>
      </c>
      <c r="P40" s="13"/>
      <c r="Q40" s="9" t="s">
        <v>35</v>
      </c>
      <c r="R40" s="11">
        <f t="shared" si="9"/>
        <v>0</v>
      </c>
      <c r="S40" s="11">
        <f t="shared" si="10"/>
        <v>0</v>
      </c>
      <c r="T40" s="20">
        <f t="shared" si="11"/>
        <v>9999</v>
      </c>
      <c r="V40" s="9" t="s">
        <v>35</v>
      </c>
      <c r="W40" s="20">
        <f t="shared" si="12"/>
        <v>9999</v>
      </c>
    </row>
    <row r="41" spans="1:23" x14ac:dyDescent="0.2">
      <c r="A41" s="9" t="s">
        <v>36</v>
      </c>
      <c r="B41" s="19">
        <f t="shared" si="13"/>
        <v>9999</v>
      </c>
      <c r="C41" s="11">
        <f t="shared" si="4"/>
        <v>0</v>
      </c>
      <c r="D41" s="11">
        <f t="shared" si="5"/>
        <v>0</v>
      </c>
      <c r="E41" s="20">
        <f t="shared" si="6"/>
        <v>9999</v>
      </c>
      <c r="G41" s="9" t="s">
        <v>36</v>
      </c>
      <c r="H41" s="11">
        <f t="shared" si="0"/>
        <v>0</v>
      </c>
      <c r="I41" s="11">
        <f t="shared" si="1"/>
        <v>0</v>
      </c>
      <c r="J41" s="20">
        <f t="shared" si="7"/>
        <v>9999</v>
      </c>
      <c r="L41" s="9" t="s">
        <v>36</v>
      </c>
      <c r="M41" s="11">
        <f t="shared" si="2"/>
        <v>0</v>
      </c>
      <c r="N41" s="11">
        <f t="shared" si="3"/>
        <v>0</v>
      </c>
      <c r="O41" s="20">
        <f t="shared" si="8"/>
        <v>9999</v>
      </c>
      <c r="P41" s="13"/>
      <c r="Q41" s="9" t="s">
        <v>36</v>
      </c>
      <c r="R41" s="11">
        <f t="shared" si="9"/>
        <v>0</v>
      </c>
      <c r="S41" s="11">
        <f t="shared" si="10"/>
        <v>0</v>
      </c>
      <c r="T41" s="20">
        <f t="shared" si="11"/>
        <v>9999</v>
      </c>
      <c r="V41" s="9" t="s">
        <v>36</v>
      </c>
      <c r="W41" s="20">
        <f t="shared" si="12"/>
        <v>9999</v>
      </c>
    </row>
    <row r="42" spans="1:23" x14ac:dyDescent="0.2">
      <c r="A42" s="4" t="s">
        <v>37</v>
      </c>
      <c r="B42" s="19">
        <f t="shared" si="13"/>
        <v>9999</v>
      </c>
      <c r="C42" s="11">
        <f t="shared" si="4"/>
        <v>0</v>
      </c>
      <c r="D42" s="11">
        <f t="shared" si="5"/>
        <v>0</v>
      </c>
      <c r="E42" s="20">
        <f t="shared" si="6"/>
        <v>9999</v>
      </c>
      <c r="G42" s="4" t="s">
        <v>37</v>
      </c>
      <c r="H42" s="11">
        <f t="shared" si="0"/>
        <v>0</v>
      </c>
      <c r="I42" s="11">
        <f t="shared" si="1"/>
        <v>0</v>
      </c>
      <c r="J42" s="20">
        <f t="shared" si="7"/>
        <v>9999</v>
      </c>
      <c r="L42" s="4" t="s">
        <v>37</v>
      </c>
      <c r="M42" s="11">
        <f t="shared" si="2"/>
        <v>0</v>
      </c>
      <c r="N42" s="11">
        <f t="shared" si="3"/>
        <v>0</v>
      </c>
      <c r="O42" s="20">
        <f t="shared" si="8"/>
        <v>9999</v>
      </c>
      <c r="P42" s="13"/>
      <c r="Q42" s="4" t="s">
        <v>37</v>
      </c>
      <c r="R42" s="11">
        <f t="shared" si="9"/>
        <v>0</v>
      </c>
      <c r="S42" s="11">
        <f t="shared" si="10"/>
        <v>0</v>
      </c>
      <c r="T42" s="20">
        <f t="shared" si="11"/>
        <v>9999</v>
      </c>
      <c r="V42" s="4" t="s">
        <v>37</v>
      </c>
      <c r="W42" s="20">
        <f t="shared" si="12"/>
        <v>9999</v>
      </c>
    </row>
    <row r="43" spans="1:23" x14ac:dyDescent="0.2">
      <c r="A43" s="4" t="s">
        <v>38</v>
      </c>
      <c r="B43" s="19">
        <f t="shared" si="13"/>
        <v>9999</v>
      </c>
      <c r="C43" s="11">
        <f t="shared" si="4"/>
        <v>0</v>
      </c>
      <c r="D43" s="11">
        <f t="shared" si="5"/>
        <v>0</v>
      </c>
      <c r="E43" s="20">
        <f t="shared" si="6"/>
        <v>9999</v>
      </c>
      <c r="G43" s="4" t="s">
        <v>38</v>
      </c>
      <c r="H43" s="11">
        <f t="shared" si="0"/>
        <v>0</v>
      </c>
      <c r="I43" s="11">
        <f t="shared" si="1"/>
        <v>0</v>
      </c>
      <c r="J43" s="20">
        <f t="shared" si="7"/>
        <v>9999</v>
      </c>
      <c r="L43" s="4" t="s">
        <v>38</v>
      </c>
      <c r="M43" s="11">
        <f t="shared" si="2"/>
        <v>0</v>
      </c>
      <c r="N43" s="11">
        <f t="shared" si="3"/>
        <v>0</v>
      </c>
      <c r="O43" s="20">
        <f t="shared" si="8"/>
        <v>9999</v>
      </c>
      <c r="P43" s="13"/>
      <c r="Q43" s="4" t="s">
        <v>38</v>
      </c>
      <c r="R43" s="11">
        <f t="shared" si="9"/>
        <v>0</v>
      </c>
      <c r="S43" s="11">
        <f t="shared" si="10"/>
        <v>0</v>
      </c>
      <c r="T43" s="20">
        <f t="shared" si="11"/>
        <v>9999</v>
      </c>
      <c r="V43" s="4" t="s">
        <v>38</v>
      </c>
      <c r="W43" s="20">
        <f t="shared" si="12"/>
        <v>9999</v>
      </c>
    </row>
    <row r="44" spans="1:23" x14ac:dyDescent="0.2">
      <c r="A44" s="4" t="s">
        <v>39</v>
      </c>
      <c r="B44" s="19">
        <f t="shared" si="13"/>
        <v>9999</v>
      </c>
      <c r="C44" s="11">
        <f t="shared" si="4"/>
        <v>0</v>
      </c>
      <c r="D44" s="11">
        <f t="shared" si="5"/>
        <v>0</v>
      </c>
      <c r="E44" s="20">
        <f t="shared" si="6"/>
        <v>9999</v>
      </c>
      <c r="G44" s="4" t="s">
        <v>39</v>
      </c>
      <c r="H44" s="11">
        <f t="shared" si="0"/>
        <v>0</v>
      </c>
      <c r="I44" s="11">
        <f t="shared" si="1"/>
        <v>0</v>
      </c>
      <c r="J44" s="20">
        <f t="shared" si="7"/>
        <v>9999</v>
      </c>
      <c r="L44" s="4" t="s">
        <v>39</v>
      </c>
      <c r="M44" s="11">
        <f t="shared" si="2"/>
        <v>0</v>
      </c>
      <c r="N44" s="11">
        <f t="shared" si="3"/>
        <v>0</v>
      </c>
      <c r="O44" s="20">
        <f t="shared" si="8"/>
        <v>9999</v>
      </c>
      <c r="P44" s="13"/>
      <c r="Q44" s="4" t="s">
        <v>39</v>
      </c>
      <c r="R44" s="11">
        <f t="shared" si="9"/>
        <v>0</v>
      </c>
      <c r="S44" s="11">
        <f t="shared" si="10"/>
        <v>0</v>
      </c>
      <c r="T44" s="20">
        <f t="shared" si="11"/>
        <v>9999</v>
      </c>
      <c r="V44" s="4" t="s">
        <v>39</v>
      </c>
      <c r="W44" s="20">
        <f t="shared" si="12"/>
        <v>9999</v>
      </c>
    </row>
    <row r="45" spans="1:23" x14ac:dyDescent="0.2">
      <c r="A45" s="9" t="s">
        <v>40</v>
      </c>
      <c r="B45" s="19">
        <f t="shared" si="13"/>
        <v>9999</v>
      </c>
      <c r="C45" s="11">
        <f t="shared" si="4"/>
        <v>0</v>
      </c>
      <c r="D45" s="11">
        <f t="shared" si="5"/>
        <v>0</v>
      </c>
      <c r="E45" s="20">
        <f t="shared" si="6"/>
        <v>9999</v>
      </c>
      <c r="G45" s="9" t="s">
        <v>40</v>
      </c>
      <c r="H45" s="11">
        <f t="shared" si="0"/>
        <v>0</v>
      </c>
      <c r="I45" s="11">
        <f t="shared" si="1"/>
        <v>0</v>
      </c>
      <c r="J45" s="20">
        <f t="shared" si="7"/>
        <v>9999</v>
      </c>
      <c r="L45" s="9" t="s">
        <v>40</v>
      </c>
      <c r="M45" s="11">
        <f t="shared" si="2"/>
        <v>0</v>
      </c>
      <c r="N45" s="11">
        <f t="shared" si="3"/>
        <v>0</v>
      </c>
      <c r="O45" s="20">
        <f t="shared" si="8"/>
        <v>9999</v>
      </c>
      <c r="P45" s="13"/>
      <c r="Q45" s="9" t="s">
        <v>40</v>
      </c>
      <c r="R45" s="11">
        <f t="shared" si="9"/>
        <v>0</v>
      </c>
      <c r="S45" s="11">
        <f t="shared" si="10"/>
        <v>0</v>
      </c>
      <c r="T45" s="20">
        <f t="shared" si="11"/>
        <v>9999</v>
      </c>
      <c r="V45" s="9" t="s">
        <v>40</v>
      </c>
      <c r="W45" s="20">
        <f t="shared" si="12"/>
        <v>9999</v>
      </c>
    </row>
    <row r="46" spans="1:23" x14ac:dyDescent="0.2">
      <c r="A46" s="9" t="s">
        <v>41</v>
      </c>
      <c r="B46" s="19">
        <f t="shared" si="13"/>
        <v>9999</v>
      </c>
      <c r="C46" s="11">
        <f t="shared" si="4"/>
        <v>0</v>
      </c>
      <c r="D46" s="11">
        <f t="shared" si="5"/>
        <v>0</v>
      </c>
      <c r="E46" s="20">
        <f t="shared" si="6"/>
        <v>9999</v>
      </c>
      <c r="G46" s="9" t="s">
        <v>41</v>
      </c>
      <c r="H46" s="11">
        <f t="shared" si="0"/>
        <v>0</v>
      </c>
      <c r="I46" s="11">
        <f t="shared" si="1"/>
        <v>0</v>
      </c>
      <c r="J46" s="20">
        <f t="shared" si="7"/>
        <v>9999</v>
      </c>
      <c r="L46" s="9" t="s">
        <v>41</v>
      </c>
      <c r="M46" s="11">
        <f t="shared" si="2"/>
        <v>0</v>
      </c>
      <c r="N46" s="11">
        <f t="shared" si="3"/>
        <v>0</v>
      </c>
      <c r="O46" s="20">
        <f t="shared" si="8"/>
        <v>9999</v>
      </c>
      <c r="P46" s="13"/>
      <c r="Q46" s="9" t="s">
        <v>41</v>
      </c>
      <c r="R46" s="11">
        <f t="shared" si="9"/>
        <v>0</v>
      </c>
      <c r="S46" s="11">
        <f t="shared" si="10"/>
        <v>0</v>
      </c>
      <c r="T46" s="20">
        <f t="shared" si="11"/>
        <v>9999</v>
      </c>
      <c r="V46" s="9" t="s">
        <v>41</v>
      </c>
      <c r="W46" s="20">
        <f t="shared" si="12"/>
        <v>9999</v>
      </c>
    </row>
    <row r="47" spans="1:23" x14ac:dyDescent="0.2">
      <c r="A47" s="9" t="s">
        <v>42</v>
      </c>
      <c r="B47" s="19">
        <f t="shared" si="13"/>
        <v>9999</v>
      </c>
      <c r="C47" s="11">
        <f t="shared" si="4"/>
        <v>0</v>
      </c>
      <c r="D47" s="11">
        <f t="shared" si="5"/>
        <v>0</v>
      </c>
      <c r="E47" s="20">
        <f t="shared" si="6"/>
        <v>9999</v>
      </c>
      <c r="G47" s="9" t="s">
        <v>42</v>
      </c>
      <c r="H47" s="11">
        <f t="shared" si="0"/>
        <v>0</v>
      </c>
      <c r="I47" s="11">
        <f t="shared" si="1"/>
        <v>0</v>
      </c>
      <c r="J47" s="20">
        <f t="shared" si="7"/>
        <v>9999</v>
      </c>
      <c r="L47" s="9" t="s">
        <v>42</v>
      </c>
      <c r="M47" s="11">
        <f t="shared" si="2"/>
        <v>0</v>
      </c>
      <c r="N47" s="11">
        <f t="shared" si="3"/>
        <v>0</v>
      </c>
      <c r="O47" s="20">
        <f t="shared" si="8"/>
        <v>9999</v>
      </c>
      <c r="P47" s="13"/>
      <c r="Q47" s="9" t="s">
        <v>42</v>
      </c>
      <c r="R47" s="11">
        <f t="shared" si="9"/>
        <v>0</v>
      </c>
      <c r="S47" s="11">
        <f t="shared" si="10"/>
        <v>0</v>
      </c>
      <c r="T47" s="20">
        <f t="shared" si="11"/>
        <v>9999</v>
      </c>
      <c r="V47" s="9" t="s">
        <v>42</v>
      </c>
      <c r="W47" s="20">
        <f t="shared" si="12"/>
        <v>9999</v>
      </c>
    </row>
    <row r="48" spans="1:23" x14ac:dyDescent="0.2">
      <c r="A48" s="9" t="s">
        <v>43</v>
      </c>
      <c r="B48" s="19">
        <f t="shared" si="13"/>
        <v>9999</v>
      </c>
      <c r="C48" s="11">
        <f t="shared" si="4"/>
        <v>0</v>
      </c>
      <c r="D48" s="11">
        <f t="shared" si="5"/>
        <v>0</v>
      </c>
      <c r="E48" s="20">
        <f t="shared" si="6"/>
        <v>9999</v>
      </c>
      <c r="G48" s="9" t="s">
        <v>43</v>
      </c>
      <c r="H48" s="11">
        <f t="shared" si="0"/>
        <v>0</v>
      </c>
      <c r="I48" s="11">
        <f t="shared" si="1"/>
        <v>0</v>
      </c>
      <c r="J48" s="20">
        <f t="shared" si="7"/>
        <v>9999</v>
      </c>
      <c r="L48" s="9" t="s">
        <v>43</v>
      </c>
      <c r="M48" s="11">
        <f t="shared" si="2"/>
        <v>0</v>
      </c>
      <c r="N48" s="11">
        <f t="shared" si="3"/>
        <v>0</v>
      </c>
      <c r="O48" s="20">
        <f t="shared" si="8"/>
        <v>9999</v>
      </c>
      <c r="P48" s="13"/>
      <c r="Q48" s="9" t="s">
        <v>43</v>
      </c>
      <c r="R48" s="11">
        <f t="shared" si="9"/>
        <v>0</v>
      </c>
      <c r="S48" s="11">
        <f t="shared" si="10"/>
        <v>0</v>
      </c>
      <c r="T48" s="20">
        <f t="shared" si="11"/>
        <v>9999</v>
      </c>
      <c r="V48" s="9" t="s">
        <v>43</v>
      </c>
      <c r="W48" s="20">
        <f t="shared" si="12"/>
        <v>9999</v>
      </c>
    </row>
    <row r="49" spans="1:25" x14ac:dyDescent="0.2">
      <c r="A49" s="10" t="s">
        <v>44</v>
      </c>
      <c r="B49" s="21">
        <f t="shared" si="13"/>
        <v>9999</v>
      </c>
      <c r="C49" s="12">
        <f t="shared" si="4"/>
        <v>0</v>
      </c>
      <c r="D49" s="12">
        <f t="shared" si="5"/>
        <v>0</v>
      </c>
      <c r="E49" s="22">
        <f t="shared" si="6"/>
        <v>9999</v>
      </c>
      <c r="G49" s="10" t="s">
        <v>44</v>
      </c>
      <c r="H49" s="12">
        <f t="shared" si="0"/>
        <v>0</v>
      </c>
      <c r="I49" s="12">
        <f t="shared" si="1"/>
        <v>0</v>
      </c>
      <c r="J49" s="22">
        <f t="shared" si="7"/>
        <v>9999</v>
      </c>
      <c r="L49" s="10" t="s">
        <v>44</v>
      </c>
      <c r="M49" s="12">
        <f t="shared" si="2"/>
        <v>0</v>
      </c>
      <c r="N49" s="12">
        <f t="shared" si="3"/>
        <v>0</v>
      </c>
      <c r="O49" s="22">
        <f t="shared" si="8"/>
        <v>9999</v>
      </c>
      <c r="P49" s="13"/>
      <c r="Q49" s="10" t="s">
        <v>44</v>
      </c>
      <c r="R49" s="12">
        <f t="shared" si="9"/>
        <v>0</v>
      </c>
      <c r="S49" s="12">
        <f t="shared" si="10"/>
        <v>0</v>
      </c>
      <c r="T49" s="22">
        <f t="shared" si="11"/>
        <v>9999</v>
      </c>
      <c r="V49" s="10" t="s">
        <v>44</v>
      </c>
      <c r="W49" s="22">
        <f t="shared" si="12"/>
        <v>9999</v>
      </c>
    </row>
    <row r="50" spans="1:25" x14ac:dyDescent="0.2">
      <c r="P50" s="13"/>
    </row>
    <row r="51" spans="1:25" x14ac:dyDescent="0.2">
      <c r="A51" s="18" t="s">
        <v>7</v>
      </c>
      <c r="P51" s="13"/>
    </row>
    <row r="52" spans="1:25" x14ac:dyDescent="0.2">
      <c r="A52" s="36" t="s">
        <v>74</v>
      </c>
      <c r="B52" s="2"/>
      <c r="C52" s="2"/>
      <c r="D52" s="2"/>
      <c r="E52" s="3"/>
      <c r="G52" s="35" t="s">
        <v>73</v>
      </c>
      <c r="H52" s="2"/>
      <c r="I52" s="2"/>
      <c r="J52" s="3"/>
      <c r="L52" s="1" t="s">
        <v>2</v>
      </c>
      <c r="M52" s="2"/>
      <c r="N52" s="2"/>
      <c r="O52" s="3"/>
      <c r="P52" s="11"/>
      <c r="Q52" s="36" t="s">
        <v>76</v>
      </c>
      <c r="R52" s="2"/>
      <c r="S52" s="2"/>
      <c r="T52" s="3"/>
      <c r="V52" s="36" t="s">
        <v>757</v>
      </c>
      <c r="W52" s="50"/>
    </row>
    <row r="53" spans="1:25" x14ac:dyDescent="0.2">
      <c r="A53" s="4"/>
      <c r="B53" s="5"/>
      <c r="C53" s="5"/>
      <c r="D53" s="5"/>
      <c r="E53" s="6"/>
      <c r="G53" s="4"/>
      <c r="H53" s="5"/>
      <c r="I53" s="5"/>
      <c r="J53" s="6"/>
      <c r="L53" s="4"/>
      <c r="M53" s="5"/>
      <c r="N53" s="5"/>
      <c r="O53" s="6"/>
      <c r="P53" s="11"/>
      <c r="Q53" s="4"/>
      <c r="R53" s="5"/>
      <c r="S53" s="5"/>
      <c r="T53" s="6"/>
      <c r="V53" s="4"/>
      <c r="W53" s="6"/>
      <c r="Y53" s="37"/>
    </row>
    <row r="54" spans="1:25" x14ac:dyDescent="0.2">
      <c r="A54" s="4"/>
      <c r="B54" s="19" t="s">
        <v>3</v>
      </c>
      <c r="C54" s="5"/>
      <c r="D54" s="5"/>
      <c r="E54" s="20" t="s">
        <v>4</v>
      </c>
      <c r="G54" s="4"/>
      <c r="H54" s="5"/>
      <c r="I54" s="5"/>
      <c r="J54" s="20" t="s">
        <v>5</v>
      </c>
      <c r="L54" s="4"/>
      <c r="M54" s="5"/>
      <c r="N54" s="5"/>
      <c r="O54" s="20" t="s">
        <v>5</v>
      </c>
      <c r="P54" s="11"/>
      <c r="Q54" s="4"/>
      <c r="R54" s="5"/>
      <c r="S54" s="5"/>
      <c r="T54" s="20" t="s">
        <v>5</v>
      </c>
      <c r="V54" s="4"/>
      <c r="W54" s="6"/>
    </row>
    <row r="55" spans="1:25" x14ac:dyDescent="0.2">
      <c r="A55" s="4" t="s">
        <v>25</v>
      </c>
      <c r="B55" s="19">
        <f>IF(F5="",9999,IF(F5=0,1,0))</f>
        <v>9999</v>
      </c>
      <c r="C55" s="11">
        <f>IF(E5="na","na",IF(E5&gt;I5,E5/10,IF(I5="na","na",I5/10)))</f>
        <v>0</v>
      </c>
      <c r="D55" s="11">
        <f>IF(I5="na","na",IF(E5&gt;I5,I5/10,IF(E5="na","na",E5/10)))</f>
        <v>0</v>
      </c>
      <c r="E55" s="20">
        <f>IF(ISERROR(C55-D55),9999,IF(OR(C55=0,D55=0),9999,IF(SUM(C55-D55)&lt;=0,9999,SUM(C55-D55))))</f>
        <v>9999</v>
      </c>
      <c r="G55" s="4" t="s">
        <v>25</v>
      </c>
      <c r="H55" s="11">
        <f t="shared" ref="H55:H74" si="14">D5</f>
        <v>0</v>
      </c>
      <c r="I55" s="11">
        <f>H5</f>
        <v>0</v>
      </c>
      <c r="J55" s="20">
        <f t="shared" ref="J55:J74" si="15">IF(ISERROR(I55-H55),9999,IF(OR(H55=0,I55=0),9999,IF(SUM(I55-H55)&lt;=0,9999,SUM(I55-H55))))</f>
        <v>9999</v>
      </c>
      <c r="L55" s="4" t="s">
        <v>25</v>
      </c>
      <c r="M55" s="11">
        <f t="shared" ref="M55:M74" si="16">J5</f>
        <v>0</v>
      </c>
      <c r="N55" s="11">
        <f t="shared" ref="N55:N74" si="17">H5</f>
        <v>0</v>
      </c>
      <c r="O55" s="20">
        <f t="shared" ref="O55:O74" si="18">IF(ISERROR(M55-N55),9999,IF(OR(M55=0,N55=0),9999,IF(SUM(M55-N55)&lt;=0,9999,SUM(M55-N55))))</f>
        <v>9999</v>
      </c>
      <c r="P55" s="13"/>
      <c r="Q55" s="4" t="s">
        <v>25</v>
      </c>
      <c r="R55" s="11">
        <f>J5</f>
        <v>0</v>
      </c>
      <c r="S55" s="11">
        <f>D5</f>
        <v>0</v>
      </c>
      <c r="T55" s="20">
        <f t="shared" ref="T55:T74" si="19">IF(ISERROR(R55-S55),9999,IF(OR(R55=0,S55=0),9999,IF(SUM(R55-S55)&lt;=0,9999,SUM(R55-S55))))</f>
        <v>9999</v>
      </c>
      <c r="V55" s="4" t="s">
        <v>25</v>
      </c>
      <c r="W55" s="20">
        <f>IF(N5="",9999,N5)</f>
        <v>9999</v>
      </c>
    </row>
    <row r="56" spans="1:25" x14ac:dyDescent="0.2">
      <c r="A56" s="4" t="s">
        <v>26</v>
      </c>
      <c r="B56" s="19">
        <f t="shared" ref="B56:B74" si="20">IF(F6="",9999,IF(F6=0,1,0))</f>
        <v>9999</v>
      </c>
      <c r="C56" s="11">
        <f t="shared" ref="C56:C74" si="21">IF(E6="na","na",IF(E6&gt;I6,E6/10,IF(I6="na","na",I6/10)))</f>
        <v>0</v>
      </c>
      <c r="D56" s="11">
        <f t="shared" ref="D56:D74" si="22">IF(I6="na","na",IF(E6&gt;I6,I6/10,IF(E6="na","na",E6/10)))</f>
        <v>0</v>
      </c>
      <c r="E56" s="20">
        <f t="shared" ref="E56:E74" si="23">IF(ISERROR(C56-D56),9999,IF(OR(C56=0,D56=0),9999,IF(SUM(C56-D56)&lt;=0,9999,SUM(C56-D56))))</f>
        <v>9999</v>
      </c>
      <c r="G56" s="4" t="s">
        <v>26</v>
      </c>
      <c r="H56" s="11">
        <f t="shared" si="14"/>
        <v>0</v>
      </c>
      <c r="I56" s="11">
        <f>H6</f>
        <v>0</v>
      </c>
      <c r="J56" s="20">
        <f t="shared" si="15"/>
        <v>9999</v>
      </c>
      <c r="L56" s="4" t="s">
        <v>26</v>
      </c>
      <c r="M56" s="11">
        <f t="shared" si="16"/>
        <v>0</v>
      </c>
      <c r="N56" s="11">
        <f t="shared" si="17"/>
        <v>0</v>
      </c>
      <c r="O56" s="20">
        <f t="shared" si="18"/>
        <v>9999</v>
      </c>
      <c r="P56" s="13"/>
      <c r="Q56" s="4" t="s">
        <v>26</v>
      </c>
      <c r="R56" s="11">
        <f t="shared" ref="R56:R74" si="24">J6</f>
        <v>0</v>
      </c>
      <c r="S56" s="11">
        <f t="shared" ref="S56:S74" si="25">D6</f>
        <v>0</v>
      </c>
      <c r="T56" s="20">
        <f t="shared" si="19"/>
        <v>9999</v>
      </c>
      <c r="V56" s="4" t="s">
        <v>26</v>
      </c>
      <c r="W56" s="20">
        <f t="shared" ref="W56:W74" si="26">IF(N6="",9999,N6)</f>
        <v>9999</v>
      </c>
    </row>
    <row r="57" spans="1:25" x14ac:dyDescent="0.2">
      <c r="A57" s="4" t="s">
        <v>27</v>
      </c>
      <c r="B57" s="19">
        <f t="shared" si="20"/>
        <v>9999</v>
      </c>
      <c r="C57" s="11">
        <f t="shared" si="21"/>
        <v>0</v>
      </c>
      <c r="D57" s="11">
        <f t="shared" si="22"/>
        <v>0</v>
      </c>
      <c r="E57" s="20">
        <f t="shared" si="23"/>
        <v>9999</v>
      </c>
      <c r="G57" s="4" t="s">
        <v>27</v>
      </c>
      <c r="H57" s="11">
        <f t="shared" si="14"/>
        <v>0</v>
      </c>
      <c r="I57" s="11">
        <f>H7</f>
        <v>0</v>
      </c>
      <c r="J57" s="20">
        <f t="shared" si="15"/>
        <v>9999</v>
      </c>
      <c r="L57" s="4" t="s">
        <v>27</v>
      </c>
      <c r="M57" s="11">
        <f t="shared" si="16"/>
        <v>0</v>
      </c>
      <c r="N57" s="11">
        <f t="shared" si="17"/>
        <v>0</v>
      </c>
      <c r="O57" s="20">
        <f t="shared" si="18"/>
        <v>9999</v>
      </c>
      <c r="P57" s="13"/>
      <c r="Q57" s="4" t="s">
        <v>27</v>
      </c>
      <c r="R57" s="11">
        <f t="shared" si="24"/>
        <v>0</v>
      </c>
      <c r="S57" s="11">
        <f t="shared" si="25"/>
        <v>0</v>
      </c>
      <c r="T57" s="20">
        <f t="shared" si="19"/>
        <v>9999</v>
      </c>
      <c r="V57" s="4" t="s">
        <v>27</v>
      </c>
      <c r="W57" s="20">
        <f t="shared" si="26"/>
        <v>9999</v>
      </c>
    </row>
    <row r="58" spans="1:25" x14ac:dyDescent="0.2">
      <c r="A58" s="4" t="s">
        <v>28</v>
      </c>
      <c r="B58" s="19">
        <f t="shared" si="20"/>
        <v>9999</v>
      </c>
      <c r="C58" s="11">
        <f t="shared" si="21"/>
        <v>0</v>
      </c>
      <c r="D58" s="11">
        <f t="shared" si="22"/>
        <v>0</v>
      </c>
      <c r="E58" s="20">
        <f t="shared" si="23"/>
        <v>9999</v>
      </c>
      <c r="G58" s="4" t="s">
        <v>28</v>
      </c>
      <c r="H58" s="11">
        <f t="shared" si="14"/>
        <v>0</v>
      </c>
      <c r="I58" s="11">
        <f t="shared" ref="I58:I74" si="27">H8</f>
        <v>0</v>
      </c>
      <c r="J58" s="20">
        <f t="shared" si="15"/>
        <v>9999</v>
      </c>
      <c r="L58" s="4" t="s">
        <v>28</v>
      </c>
      <c r="M58" s="11">
        <f t="shared" si="16"/>
        <v>0</v>
      </c>
      <c r="N58" s="11">
        <f t="shared" si="17"/>
        <v>0</v>
      </c>
      <c r="O58" s="20">
        <f t="shared" si="18"/>
        <v>9999</v>
      </c>
      <c r="P58" s="13"/>
      <c r="Q58" s="4" t="s">
        <v>28</v>
      </c>
      <c r="R58" s="11">
        <f t="shared" si="24"/>
        <v>0</v>
      </c>
      <c r="S58" s="11">
        <f t="shared" si="25"/>
        <v>0</v>
      </c>
      <c r="T58" s="20">
        <f t="shared" si="19"/>
        <v>9999</v>
      </c>
      <c r="V58" s="4" t="s">
        <v>28</v>
      </c>
      <c r="W58" s="20">
        <f t="shared" si="26"/>
        <v>9999</v>
      </c>
    </row>
    <row r="59" spans="1:25" x14ac:dyDescent="0.2">
      <c r="A59" s="4" t="s">
        <v>29</v>
      </c>
      <c r="B59" s="19">
        <f t="shared" si="20"/>
        <v>9999</v>
      </c>
      <c r="C59" s="11">
        <f t="shared" si="21"/>
        <v>0</v>
      </c>
      <c r="D59" s="11">
        <f t="shared" si="22"/>
        <v>0</v>
      </c>
      <c r="E59" s="20">
        <f t="shared" si="23"/>
        <v>9999</v>
      </c>
      <c r="G59" s="4" t="s">
        <v>29</v>
      </c>
      <c r="H59" s="11">
        <f t="shared" si="14"/>
        <v>0</v>
      </c>
      <c r="I59" s="11">
        <f t="shared" si="27"/>
        <v>0</v>
      </c>
      <c r="J59" s="20">
        <f t="shared" si="15"/>
        <v>9999</v>
      </c>
      <c r="L59" s="4" t="s">
        <v>29</v>
      </c>
      <c r="M59" s="11">
        <f t="shared" si="16"/>
        <v>0</v>
      </c>
      <c r="N59" s="11">
        <f t="shared" si="17"/>
        <v>0</v>
      </c>
      <c r="O59" s="20">
        <f t="shared" si="18"/>
        <v>9999</v>
      </c>
      <c r="P59" s="13"/>
      <c r="Q59" s="4" t="s">
        <v>29</v>
      </c>
      <c r="R59" s="11">
        <f t="shared" si="24"/>
        <v>0</v>
      </c>
      <c r="S59" s="11">
        <f t="shared" si="25"/>
        <v>0</v>
      </c>
      <c r="T59" s="20">
        <f t="shared" si="19"/>
        <v>9999</v>
      </c>
      <c r="V59" s="4" t="s">
        <v>29</v>
      </c>
      <c r="W59" s="20">
        <f t="shared" si="26"/>
        <v>9999</v>
      </c>
    </row>
    <row r="60" spans="1:25" x14ac:dyDescent="0.2">
      <c r="A60" s="4" t="s">
        <v>30</v>
      </c>
      <c r="B60" s="19">
        <f t="shared" si="20"/>
        <v>9999</v>
      </c>
      <c r="C60" s="11">
        <f t="shared" si="21"/>
        <v>0</v>
      </c>
      <c r="D60" s="11">
        <f t="shared" si="22"/>
        <v>0</v>
      </c>
      <c r="E60" s="20">
        <f t="shared" si="23"/>
        <v>9999</v>
      </c>
      <c r="G60" s="4" t="s">
        <v>30</v>
      </c>
      <c r="H60" s="11">
        <f t="shared" si="14"/>
        <v>0</v>
      </c>
      <c r="I60" s="11">
        <f t="shared" si="27"/>
        <v>0</v>
      </c>
      <c r="J60" s="20">
        <f t="shared" si="15"/>
        <v>9999</v>
      </c>
      <c r="L60" s="4" t="s">
        <v>30</v>
      </c>
      <c r="M60" s="11">
        <f t="shared" si="16"/>
        <v>0</v>
      </c>
      <c r="N60" s="11">
        <f t="shared" si="17"/>
        <v>0</v>
      </c>
      <c r="O60" s="20">
        <f t="shared" si="18"/>
        <v>9999</v>
      </c>
      <c r="P60" s="13"/>
      <c r="Q60" s="4" t="s">
        <v>30</v>
      </c>
      <c r="R60" s="11">
        <f t="shared" si="24"/>
        <v>0</v>
      </c>
      <c r="S60" s="11">
        <f t="shared" si="25"/>
        <v>0</v>
      </c>
      <c r="T60" s="20">
        <f t="shared" si="19"/>
        <v>9999</v>
      </c>
      <c r="V60" s="4" t="s">
        <v>30</v>
      </c>
      <c r="W60" s="20">
        <f t="shared" si="26"/>
        <v>9999</v>
      </c>
    </row>
    <row r="61" spans="1:25" x14ac:dyDescent="0.2">
      <c r="A61" s="4" t="s">
        <v>31</v>
      </c>
      <c r="B61" s="19">
        <f t="shared" si="20"/>
        <v>9999</v>
      </c>
      <c r="C61" s="11">
        <f t="shared" si="21"/>
        <v>0</v>
      </c>
      <c r="D61" s="11">
        <f t="shared" si="22"/>
        <v>0</v>
      </c>
      <c r="E61" s="20">
        <f t="shared" si="23"/>
        <v>9999</v>
      </c>
      <c r="G61" s="4" t="s">
        <v>31</v>
      </c>
      <c r="H61" s="11">
        <f t="shared" si="14"/>
        <v>0</v>
      </c>
      <c r="I61" s="11">
        <f t="shared" si="27"/>
        <v>0</v>
      </c>
      <c r="J61" s="20">
        <f t="shared" si="15"/>
        <v>9999</v>
      </c>
      <c r="L61" s="4" t="s">
        <v>31</v>
      </c>
      <c r="M61" s="11">
        <f t="shared" si="16"/>
        <v>0</v>
      </c>
      <c r="N61" s="11">
        <f t="shared" si="17"/>
        <v>0</v>
      </c>
      <c r="O61" s="20">
        <f t="shared" si="18"/>
        <v>9999</v>
      </c>
      <c r="P61" s="13"/>
      <c r="Q61" s="4" t="s">
        <v>31</v>
      </c>
      <c r="R61" s="11">
        <f t="shared" si="24"/>
        <v>0</v>
      </c>
      <c r="S61" s="11">
        <f t="shared" si="25"/>
        <v>0</v>
      </c>
      <c r="T61" s="20">
        <f t="shared" si="19"/>
        <v>9999</v>
      </c>
      <c r="V61" s="4" t="s">
        <v>31</v>
      </c>
      <c r="W61" s="20">
        <f t="shared" si="26"/>
        <v>9999</v>
      </c>
    </row>
    <row r="62" spans="1:25" x14ac:dyDescent="0.2">
      <c r="A62" s="9" t="s">
        <v>32</v>
      </c>
      <c r="B62" s="19">
        <f t="shared" si="20"/>
        <v>9999</v>
      </c>
      <c r="C62" s="11">
        <f t="shared" si="21"/>
        <v>0</v>
      </c>
      <c r="D62" s="11">
        <f t="shared" si="22"/>
        <v>0</v>
      </c>
      <c r="E62" s="20">
        <f t="shared" si="23"/>
        <v>9999</v>
      </c>
      <c r="G62" s="9" t="s">
        <v>32</v>
      </c>
      <c r="H62" s="11">
        <f t="shared" si="14"/>
        <v>0</v>
      </c>
      <c r="I62" s="11">
        <f t="shared" si="27"/>
        <v>0</v>
      </c>
      <c r="J62" s="20">
        <f t="shared" si="15"/>
        <v>9999</v>
      </c>
      <c r="L62" s="9" t="s">
        <v>32</v>
      </c>
      <c r="M62" s="11">
        <f t="shared" si="16"/>
        <v>0</v>
      </c>
      <c r="N62" s="11">
        <f t="shared" si="17"/>
        <v>0</v>
      </c>
      <c r="O62" s="20">
        <f t="shared" si="18"/>
        <v>9999</v>
      </c>
      <c r="P62" s="13"/>
      <c r="Q62" s="9" t="s">
        <v>32</v>
      </c>
      <c r="R62" s="11">
        <f t="shared" si="24"/>
        <v>0</v>
      </c>
      <c r="S62" s="11">
        <f t="shared" si="25"/>
        <v>0</v>
      </c>
      <c r="T62" s="20">
        <f t="shared" si="19"/>
        <v>9999</v>
      </c>
      <c r="V62" s="9" t="s">
        <v>32</v>
      </c>
      <c r="W62" s="20">
        <f t="shared" si="26"/>
        <v>9999</v>
      </c>
    </row>
    <row r="63" spans="1:25" x14ac:dyDescent="0.2">
      <c r="A63" s="9" t="s">
        <v>33</v>
      </c>
      <c r="B63" s="19">
        <f t="shared" si="20"/>
        <v>9999</v>
      </c>
      <c r="C63" s="11">
        <f t="shared" si="21"/>
        <v>0</v>
      </c>
      <c r="D63" s="11">
        <f t="shared" si="22"/>
        <v>0</v>
      </c>
      <c r="E63" s="20">
        <f t="shared" si="23"/>
        <v>9999</v>
      </c>
      <c r="G63" s="9" t="s">
        <v>33</v>
      </c>
      <c r="H63" s="11">
        <f t="shared" si="14"/>
        <v>0</v>
      </c>
      <c r="I63" s="11">
        <f t="shared" si="27"/>
        <v>0</v>
      </c>
      <c r="J63" s="20">
        <f t="shared" si="15"/>
        <v>9999</v>
      </c>
      <c r="L63" s="9" t="s">
        <v>33</v>
      </c>
      <c r="M63" s="11">
        <f t="shared" si="16"/>
        <v>0</v>
      </c>
      <c r="N63" s="11">
        <f t="shared" si="17"/>
        <v>0</v>
      </c>
      <c r="O63" s="20">
        <f t="shared" si="18"/>
        <v>9999</v>
      </c>
      <c r="P63" s="13"/>
      <c r="Q63" s="9" t="s">
        <v>33</v>
      </c>
      <c r="R63" s="11">
        <f t="shared" si="24"/>
        <v>0</v>
      </c>
      <c r="S63" s="11">
        <f t="shared" si="25"/>
        <v>0</v>
      </c>
      <c r="T63" s="20">
        <f t="shared" si="19"/>
        <v>9999</v>
      </c>
      <c r="V63" s="9" t="s">
        <v>33</v>
      </c>
      <c r="W63" s="20">
        <f t="shared" si="26"/>
        <v>9999</v>
      </c>
    </row>
    <row r="64" spans="1:25" x14ac:dyDescent="0.2">
      <c r="A64" s="9" t="s">
        <v>34</v>
      </c>
      <c r="B64" s="19">
        <f t="shared" si="20"/>
        <v>9999</v>
      </c>
      <c r="C64" s="11">
        <f t="shared" si="21"/>
        <v>0</v>
      </c>
      <c r="D64" s="11">
        <f t="shared" si="22"/>
        <v>0</v>
      </c>
      <c r="E64" s="20">
        <f t="shared" si="23"/>
        <v>9999</v>
      </c>
      <c r="G64" s="9" t="s">
        <v>34</v>
      </c>
      <c r="H64" s="11">
        <f t="shared" si="14"/>
        <v>0</v>
      </c>
      <c r="I64" s="11">
        <f t="shared" si="27"/>
        <v>0</v>
      </c>
      <c r="J64" s="20">
        <f t="shared" si="15"/>
        <v>9999</v>
      </c>
      <c r="L64" s="9" t="s">
        <v>34</v>
      </c>
      <c r="M64" s="11">
        <f t="shared" si="16"/>
        <v>0</v>
      </c>
      <c r="N64" s="11">
        <f t="shared" si="17"/>
        <v>0</v>
      </c>
      <c r="O64" s="20">
        <f t="shared" si="18"/>
        <v>9999</v>
      </c>
      <c r="P64" s="13"/>
      <c r="Q64" s="9" t="s">
        <v>34</v>
      </c>
      <c r="R64" s="11">
        <f t="shared" si="24"/>
        <v>0</v>
      </c>
      <c r="S64" s="11">
        <f t="shared" si="25"/>
        <v>0</v>
      </c>
      <c r="T64" s="20">
        <f t="shared" si="19"/>
        <v>9999</v>
      </c>
      <c r="V64" s="9" t="s">
        <v>34</v>
      </c>
      <c r="W64" s="20">
        <f t="shared" si="26"/>
        <v>9999</v>
      </c>
    </row>
    <row r="65" spans="1:25" x14ac:dyDescent="0.2">
      <c r="A65" s="9" t="s">
        <v>35</v>
      </c>
      <c r="B65" s="19">
        <f t="shared" si="20"/>
        <v>9999</v>
      </c>
      <c r="C65" s="11">
        <f t="shared" si="21"/>
        <v>0</v>
      </c>
      <c r="D65" s="11">
        <f t="shared" si="22"/>
        <v>0</v>
      </c>
      <c r="E65" s="20">
        <f t="shared" si="23"/>
        <v>9999</v>
      </c>
      <c r="G65" s="9" t="s">
        <v>35</v>
      </c>
      <c r="H65" s="11">
        <f t="shared" si="14"/>
        <v>0</v>
      </c>
      <c r="I65" s="11">
        <f t="shared" si="27"/>
        <v>0</v>
      </c>
      <c r="J65" s="20">
        <f t="shared" si="15"/>
        <v>9999</v>
      </c>
      <c r="L65" s="9" t="s">
        <v>35</v>
      </c>
      <c r="M65" s="11">
        <f t="shared" si="16"/>
        <v>0</v>
      </c>
      <c r="N65" s="11">
        <f t="shared" si="17"/>
        <v>0</v>
      </c>
      <c r="O65" s="20">
        <f t="shared" si="18"/>
        <v>9999</v>
      </c>
      <c r="P65" s="13"/>
      <c r="Q65" s="9" t="s">
        <v>35</v>
      </c>
      <c r="R65" s="11">
        <f t="shared" si="24"/>
        <v>0</v>
      </c>
      <c r="S65" s="11">
        <f t="shared" si="25"/>
        <v>0</v>
      </c>
      <c r="T65" s="20">
        <f t="shared" si="19"/>
        <v>9999</v>
      </c>
      <c r="V65" s="9" t="s">
        <v>35</v>
      </c>
      <c r="W65" s="20">
        <f t="shared" si="26"/>
        <v>9999</v>
      </c>
    </row>
    <row r="66" spans="1:25" x14ac:dyDescent="0.2">
      <c r="A66" s="9" t="s">
        <v>36</v>
      </c>
      <c r="B66" s="19">
        <f t="shared" si="20"/>
        <v>9999</v>
      </c>
      <c r="C66" s="11">
        <f t="shared" si="21"/>
        <v>0</v>
      </c>
      <c r="D66" s="11">
        <f t="shared" si="22"/>
        <v>0</v>
      </c>
      <c r="E66" s="20">
        <f t="shared" si="23"/>
        <v>9999</v>
      </c>
      <c r="G66" s="9" t="s">
        <v>36</v>
      </c>
      <c r="H66" s="11">
        <f t="shared" si="14"/>
        <v>0</v>
      </c>
      <c r="I66" s="11">
        <f t="shared" si="27"/>
        <v>0</v>
      </c>
      <c r="J66" s="20">
        <f t="shared" si="15"/>
        <v>9999</v>
      </c>
      <c r="L66" s="9" t="s">
        <v>36</v>
      </c>
      <c r="M66" s="11">
        <f t="shared" si="16"/>
        <v>0</v>
      </c>
      <c r="N66" s="11">
        <f t="shared" si="17"/>
        <v>0</v>
      </c>
      <c r="O66" s="20">
        <f t="shared" si="18"/>
        <v>9999</v>
      </c>
      <c r="P66" s="13"/>
      <c r="Q66" s="9" t="s">
        <v>36</v>
      </c>
      <c r="R66" s="11">
        <f t="shared" si="24"/>
        <v>0</v>
      </c>
      <c r="S66" s="11">
        <f t="shared" si="25"/>
        <v>0</v>
      </c>
      <c r="T66" s="20">
        <f t="shared" si="19"/>
        <v>9999</v>
      </c>
      <c r="V66" s="9" t="s">
        <v>36</v>
      </c>
      <c r="W66" s="20">
        <f t="shared" si="26"/>
        <v>9999</v>
      </c>
    </row>
    <row r="67" spans="1:25" x14ac:dyDescent="0.2">
      <c r="A67" s="4" t="s">
        <v>37</v>
      </c>
      <c r="B67" s="19">
        <f t="shared" si="20"/>
        <v>9999</v>
      </c>
      <c r="C67" s="11">
        <f t="shared" si="21"/>
        <v>0</v>
      </c>
      <c r="D67" s="11">
        <f t="shared" si="22"/>
        <v>0</v>
      </c>
      <c r="E67" s="20">
        <f t="shared" si="23"/>
        <v>9999</v>
      </c>
      <c r="G67" s="4" t="s">
        <v>37</v>
      </c>
      <c r="H67" s="11">
        <f t="shared" si="14"/>
        <v>0</v>
      </c>
      <c r="I67" s="11">
        <f t="shared" si="27"/>
        <v>0</v>
      </c>
      <c r="J67" s="20">
        <f t="shared" si="15"/>
        <v>9999</v>
      </c>
      <c r="L67" s="4" t="s">
        <v>37</v>
      </c>
      <c r="M67" s="11">
        <f t="shared" si="16"/>
        <v>0</v>
      </c>
      <c r="N67" s="11">
        <f t="shared" si="17"/>
        <v>0</v>
      </c>
      <c r="O67" s="20">
        <f t="shared" si="18"/>
        <v>9999</v>
      </c>
      <c r="P67" s="13"/>
      <c r="Q67" s="4" t="s">
        <v>37</v>
      </c>
      <c r="R67" s="11">
        <f t="shared" si="24"/>
        <v>0</v>
      </c>
      <c r="S67" s="11">
        <f t="shared" si="25"/>
        <v>0</v>
      </c>
      <c r="T67" s="20">
        <f t="shared" si="19"/>
        <v>9999</v>
      </c>
      <c r="V67" s="4" t="s">
        <v>37</v>
      </c>
      <c r="W67" s="20">
        <f t="shared" si="26"/>
        <v>9999</v>
      </c>
    </row>
    <row r="68" spans="1:25" x14ac:dyDescent="0.2">
      <c r="A68" s="4" t="s">
        <v>38</v>
      </c>
      <c r="B68" s="19">
        <f t="shared" si="20"/>
        <v>9999</v>
      </c>
      <c r="C68" s="11">
        <f t="shared" si="21"/>
        <v>0</v>
      </c>
      <c r="D68" s="11">
        <f t="shared" si="22"/>
        <v>0</v>
      </c>
      <c r="E68" s="20">
        <f t="shared" si="23"/>
        <v>9999</v>
      </c>
      <c r="G68" s="4" t="s">
        <v>38</v>
      </c>
      <c r="H68" s="11">
        <f t="shared" si="14"/>
        <v>0</v>
      </c>
      <c r="I68" s="11">
        <f t="shared" si="27"/>
        <v>0</v>
      </c>
      <c r="J68" s="20">
        <f t="shared" si="15"/>
        <v>9999</v>
      </c>
      <c r="L68" s="4" t="s">
        <v>38</v>
      </c>
      <c r="M68" s="11">
        <f t="shared" si="16"/>
        <v>0</v>
      </c>
      <c r="N68" s="11">
        <f t="shared" si="17"/>
        <v>0</v>
      </c>
      <c r="O68" s="20">
        <f t="shared" si="18"/>
        <v>9999</v>
      </c>
      <c r="P68" s="13"/>
      <c r="Q68" s="4" t="s">
        <v>38</v>
      </c>
      <c r="R68" s="11">
        <f t="shared" si="24"/>
        <v>0</v>
      </c>
      <c r="S68" s="11">
        <f t="shared" si="25"/>
        <v>0</v>
      </c>
      <c r="T68" s="20">
        <f t="shared" si="19"/>
        <v>9999</v>
      </c>
      <c r="V68" s="4" t="s">
        <v>38</v>
      </c>
      <c r="W68" s="20">
        <f t="shared" si="26"/>
        <v>9999</v>
      </c>
    </row>
    <row r="69" spans="1:25" x14ac:dyDescent="0.2">
      <c r="A69" s="4" t="s">
        <v>39</v>
      </c>
      <c r="B69" s="19">
        <f t="shared" si="20"/>
        <v>9999</v>
      </c>
      <c r="C69" s="11">
        <f t="shared" si="21"/>
        <v>0</v>
      </c>
      <c r="D69" s="11">
        <f t="shared" si="22"/>
        <v>0</v>
      </c>
      <c r="E69" s="20">
        <f t="shared" si="23"/>
        <v>9999</v>
      </c>
      <c r="G69" s="4" t="s">
        <v>39</v>
      </c>
      <c r="H69" s="11">
        <f t="shared" si="14"/>
        <v>0</v>
      </c>
      <c r="I69" s="11">
        <f t="shared" si="27"/>
        <v>0</v>
      </c>
      <c r="J69" s="20">
        <f t="shared" si="15"/>
        <v>9999</v>
      </c>
      <c r="L69" s="4" t="s">
        <v>39</v>
      </c>
      <c r="M69" s="11">
        <f t="shared" si="16"/>
        <v>0</v>
      </c>
      <c r="N69" s="11">
        <f t="shared" si="17"/>
        <v>0</v>
      </c>
      <c r="O69" s="20">
        <f t="shared" si="18"/>
        <v>9999</v>
      </c>
      <c r="P69" s="13"/>
      <c r="Q69" s="4" t="s">
        <v>39</v>
      </c>
      <c r="R69" s="11">
        <f t="shared" si="24"/>
        <v>0</v>
      </c>
      <c r="S69" s="11">
        <f t="shared" si="25"/>
        <v>0</v>
      </c>
      <c r="T69" s="20">
        <f t="shared" si="19"/>
        <v>9999</v>
      </c>
      <c r="V69" s="4" t="s">
        <v>39</v>
      </c>
      <c r="W69" s="20">
        <f t="shared" si="26"/>
        <v>9999</v>
      </c>
    </row>
    <row r="70" spans="1:25" x14ac:dyDescent="0.2">
      <c r="A70" s="9" t="s">
        <v>40</v>
      </c>
      <c r="B70" s="19">
        <f t="shared" si="20"/>
        <v>9999</v>
      </c>
      <c r="C70" s="11">
        <f t="shared" si="21"/>
        <v>0</v>
      </c>
      <c r="D70" s="11">
        <f t="shared" si="22"/>
        <v>0</v>
      </c>
      <c r="E70" s="20">
        <f t="shared" si="23"/>
        <v>9999</v>
      </c>
      <c r="G70" s="9" t="s">
        <v>40</v>
      </c>
      <c r="H70" s="11">
        <f t="shared" si="14"/>
        <v>0</v>
      </c>
      <c r="I70" s="11">
        <f t="shared" si="27"/>
        <v>0</v>
      </c>
      <c r="J70" s="20">
        <f t="shared" si="15"/>
        <v>9999</v>
      </c>
      <c r="L70" s="9" t="s">
        <v>40</v>
      </c>
      <c r="M70" s="11">
        <f t="shared" si="16"/>
        <v>0</v>
      </c>
      <c r="N70" s="11">
        <f t="shared" si="17"/>
        <v>0</v>
      </c>
      <c r="O70" s="20">
        <f t="shared" si="18"/>
        <v>9999</v>
      </c>
      <c r="P70" s="13"/>
      <c r="Q70" s="9" t="s">
        <v>40</v>
      </c>
      <c r="R70" s="11">
        <f t="shared" si="24"/>
        <v>0</v>
      </c>
      <c r="S70" s="11">
        <f t="shared" si="25"/>
        <v>0</v>
      </c>
      <c r="T70" s="20">
        <f t="shared" si="19"/>
        <v>9999</v>
      </c>
      <c r="V70" s="9" t="s">
        <v>40</v>
      </c>
      <c r="W70" s="20">
        <f t="shared" si="26"/>
        <v>9999</v>
      </c>
    </row>
    <row r="71" spans="1:25" x14ac:dyDescent="0.2">
      <c r="A71" s="9" t="s">
        <v>41</v>
      </c>
      <c r="B71" s="19">
        <f t="shared" si="20"/>
        <v>9999</v>
      </c>
      <c r="C71" s="11">
        <f t="shared" si="21"/>
        <v>0</v>
      </c>
      <c r="D71" s="11">
        <f t="shared" si="22"/>
        <v>0</v>
      </c>
      <c r="E71" s="20">
        <f t="shared" si="23"/>
        <v>9999</v>
      </c>
      <c r="G71" s="9" t="s">
        <v>41</v>
      </c>
      <c r="H71" s="11">
        <f t="shared" si="14"/>
        <v>0</v>
      </c>
      <c r="I71" s="11">
        <f t="shared" si="27"/>
        <v>0</v>
      </c>
      <c r="J71" s="20">
        <f t="shared" si="15"/>
        <v>9999</v>
      </c>
      <c r="L71" s="9" t="s">
        <v>41</v>
      </c>
      <c r="M71" s="11">
        <f t="shared" si="16"/>
        <v>0</v>
      </c>
      <c r="N71" s="11">
        <f t="shared" si="17"/>
        <v>0</v>
      </c>
      <c r="O71" s="20">
        <f t="shared" si="18"/>
        <v>9999</v>
      </c>
      <c r="P71" s="13"/>
      <c r="Q71" s="9" t="s">
        <v>41</v>
      </c>
      <c r="R71" s="11">
        <f t="shared" si="24"/>
        <v>0</v>
      </c>
      <c r="S71" s="11">
        <f t="shared" si="25"/>
        <v>0</v>
      </c>
      <c r="T71" s="20">
        <f t="shared" si="19"/>
        <v>9999</v>
      </c>
      <c r="V71" s="9" t="s">
        <v>41</v>
      </c>
      <c r="W71" s="20">
        <f t="shared" si="26"/>
        <v>9999</v>
      </c>
    </row>
    <row r="72" spans="1:25" x14ac:dyDescent="0.2">
      <c r="A72" s="9" t="s">
        <v>42</v>
      </c>
      <c r="B72" s="19">
        <f t="shared" si="20"/>
        <v>9999</v>
      </c>
      <c r="C72" s="11">
        <f t="shared" si="21"/>
        <v>0</v>
      </c>
      <c r="D72" s="11">
        <f t="shared" si="22"/>
        <v>0</v>
      </c>
      <c r="E72" s="20">
        <f t="shared" si="23"/>
        <v>9999</v>
      </c>
      <c r="G72" s="9" t="s">
        <v>42</v>
      </c>
      <c r="H72" s="11">
        <f t="shared" si="14"/>
        <v>0</v>
      </c>
      <c r="I72" s="11">
        <f t="shared" si="27"/>
        <v>0</v>
      </c>
      <c r="J72" s="20">
        <f t="shared" si="15"/>
        <v>9999</v>
      </c>
      <c r="L72" s="9" t="s">
        <v>42</v>
      </c>
      <c r="M72" s="11">
        <f t="shared" si="16"/>
        <v>0</v>
      </c>
      <c r="N72" s="11">
        <f t="shared" si="17"/>
        <v>0</v>
      </c>
      <c r="O72" s="20">
        <f t="shared" si="18"/>
        <v>9999</v>
      </c>
      <c r="P72" s="13"/>
      <c r="Q72" s="9" t="s">
        <v>42</v>
      </c>
      <c r="R72" s="11">
        <f t="shared" si="24"/>
        <v>0</v>
      </c>
      <c r="S72" s="11">
        <f t="shared" si="25"/>
        <v>0</v>
      </c>
      <c r="T72" s="20">
        <f t="shared" si="19"/>
        <v>9999</v>
      </c>
      <c r="V72" s="9" t="s">
        <v>42</v>
      </c>
      <c r="W72" s="20">
        <f t="shared" si="26"/>
        <v>9999</v>
      </c>
    </row>
    <row r="73" spans="1:25" x14ac:dyDescent="0.2">
      <c r="A73" s="9" t="s">
        <v>43</v>
      </c>
      <c r="B73" s="19">
        <f t="shared" si="20"/>
        <v>9999</v>
      </c>
      <c r="C73" s="11">
        <f t="shared" si="21"/>
        <v>0</v>
      </c>
      <c r="D73" s="11">
        <f t="shared" si="22"/>
        <v>0</v>
      </c>
      <c r="E73" s="20">
        <f t="shared" si="23"/>
        <v>9999</v>
      </c>
      <c r="G73" s="9" t="s">
        <v>43</v>
      </c>
      <c r="H73" s="11">
        <f t="shared" si="14"/>
        <v>0</v>
      </c>
      <c r="I73" s="11">
        <f t="shared" si="27"/>
        <v>0</v>
      </c>
      <c r="J73" s="20">
        <f t="shared" si="15"/>
        <v>9999</v>
      </c>
      <c r="L73" s="9" t="s">
        <v>43</v>
      </c>
      <c r="M73" s="11">
        <f t="shared" si="16"/>
        <v>0</v>
      </c>
      <c r="N73" s="11">
        <f t="shared" si="17"/>
        <v>0</v>
      </c>
      <c r="O73" s="20">
        <f t="shared" si="18"/>
        <v>9999</v>
      </c>
      <c r="P73" s="13"/>
      <c r="Q73" s="9" t="s">
        <v>43</v>
      </c>
      <c r="R73" s="11">
        <f t="shared" si="24"/>
        <v>0</v>
      </c>
      <c r="S73" s="11">
        <f t="shared" si="25"/>
        <v>0</v>
      </c>
      <c r="T73" s="20">
        <f t="shared" si="19"/>
        <v>9999</v>
      </c>
      <c r="V73" s="9" t="s">
        <v>43</v>
      </c>
      <c r="W73" s="20">
        <f t="shared" si="26"/>
        <v>9999</v>
      </c>
    </row>
    <row r="74" spans="1:25" x14ac:dyDescent="0.2">
      <c r="A74" s="10" t="s">
        <v>44</v>
      </c>
      <c r="B74" s="21">
        <f t="shared" si="20"/>
        <v>9999</v>
      </c>
      <c r="C74" s="12">
        <f t="shared" si="21"/>
        <v>0</v>
      </c>
      <c r="D74" s="12">
        <f t="shared" si="22"/>
        <v>0</v>
      </c>
      <c r="E74" s="22">
        <f t="shared" si="23"/>
        <v>9999</v>
      </c>
      <c r="G74" s="10" t="s">
        <v>44</v>
      </c>
      <c r="H74" s="12">
        <f t="shared" si="14"/>
        <v>0</v>
      </c>
      <c r="I74" s="12">
        <f t="shared" si="27"/>
        <v>0</v>
      </c>
      <c r="J74" s="22">
        <f t="shared" si="15"/>
        <v>9999</v>
      </c>
      <c r="L74" s="10" t="s">
        <v>44</v>
      </c>
      <c r="M74" s="12">
        <f t="shared" si="16"/>
        <v>0</v>
      </c>
      <c r="N74" s="12">
        <f t="shared" si="17"/>
        <v>0</v>
      </c>
      <c r="O74" s="22">
        <f t="shared" si="18"/>
        <v>9999</v>
      </c>
      <c r="P74" s="13"/>
      <c r="Q74" s="10" t="s">
        <v>44</v>
      </c>
      <c r="R74" s="12">
        <f t="shared" si="24"/>
        <v>0</v>
      </c>
      <c r="S74" s="12">
        <f t="shared" si="25"/>
        <v>0</v>
      </c>
      <c r="T74" s="22">
        <f t="shared" si="19"/>
        <v>9999</v>
      </c>
      <c r="V74" s="10" t="s">
        <v>44</v>
      </c>
      <c r="W74" s="22">
        <f t="shared" si="26"/>
        <v>9999</v>
      </c>
    </row>
    <row r="75" spans="1:25" x14ac:dyDescent="0.2">
      <c r="P75" s="13"/>
    </row>
    <row r="76" spans="1:25" x14ac:dyDescent="0.2">
      <c r="A76" s="18" t="s">
        <v>8</v>
      </c>
      <c r="P76" s="13"/>
    </row>
    <row r="77" spans="1:25" x14ac:dyDescent="0.2">
      <c r="A77" s="36" t="s">
        <v>74</v>
      </c>
      <c r="B77" s="2"/>
      <c r="C77" s="2"/>
      <c r="D77" s="2"/>
      <c r="E77" s="3"/>
      <c r="G77" s="35" t="s">
        <v>73</v>
      </c>
      <c r="H77" s="2"/>
      <c r="I77" s="2"/>
      <c r="J77" s="3"/>
      <c r="L77" s="1" t="s">
        <v>2</v>
      </c>
      <c r="M77" s="2"/>
      <c r="N77" s="2"/>
      <c r="O77" s="3"/>
      <c r="P77" s="11"/>
      <c r="Q77" s="36" t="s">
        <v>76</v>
      </c>
      <c r="R77" s="2"/>
      <c r="S77" s="2"/>
      <c r="T77" s="3"/>
      <c r="V77" s="36" t="s">
        <v>757</v>
      </c>
      <c r="W77" s="50"/>
    </row>
    <row r="78" spans="1:25" x14ac:dyDescent="0.2">
      <c r="A78" s="4"/>
      <c r="B78" s="5"/>
      <c r="C78" s="5"/>
      <c r="D78" s="5"/>
      <c r="E78" s="6"/>
      <c r="G78" s="4"/>
      <c r="H78" s="5"/>
      <c r="I78" s="5"/>
      <c r="J78" s="6"/>
      <c r="L78" s="4"/>
      <c r="M78" s="5"/>
      <c r="N78" s="5"/>
      <c r="O78" s="6"/>
      <c r="P78" s="11"/>
      <c r="Q78" s="4"/>
      <c r="R78" s="5"/>
      <c r="S78" s="5"/>
      <c r="T78" s="6"/>
      <c r="V78" s="4"/>
      <c r="W78" s="6"/>
      <c r="Y78" s="37"/>
    </row>
    <row r="79" spans="1:25" x14ac:dyDescent="0.2">
      <c r="A79" s="4"/>
      <c r="B79" s="19" t="s">
        <v>3</v>
      </c>
      <c r="C79" s="5"/>
      <c r="D79" s="5"/>
      <c r="E79" s="20" t="s">
        <v>4</v>
      </c>
      <c r="G79" s="4"/>
      <c r="H79" s="5"/>
      <c r="I79" s="5"/>
      <c r="J79" s="20" t="s">
        <v>5</v>
      </c>
      <c r="L79" s="4"/>
      <c r="M79" s="5"/>
      <c r="N79" s="5"/>
      <c r="O79" s="20" t="s">
        <v>5</v>
      </c>
      <c r="P79" s="11"/>
      <c r="Q79" s="4"/>
      <c r="R79" s="5"/>
      <c r="S79" s="5"/>
      <c r="T79" s="20" t="s">
        <v>5</v>
      </c>
      <c r="V79" s="4"/>
      <c r="W79" s="6"/>
    </row>
    <row r="80" spans="1:25" x14ac:dyDescent="0.2">
      <c r="A80" s="79" t="s">
        <v>25</v>
      </c>
      <c r="B80" s="19">
        <f>IF(F5="",9999,F5)</f>
        <v>9999</v>
      </c>
      <c r="C80" s="11">
        <f>IF(I5="na","na",IF(I5&gt;L5,I5/10,IF(L5="na","na",L5/10)))</f>
        <v>0</v>
      </c>
      <c r="D80" s="11">
        <f>IF(L5="na","na",IF(I5&gt;L5,L5/10,IF(I5="na","na",I5/10)))</f>
        <v>0</v>
      </c>
      <c r="E80" s="20">
        <f>IF(ISERROR(C80-D80),9999,IF(OR(C80=0,D80=0),9999,IF(SUM(C80-D80)&lt;=0,9999,SUM(C80-D80))))</f>
        <v>9999</v>
      </c>
      <c r="G80" s="4" t="s">
        <v>25</v>
      </c>
      <c r="H80" s="11">
        <f>H5</f>
        <v>0</v>
      </c>
      <c r="I80" s="11">
        <f>K5</f>
        <v>0</v>
      </c>
      <c r="J80" s="20">
        <f t="shared" ref="J80:J99" si="28">IF(ISERROR(I80-H80),9999,IF(OR(H80=0,I80=0),9999,IF(SUM(I80-H80)&lt;=0,9999,SUM(I80-H80))))</f>
        <v>9999</v>
      </c>
      <c r="L80" s="4" t="s">
        <v>25</v>
      </c>
      <c r="M80" s="11">
        <f>M5</f>
        <v>0</v>
      </c>
      <c r="N80" s="11">
        <f t="shared" ref="N80:N99" si="29">K5</f>
        <v>0</v>
      </c>
      <c r="O80" s="20">
        <f t="shared" ref="O80:O99" si="30">IF(ISERROR(M80-N80),9999,IF(OR(M80=0,N80=0),9999,IF(SUM(M80-N80)&lt;=0,9999,SUM(M80-N80))))</f>
        <v>9999</v>
      </c>
      <c r="P80" s="13"/>
      <c r="Q80" s="4" t="s">
        <v>25</v>
      </c>
      <c r="R80" s="11">
        <f>M5</f>
        <v>0</v>
      </c>
      <c r="S80" s="11">
        <f>H5</f>
        <v>0</v>
      </c>
      <c r="T80" s="20">
        <f t="shared" ref="T80:T99" si="31">IF(ISERROR(R80-S80),9999,IF(OR(R80=0,S80=0),9999,IF(SUM(R80-S80)&lt;=0,9999,SUM(R80-S80))))</f>
        <v>9999</v>
      </c>
      <c r="V80" s="4" t="s">
        <v>25</v>
      </c>
      <c r="W80" s="20">
        <f>IF(N5="",9999,N5)</f>
        <v>9999</v>
      </c>
    </row>
    <row r="81" spans="1:23" x14ac:dyDescent="0.2">
      <c r="A81" s="4" t="s">
        <v>26</v>
      </c>
      <c r="B81" s="19">
        <f t="shared" ref="B81:B99" si="32">IF(F6="",9999,F6)</f>
        <v>9999</v>
      </c>
      <c r="C81" s="11">
        <f t="shared" ref="C81:C99" si="33">IF(I6="na","na",IF(I6&gt;L6,I6/10,IF(L6="na","na",L6/10)))</f>
        <v>0</v>
      </c>
      <c r="D81" s="11">
        <f t="shared" ref="D81:D99" si="34">IF(L6="na","na",IF(I6&gt;L6,L6/10,IF(I6="na","na",I6/10)))</f>
        <v>0</v>
      </c>
      <c r="E81" s="20">
        <f t="shared" ref="E81:E99" si="35">IF(ISERROR(C81-D81),9999,IF(OR(C81=0,D81=0),9999,IF(SUM(C81-D81)&lt;=0,9999,SUM(C81-D81))))</f>
        <v>9999</v>
      </c>
      <c r="G81" s="4" t="s">
        <v>26</v>
      </c>
      <c r="H81" s="11">
        <f>H6</f>
        <v>0</v>
      </c>
      <c r="I81" s="11">
        <f>K6</f>
        <v>0</v>
      </c>
      <c r="J81" s="20">
        <f t="shared" si="28"/>
        <v>9999</v>
      </c>
      <c r="L81" s="4" t="s">
        <v>26</v>
      </c>
      <c r="M81" s="11">
        <f>M6</f>
        <v>0</v>
      </c>
      <c r="N81" s="11">
        <f t="shared" si="29"/>
        <v>0</v>
      </c>
      <c r="O81" s="20">
        <f t="shared" si="30"/>
        <v>9999</v>
      </c>
      <c r="P81" s="13"/>
      <c r="Q81" s="4" t="s">
        <v>26</v>
      </c>
      <c r="R81" s="11">
        <f t="shared" ref="R81:R99" si="36">M6</f>
        <v>0</v>
      </c>
      <c r="S81" s="11">
        <f t="shared" ref="S81:S99" si="37">H6</f>
        <v>0</v>
      </c>
      <c r="T81" s="20">
        <f t="shared" si="31"/>
        <v>9999</v>
      </c>
      <c r="V81" s="4" t="s">
        <v>26</v>
      </c>
      <c r="W81" s="20">
        <f t="shared" ref="W81:W99" si="38">IF(N6="",9999,N6)</f>
        <v>9999</v>
      </c>
    </row>
    <row r="82" spans="1:23" x14ac:dyDescent="0.2">
      <c r="A82" s="4" t="s">
        <v>27</v>
      </c>
      <c r="B82" s="19">
        <f t="shared" si="32"/>
        <v>9999</v>
      </c>
      <c r="C82" s="11">
        <f t="shared" si="33"/>
        <v>0</v>
      </c>
      <c r="D82" s="11">
        <f t="shared" si="34"/>
        <v>0</v>
      </c>
      <c r="E82" s="20">
        <f t="shared" si="35"/>
        <v>9999</v>
      </c>
      <c r="G82" s="4" t="s">
        <v>27</v>
      </c>
      <c r="H82" s="11">
        <f t="shared" ref="H82:H99" si="39">H7</f>
        <v>0</v>
      </c>
      <c r="I82" s="11">
        <f t="shared" ref="I82:I99" si="40">K7</f>
        <v>0</v>
      </c>
      <c r="J82" s="20">
        <f t="shared" si="28"/>
        <v>9999</v>
      </c>
      <c r="L82" s="4" t="s">
        <v>27</v>
      </c>
      <c r="M82" s="11">
        <f t="shared" ref="M82:M99" si="41">M7</f>
        <v>0</v>
      </c>
      <c r="N82" s="11">
        <f t="shared" si="29"/>
        <v>0</v>
      </c>
      <c r="O82" s="20">
        <f t="shared" si="30"/>
        <v>9999</v>
      </c>
      <c r="P82" s="13"/>
      <c r="Q82" s="4" t="s">
        <v>27</v>
      </c>
      <c r="R82" s="11">
        <f t="shared" si="36"/>
        <v>0</v>
      </c>
      <c r="S82" s="11">
        <f t="shared" si="37"/>
        <v>0</v>
      </c>
      <c r="T82" s="20">
        <f t="shared" si="31"/>
        <v>9999</v>
      </c>
      <c r="V82" s="4" t="s">
        <v>27</v>
      </c>
      <c r="W82" s="20">
        <f t="shared" si="38"/>
        <v>9999</v>
      </c>
    </row>
    <row r="83" spans="1:23" x14ac:dyDescent="0.2">
      <c r="A83" s="4" t="s">
        <v>28</v>
      </c>
      <c r="B83" s="19">
        <f t="shared" si="32"/>
        <v>9999</v>
      </c>
      <c r="C83" s="11">
        <f t="shared" si="33"/>
        <v>0</v>
      </c>
      <c r="D83" s="11">
        <f t="shared" si="34"/>
        <v>0</v>
      </c>
      <c r="E83" s="20">
        <f t="shared" si="35"/>
        <v>9999</v>
      </c>
      <c r="G83" s="4" t="s">
        <v>28</v>
      </c>
      <c r="H83" s="11">
        <f t="shared" si="39"/>
        <v>0</v>
      </c>
      <c r="I83" s="11">
        <f t="shared" si="40"/>
        <v>0</v>
      </c>
      <c r="J83" s="20">
        <f t="shared" si="28"/>
        <v>9999</v>
      </c>
      <c r="L83" s="4" t="s">
        <v>28</v>
      </c>
      <c r="M83" s="11">
        <f t="shared" si="41"/>
        <v>0</v>
      </c>
      <c r="N83" s="11">
        <f t="shared" si="29"/>
        <v>0</v>
      </c>
      <c r="O83" s="20">
        <f t="shared" si="30"/>
        <v>9999</v>
      </c>
      <c r="P83" s="13"/>
      <c r="Q83" s="4" t="s">
        <v>28</v>
      </c>
      <c r="R83" s="11">
        <f t="shared" si="36"/>
        <v>0</v>
      </c>
      <c r="S83" s="11">
        <f t="shared" si="37"/>
        <v>0</v>
      </c>
      <c r="T83" s="20">
        <f t="shared" si="31"/>
        <v>9999</v>
      </c>
      <c r="V83" s="4" t="s">
        <v>28</v>
      </c>
      <c r="W83" s="20">
        <f t="shared" si="38"/>
        <v>9999</v>
      </c>
    </row>
    <row r="84" spans="1:23" x14ac:dyDescent="0.2">
      <c r="A84" s="4" t="s">
        <v>29</v>
      </c>
      <c r="B84" s="19">
        <f t="shared" si="32"/>
        <v>9999</v>
      </c>
      <c r="C84" s="11">
        <f t="shared" si="33"/>
        <v>0</v>
      </c>
      <c r="D84" s="11">
        <f t="shared" si="34"/>
        <v>0</v>
      </c>
      <c r="E84" s="20">
        <f t="shared" si="35"/>
        <v>9999</v>
      </c>
      <c r="G84" s="4" t="s">
        <v>29</v>
      </c>
      <c r="H84" s="11">
        <f t="shared" si="39"/>
        <v>0</v>
      </c>
      <c r="I84" s="11">
        <f t="shared" si="40"/>
        <v>0</v>
      </c>
      <c r="J84" s="20">
        <f t="shared" si="28"/>
        <v>9999</v>
      </c>
      <c r="L84" s="4" t="s">
        <v>29</v>
      </c>
      <c r="M84" s="11">
        <f t="shared" si="41"/>
        <v>0</v>
      </c>
      <c r="N84" s="11">
        <f t="shared" si="29"/>
        <v>0</v>
      </c>
      <c r="O84" s="20">
        <f t="shared" si="30"/>
        <v>9999</v>
      </c>
      <c r="P84" s="13"/>
      <c r="Q84" s="4" t="s">
        <v>29</v>
      </c>
      <c r="R84" s="11">
        <f t="shared" si="36"/>
        <v>0</v>
      </c>
      <c r="S84" s="11">
        <f t="shared" si="37"/>
        <v>0</v>
      </c>
      <c r="T84" s="20">
        <f t="shared" si="31"/>
        <v>9999</v>
      </c>
      <c r="V84" s="4" t="s">
        <v>29</v>
      </c>
      <c r="W84" s="20">
        <f t="shared" si="38"/>
        <v>9999</v>
      </c>
    </row>
    <row r="85" spans="1:23" x14ac:dyDescent="0.2">
      <c r="A85" s="4" t="s">
        <v>30</v>
      </c>
      <c r="B85" s="19">
        <f t="shared" si="32"/>
        <v>9999</v>
      </c>
      <c r="C85" s="11">
        <f t="shared" si="33"/>
        <v>0</v>
      </c>
      <c r="D85" s="11">
        <f t="shared" si="34"/>
        <v>0</v>
      </c>
      <c r="E85" s="20">
        <f t="shared" si="35"/>
        <v>9999</v>
      </c>
      <c r="G85" s="4" t="s">
        <v>30</v>
      </c>
      <c r="H85" s="11">
        <f t="shared" si="39"/>
        <v>0</v>
      </c>
      <c r="I85" s="11">
        <f t="shared" si="40"/>
        <v>0</v>
      </c>
      <c r="J85" s="20">
        <f t="shared" si="28"/>
        <v>9999</v>
      </c>
      <c r="L85" s="4" t="s">
        <v>30</v>
      </c>
      <c r="M85" s="11">
        <f t="shared" si="41"/>
        <v>0</v>
      </c>
      <c r="N85" s="11">
        <f t="shared" si="29"/>
        <v>0</v>
      </c>
      <c r="O85" s="20">
        <f t="shared" si="30"/>
        <v>9999</v>
      </c>
      <c r="P85" s="13"/>
      <c r="Q85" s="4" t="s">
        <v>30</v>
      </c>
      <c r="R85" s="11">
        <f t="shared" si="36"/>
        <v>0</v>
      </c>
      <c r="S85" s="11">
        <f t="shared" si="37"/>
        <v>0</v>
      </c>
      <c r="T85" s="20">
        <f t="shared" si="31"/>
        <v>9999</v>
      </c>
      <c r="V85" s="4" t="s">
        <v>30</v>
      </c>
      <c r="W85" s="20">
        <f t="shared" si="38"/>
        <v>9999</v>
      </c>
    </row>
    <row r="86" spans="1:23" x14ac:dyDescent="0.2">
      <c r="A86" s="4" t="s">
        <v>31</v>
      </c>
      <c r="B86" s="19">
        <f t="shared" si="32"/>
        <v>9999</v>
      </c>
      <c r="C86" s="11">
        <f t="shared" si="33"/>
        <v>0</v>
      </c>
      <c r="D86" s="11">
        <f t="shared" si="34"/>
        <v>0</v>
      </c>
      <c r="E86" s="20">
        <f t="shared" si="35"/>
        <v>9999</v>
      </c>
      <c r="G86" s="4" t="s">
        <v>31</v>
      </c>
      <c r="H86" s="11">
        <f t="shared" si="39"/>
        <v>0</v>
      </c>
      <c r="I86" s="11">
        <f t="shared" si="40"/>
        <v>0</v>
      </c>
      <c r="J86" s="20">
        <f t="shared" si="28"/>
        <v>9999</v>
      </c>
      <c r="L86" s="4" t="s">
        <v>31</v>
      </c>
      <c r="M86" s="11">
        <f t="shared" si="41"/>
        <v>0</v>
      </c>
      <c r="N86" s="11">
        <f t="shared" si="29"/>
        <v>0</v>
      </c>
      <c r="O86" s="20">
        <f t="shared" si="30"/>
        <v>9999</v>
      </c>
      <c r="P86" s="13"/>
      <c r="Q86" s="4" t="s">
        <v>31</v>
      </c>
      <c r="R86" s="11">
        <f t="shared" si="36"/>
        <v>0</v>
      </c>
      <c r="S86" s="11">
        <f t="shared" si="37"/>
        <v>0</v>
      </c>
      <c r="T86" s="20">
        <f t="shared" si="31"/>
        <v>9999</v>
      </c>
      <c r="V86" s="4" t="s">
        <v>31</v>
      </c>
      <c r="W86" s="20">
        <f t="shared" si="38"/>
        <v>9999</v>
      </c>
    </row>
    <row r="87" spans="1:23" x14ac:dyDescent="0.2">
      <c r="A87" s="9" t="s">
        <v>32</v>
      </c>
      <c r="B87" s="19">
        <f t="shared" si="32"/>
        <v>9999</v>
      </c>
      <c r="C87" s="11">
        <f t="shared" si="33"/>
        <v>0</v>
      </c>
      <c r="D87" s="11">
        <f t="shared" si="34"/>
        <v>0</v>
      </c>
      <c r="E87" s="20">
        <f t="shared" si="35"/>
        <v>9999</v>
      </c>
      <c r="G87" s="9" t="s">
        <v>32</v>
      </c>
      <c r="H87" s="11">
        <f t="shared" si="39"/>
        <v>0</v>
      </c>
      <c r="I87" s="11">
        <f t="shared" si="40"/>
        <v>0</v>
      </c>
      <c r="J87" s="20">
        <f t="shared" si="28"/>
        <v>9999</v>
      </c>
      <c r="L87" s="9" t="s">
        <v>32</v>
      </c>
      <c r="M87" s="11">
        <f t="shared" si="41"/>
        <v>0</v>
      </c>
      <c r="N87" s="11">
        <f t="shared" si="29"/>
        <v>0</v>
      </c>
      <c r="O87" s="20">
        <f t="shared" si="30"/>
        <v>9999</v>
      </c>
      <c r="P87" s="13"/>
      <c r="Q87" s="9" t="s">
        <v>32</v>
      </c>
      <c r="R87" s="11">
        <f t="shared" si="36"/>
        <v>0</v>
      </c>
      <c r="S87" s="11">
        <f t="shared" si="37"/>
        <v>0</v>
      </c>
      <c r="T87" s="20">
        <f t="shared" si="31"/>
        <v>9999</v>
      </c>
      <c r="V87" s="9" t="s">
        <v>32</v>
      </c>
      <c r="W87" s="20">
        <f t="shared" si="38"/>
        <v>9999</v>
      </c>
    </row>
    <row r="88" spans="1:23" x14ac:dyDescent="0.2">
      <c r="A88" s="9" t="s">
        <v>33</v>
      </c>
      <c r="B88" s="19">
        <f t="shared" si="32"/>
        <v>9999</v>
      </c>
      <c r="C88" s="11">
        <f t="shared" si="33"/>
        <v>0</v>
      </c>
      <c r="D88" s="11">
        <f t="shared" si="34"/>
        <v>0</v>
      </c>
      <c r="E88" s="20">
        <f t="shared" si="35"/>
        <v>9999</v>
      </c>
      <c r="G88" s="9" t="s">
        <v>33</v>
      </c>
      <c r="H88" s="11">
        <f t="shared" si="39"/>
        <v>0</v>
      </c>
      <c r="I88" s="11">
        <f t="shared" si="40"/>
        <v>0</v>
      </c>
      <c r="J88" s="20">
        <f t="shared" si="28"/>
        <v>9999</v>
      </c>
      <c r="L88" s="9" t="s">
        <v>33</v>
      </c>
      <c r="M88" s="11">
        <f t="shared" si="41"/>
        <v>0</v>
      </c>
      <c r="N88" s="11">
        <f t="shared" si="29"/>
        <v>0</v>
      </c>
      <c r="O88" s="20">
        <f t="shared" si="30"/>
        <v>9999</v>
      </c>
      <c r="P88" s="13"/>
      <c r="Q88" s="9" t="s">
        <v>33</v>
      </c>
      <c r="R88" s="11">
        <f t="shared" si="36"/>
        <v>0</v>
      </c>
      <c r="S88" s="11">
        <f t="shared" si="37"/>
        <v>0</v>
      </c>
      <c r="T88" s="20">
        <f t="shared" si="31"/>
        <v>9999</v>
      </c>
      <c r="V88" s="9" t="s">
        <v>33</v>
      </c>
      <c r="W88" s="20">
        <f t="shared" si="38"/>
        <v>9999</v>
      </c>
    </row>
    <row r="89" spans="1:23" x14ac:dyDescent="0.2">
      <c r="A89" s="9" t="s">
        <v>34</v>
      </c>
      <c r="B89" s="19">
        <f t="shared" si="32"/>
        <v>9999</v>
      </c>
      <c r="C89" s="11">
        <f t="shared" si="33"/>
        <v>0</v>
      </c>
      <c r="D89" s="11">
        <f t="shared" si="34"/>
        <v>0</v>
      </c>
      <c r="E89" s="20">
        <f t="shared" si="35"/>
        <v>9999</v>
      </c>
      <c r="G89" s="9" t="s">
        <v>34</v>
      </c>
      <c r="H89" s="11">
        <f t="shared" si="39"/>
        <v>0</v>
      </c>
      <c r="I89" s="11">
        <f t="shared" si="40"/>
        <v>0</v>
      </c>
      <c r="J89" s="20">
        <f t="shared" si="28"/>
        <v>9999</v>
      </c>
      <c r="L89" s="9" t="s">
        <v>34</v>
      </c>
      <c r="M89" s="11">
        <f t="shared" si="41"/>
        <v>0</v>
      </c>
      <c r="N89" s="11">
        <f t="shared" si="29"/>
        <v>0</v>
      </c>
      <c r="O89" s="20">
        <f t="shared" si="30"/>
        <v>9999</v>
      </c>
      <c r="P89" s="13"/>
      <c r="Q89" s="9" t="s">
        <v>34</v>
      </c>
      <c r="R89" s="11">
        <f t="shared" si="36"/>
        <v>0</v>
      </c>
      <c r="S89" s="11">
        <f t="shared" si="37"/>
        <v>0</v>
      </c>
      <c r="T89" s="20">
        <f t="shared" si="31"/>
        <v>9999</v>
      </c>
      <c r="V89" s="9" t="s">
        <v>34</v>
      </c>
      <c r="W89" s="20">
        <f t="shared" si="38"/>
        <v>9999</v>
      </c>
    </row>
    <row r="90" spans="1:23" x14ac:dyDescent="0.2">
      <c r="A90" s="9" t="s">
        <v>35</v>
      </c>
      <c r="B90" s="19">
        <f t="shared" si="32"/>
        <v>9999</v>
      </c>
      <c r="C90" s="11">
        <f t="shared" si="33"/>
        <v>0</v>
      </c>
      <c r="D90" s="11">
        <f t="shared" si="34"/>
        <v>0</v>
      </c>
      <c r="E90" s="20">
        <f t="shared" si="35"/>
        <v>9999</v>
      </c>
      <c r="G90" s="9" t="s">
        <v>35</v>
      </c>
      <c r="H90" s="11">
        <f t="shared" si="39"/>
        <v>0</v>
      </c>
      <c r="I90" s="11">
        <f t="shared" si="40"/>
        <v>0</v>
      </c>
      <c r="J90" s="20">
        <f t="shared" si="28"/>
        <v>9999</v>
      </c>
      <c r="L90" s="9" t="s">
        <v>35</v>
      </c>
      <c r="M90" s="11">
        <f t="shared" si="41"/>
        <v>0</v>
      </c>
      <c r="N90" s="11">
        <f t="shared" si="29"/>
        <v>0</v>
      </c>
      <c r="O90" s="20">
        <f t="shared" si="30"/>
        <v>9999</v>
      </c>
      <c r="P90" s="13"/>
      <c r="Q90" s="9" t="s">
        <v>35</v>
      </c>
      <c r="R90" s="11">
        <f t="shared" si="36"/>
        <v>0</v>
      </c>
      <c r="S90" s="11">
        <f t="shared" si="37"/>
        <v>0</v>
      </c>
      <c r="T90" s="20">
        <f t="shared" si="31"/>
        <v>9999</v>
      </c>
      <c r="V90" s="9" t="s">
        <v>35</v>
      </c>
      <c r="W90" s="20">
        <f t="shared" si="38"/>
        <v>9999</v>
      </c>
    </row>
    <row r="91" spans="1:23" x14ac:dyDescent="0.2">
      <c r="A91" s="9" t="s">
        <v>36</v>
      </c>
      <c r="B91" s="19">
        <f t="shared" si="32"/>
        <v>9999</v>
      </c>
      <c r="C91" s="11">
        <f t="shared" si="33"/>
        <v>0</v>
      </c>
      <c r="D91" s="11">
        <f t="shared" si="34"/>
        <v>0</v>
      </c>
      <c r="E91" s="20">
        <f t="shared" si="35"/>
        <v>9999</v>
      </c>
      <c r="G91" s="9" t="s">
        <v>36</v>
      </c>
      <c r="H91" s="11">
        <f t="shared" si="39"/>
        <v>0</v>
      </c>
      <c r="I91" s="11">
        <f t="shared" si="40"/>
        <v>0</v>
      </c>
      <c r="J91" s="20">
        <f t="shared" si="28"/>
        <v>9999</v>
      </c>
      <c r="L91" s="9" t="s">
        <v>36</v>
      </c>
      <c r="M91" s="11">
        <f t="shared" si="41"/>
        <v>0</v>
      </c>
      <c r="N91" s="11">
        <f t="shared" si="29"/>
        <v>0</v>
      </c>
      <c r="O91" s="20">
        <f t="shared" si="30"/>
        <v>9999</v>
      </c>
      <c r="P91" s="13"/>
      <c r="Q91" s="9" t="s">
        <v>36</v>
      </c>
      <c r="R91" s="11">
        <f t="shared" si="36"/>
        <v>0</v>
      </c>
      <c r="S91" s="11">
        <f t="shared" si="37"/>
        <v>0</v>
      </c>
      <c r="T91" s="20">
        <f t="shared" si="31"/>
        <v>9999</v>
      </c>
      <c r="V91" s="9" t="s">
        <v>36</v>
      </c>
      <c r="W91" s="20">
        <f t="shared" si="38"/>
        <v>9999</v>
      </c>
    </row>
    <row r="92" spans="1:23" x14ac:dyDescent="0.2">
      <c r="A92" s="4" t="s">
        <v>37</v>
      </c>
      <c r="B92" s="19">
        <f t="shared" si="32"/>
        <v>9999</v>
      </c>
      <c r="C92" s="11">
        <f t="shared" si="33"/>
        <v>0</v>
      </c>
      <c r="D92" s="11">
        <f t="shared" si="34"/>
        <v>0</v>
      </c>
      <c r="E92" s="20">
        <f t="shared" si="35"/>
        <v>9999</v>
      </c>
      <c r="G92" s="4" t="s">
        <v>37</v>
      </c>
      <c r="H92" s="11">
        <f t="shared" si="39"/>
        <v>0</v>
      </c>
      <c r="I92" s="11">
        <f t="shared" si="40"/>
        <v>0</v>
      </c>
      <c r="J92" s="20">
        <f t="shared" si="28"/>
        <v>9999</v>
      </c>
      <c r="L92" s="4" t="s">
        <v>37</v>
      </c>
      <c r="M92" s="11">
        <f t="shared" si="41"/>
        <v>0</v>
      </c>
      <c r="N92" s="11">
        <f t="shared" si="29"/>
        <v>0</v>
      </c>
      <c r="O92" s="20">
        <f t="shared" si="30"/>
        <v>9999</v>
      </c>
      <c r="P92" s="13"/>
      <c r="Q92" s="4" t="s">
        <v>37</v>
      </c>
      <c r="R92" s="11">
        <f t="shared" si="36"/>
        <v>0</v>
      </c>
      <c r="S92" s="11">
        <f t="shared" si="37"/>
        <v>0</v>
      </c>
      <c r="T92" s="20">
        <f t="shared" si="31"/>
        <v>9999</v>
      </c>
      <c r="V92" s="4" t="s">
        <v>37</v>
      </c>
      <c r="W92" s="20">
        <f t="shared" si="38"/>
        <v>9999</v>
      </c>
    </row>
    <row r="93" spans="1:23" x14ac:dyDescent="0.2">
      <c r="A93" s="4" t="s">
        <v>38</v>
      </c>
      <c r="B93" s="19">
        <f t="shared" si="32"/>
        <v>9999</v>
      </c>
      <c r="C93" s="11">
        <f t="shared" si="33"/>
        <v>0</v>
      </c>
      <c r="D93" s="11">
        <f t="shared" si="34"/>
        <v>0</v>
      </c>
      <c r="E93" s="20">
        <f t="shared" si="35"/>
        <v>9999</v>
      </c>
      <c r="G93" s="4" t="s">
        <v>38</v>
      </c>
      <c r="H93" s="11">
        <f t="shared" si="39"/>
        <v>0</v>
      </c>
      <c r="I93" s="11">
        <f t="shared" si="40"/>
        <v>0</v>
      </c>
      <c r="J93" s="20">
        <f t="shared" si="28"/>
        <v>9999</v>
      </c>
      <c r="L93" s="4" t="s">
        <v>38</v>
      </c>
      <c r="M93" s="11">
        <f t="shared" si="41"/>
        <v>0</v>
      </c>
      <c r="N93" s="11">
        <f t="shared" si="29"/>
        <v>0</v>
      </c>
      <c r="O93" s="20">
        <f t="shared" si="30"/>
        <v>9999</v>
      </c>
      <c r="P93" s="13"/>
      <c r="Q93" s="4" t="s">
        <v>38</v>
      </c>
      <c r="R93" s="11">
        <f t="shared" si="36"/>
        <v>0</v>
      </c>
      <c r="S93" s="11">
        <f t="shared" si="37"/>
        <v>0</v>
      </c>
      <c r="T93" s="20">
        <f t="shared" si="31"/>
        <v>9999</v>
      </c>
      <c r="V93" s="4" t="s">
        <v>38</v>
      </c>
      <c r="W93" s="20">
        <f t="shared" si="38"/>
        <v>9999</v>
      </c>
    </row>
    <row r="94" spans="1:23" x14ac:dyDescent="0.2">
      <c r="A94" s="4" t="s">
        <v>39</v>
      </c>
      <c r="B94" s="19">
        <f t="shared" si="32"/>
        <v>9999</v>
      </c>
      <c r="C94" s="11">
        <f t="shared" si="33"/>
        <v>0</v>
      </c>
      <c r="D94" s="11">
        <f t="shared" si="34"/>
        <v>0</v>
      </c>
      <c r="E94" s="20">
        <f t="shared" si="35"/>
        <v>9999</v>
      </c>
      <c r="G94" s="4" t="s">
        <v>39</v>
      </c>
      <c r="H94" s="11">
        <f t="shared" si="39"/>
        <v>0</v>
      </c>
      <c r="I94" s="11">
        <f t="shared" si="40"/>
        <v>0</v>
      </c>
      <c r="J94" s="20">
        <f t="shared" si="28"/>
        <v>9999</v>
      </c>
      <c r="L94" s="4" t="s">
        <v>39</v>
      </c>
      <c r="M94" s="11">
        <f t="shared" si="41"/>
        <v>0</v>
      </c>
      <c r="N94" s="11">
        <f t="shared" si="29"/>
        <v>0</v>
      </c>
      <c r="O94" s="20">
        <f t="shared" si="30"/>
        <v>9999</v>
      </c>
      <c r="P94" s="13"/>
      <c r="Q94" s="4" t="s">
        <v>39</v>
      </c>
      <c r="R94" s="11">
        <f t="shared" si="36"/>
        <v>0</v>
      </c>
      <c r="S94" s="11">
        <f t="shared" si="37"/>
        <v>0</v>
      </c>
      <c r="T94" s="20">
        <f t="shared" si="31"/>
        <v>9999</v>
      </c>
      <c r="V94" s="4" t="s">
        <v>39</v>
      </c>
      <c r="W94" s="20">
        <f t="shared" si="38"/>
        <v>9999</v>
      </c>
    </row>
    <row r="95" spans="1:23" x14ac:dyDescent="0.2">
      <c r="A95" s="9" t="s">
        <v>40</v>
      </c>
      <c r="B95" s="19">
        <f t="shared" si="32"/>
        <v>9999</v>
      </c>
      <c r="C95" s="11">
        <f t="shared" si="33"/>
        <v>0</v>
      </c>
      <c r="D95" s="11">
        <f t="shared" si="34"/>
        <v>0</v>
      </c>
      <c r="E95" s="20">
        <f t="shared" si="35"/>
        <v>9999</v>
      </c>
      <c r="G95" s="9" t="s">
        <v>40</v>
      </c>
      <c r="H95" s="11">
        <f t="shared" si="39"/>
        <v>0</v>
      </c>
      <c r="I95" s="11">
        <f t="shared" si="40"/>
        <v>0</v>
      </c>
      <c r="J95" s="20">
        <f t="shared" si="28"/>
        <v>9999</v>
      </c>
      <c r="L95" s="9" t="s">
        <v>40</v>
      </c>
      <c r="M95" s="11">
        <f t="shared" si="41"/>
        <v>0</v>
      </c>
      <c r="N95" s="11">
        <f t="shared" si="29"/>
        <v>0</v>
      </c>
      <c r="O95" s="20">
        <f t="shared" si="30"/>
        <v>9999</v>
      </c>
      <c r="P95" s="13"/>
      <c r="Q95" s="9" t="s">
        <v>40</v>
      </c>
      <c r="R95" s="11">
        <f t="shared" si="36"/>
        <v>0</v>
      </c>
      <c r="S95" s="11">
        <f t="shared" si="37"/>
        <v>0</v>
      </c>
      <c r="T95" s="20">
        <f t="shared" si="31"/>
        <v>9999</v>
      </c>
      <c r="V95" s="9" t="s">
        <v>40</v>
      </c>
      <c r="W95" s="20">
        <f t="shared" si="38"/>
        <v>9999</v>
      </c>
    </row>
    <row r="96" spans="1:23" x14ac:dyDescent="0.2">
      <c r="A96" s="9" t="s">
        <v>41</v>
      </c>
      <c r="B96" s="19">
        <f t="shared" si="32"/>
        <v>9999</v>
      </c>
      <c r="C96" s="11">
        <f t="shared" si="33"/>
        <v>0</v>
      </c>
      <c r="D96" s="11">
        <f t="shared" si="34"/>
        <v>0</v>
      </c>
      <c r="E96" s="20">
        <f t="shared" si="35"/>
        <v>9999</v>
      </c>
      <c r="G96" s="9" t="s">
        <v>41</v>
      </c>
      <c r="H96" s="11">
        <f t="shared" si="39"/>
        <v>0</v>
      </c>
      <c r="I96" s="11">
        <f t="shared" si="40"/>
        <v>0</v>
      </c>
      <c r="J96" s="20">
        <f t="shared" si="28"/>
        <v>9999</v>
      </c>
      <c r="L96" s="9" t="s">
        <v>41</v>
      </c>
      <c r="M96" s="11">
        <f t="shared" si="41"/>
        <v>0</v>
      </c>
      <c r="N96" s="11">
        <f t="shared" si="29"/>
        <v>0</v>
      </c>
      <c r="O96" s="20">
        <f t="shared" si="30"/>
        <v>9999</v>
      </c>
      <c r="P96" s="13"/>
      <c r="Q96" s="9" t="s">
        <v>41</v>
      </c>
      <c r="R96" s="11">
        <f t="shared" si="36"/>
        <v>0</v>
      </c>
      <c r="S96" s="11">
        <f t="shared" si="37"/>
        <v>0</v>
      </c>
      <c r="T96" s="20">
        <f t="shared" si="31"/>
        <v>9999</v>
      </c>
      <c r="V96" s="9" t="s">
        <v>41</v>
      </c>
      <c r="W96" s="20">
        <f t="shared" si="38"/>
        <v>9999</v>
      </c>
    </row>
    <row r="97" spans="1:25" x14ac:dyDescent="0.2">
      <c r="A97" s="9" t="s">
        <v>42</v>
      </c>
      <c r="B97" s="19">
        <f t="shared" si="32"/>
        <v>9999</v>
      </c>
      <c r="C97" s="11">
        <f t="shared" si="33"/>
        <v>0</v>
      </c>
      <c r="D97" s="11">
        <f t="shared" si="34"/>
        <v>0</v>
      </c>
      <c r="E97" s="20">
        <f t="shared" si="35"/>
        <v>9999</v>
      </c>
      <c r="G97" s="9" t="s">
        <v>42</v>
      </c>
      <c r="H97" s="11">
        <f t="shared" si="39"/>
        <v>0</v>
      </c>
      <c r="I97" s="11">
        <f t="shared" si="40"/>
        <v>0</v>
      </c>
      <c r="J97" s="20">
        <f t="shared" si="28"/>
        <v>9999</v>
      </c>
      <c r="L97" s="9" t="s">
        <v>42</v>
      </c>
      <c r="M97" s="11">
        <f t="shared" si="41"/>
        <v>0</v>
      </c>
      <c r="N97" s="11">
        <f t="shared" si="29"/>
        <v>0</v>
      </c>
      <c r="O97" s="20">
        <f t="shared" si="30"/>
        <v>9999</v>
      </c>
      <c r="P97" s="13"/>
      <c r="Q97" s="9" t="s">
        <v>42</v>
      </c>
      <c r="R97" s="11">
        <f t="shared" si="36"/>
        <v>0</v>
      </c>
      <c r="S97" s="11">
        <f t="shared" si="37"/>
        <v>0</v>
      </c>
      <c r="T97" s="20">
        <f t="shared" si="31"/>
        <v>9999</v>
      </c>
      <c r="V97" s="9" t="s">
        <v>42</v>
      </c>
      <c r="W97" s="20">
        <f t="shared" si="38"/>
        <v>9999</v>
      </c>
    </row>
    <row r="98" spans="1:25" x14ac:dyDescent="0.2">
      <c r="A98" s="9" t="s">
        <v>43</v>
      </c>
      <c r="B98" s="19">
        <f t="shared" si="32"/>
        <v>9999</v>
      </c>
      <c r="C98" s="11">
        <f t="shared" si="33"/>
        <v>0</v>
      </c>
      <c r="D98" s="11">
        <f t="shared" si="34"/>
        <v>0</v>
      </c>
      <c r="E98" s="20">
        <f t="shared" si="35"/>
        <v>9999</v>
      </c>
      <c r="G98" s="9" t="s">
        <v>43</v>
      </c>
      <c r="H98" s="11">
        <f t="shared" si="39"/>
        <v>0</v>
      </c>
      <c r="I98" s="11">
        <f t="shared" si="40"/>
        <v>0</v>
      </c>
      <c r="J98" s="20">
        <f t="shared" si="28"/>
        <v>9999</v>
      </c>
      <c r="L98" s="9" t="s">
        <v>43</v>
      </c>
      <c r="M98" s="11">
        <f t="shared" si="41"/>
        <v>0</v>
      </c>
      <c r="N98" s="11">
        <f t="shared" si="29"/>
        <v>0</v>
      </c>
      <c r="O98" s="20">
        <f t="shared" si="30"/>
        <v>9999</v>
      </c>
      <c r="P98" s="13"/>
      <c r="Q98" s="9" t="s">
        <v>43</v>
      </c>
      <c r="R98" s="11">
        <f t="shared" si="36"/>
        <v>0</v>
      </c>
      <c r="S98" s="11">
        <f t="shared" si="37"/>
        <v>0</v>
      </c>
      <c r="T98" s="20">
        <f t="shared" si="31"/>
        <v>9999</v>
      </c>
      <c r="V98" s="9" t="s">
        <v>43</v>
      </c>
      <c r="W98" s="20">
        <f t="shared" si="38"/>
        <v>9999</v>
      </c>
    </row>
    <row r="99" spans="1:25" x14ac:dyDescent="0.2">
      <c r="A99" s="10" t="s">
        <v>44</v>
      </c>
      <c r="B99" s="21">
        <f t="shared" si="32"/>
        <v>9999</v>
      </c>
      <c r="C99" s="12">
        <f t="shared" si="33"/>
        <v>0</v>
      </c>
      <c r="D99" s="12">
        <f t="shared" si="34"/>
        <v>0</v>
      </c>
      <c r="E99" s="22">
        <f t="shared" si="35"/>
        <v>9999</v>
      </c>
      <c r="G99" s="10" t="s">
        <v>44</v>
      </c>
      <c r="H99" s="12">
        <f t="shared" si="39"/>
        <v>0</v>
      </c>
      <c r="I99" s="12">
        <f t="shared" si="40"/>
        <v>0</v>
      </c>
      <c r="J99" s="22">
        <f t="shared" si="28"/>
        <v>9999</v>
      </c>
      <c r="L99" s="10" t="s">
        <v>44</v>
      </c>
      <c r="M99" s="12">
        <f t="shared" si="41"/>
        <v>0</v>
      </c>
      <c r="N99" s="12">
        <f t="shared" si="29"/>
        <v>0</v>
      </c>
      <c r="O99" s="22">
        <f t="shared" si="30"/>
        <v>9999</v>
      </c>
      <c r="P99" s="13"/>
      <c r="Q99" s="10" t="s">
        <v>44</v>
      </c>
      <c r="R99" s="12">
        <f t="shared" si="36"/>
        <v>0</v>
      </c>
      <c r="S99" s="12">
        <f t="shared" si="37"/>
        <v>0</v>
      </c>
      <c r="T99" s="22">
        <f t="shared" si="31"/>
        <v>9999</v>
      </c>
      <c r="V99" s="10" t="s">
        <v>44</v>
      </c>
      <c r="W99" s="22">
        <f t="shared" si="38"/>
        <v>9999</v>
      </c>
    </row>
    <row r="100" spans="1:25" x14ac:dyDescent="0.2">
      <c r="A100" s="11"/>
      <c r="B100" s="14"/>
      <c r="C100" s="11"/>
      <c r="D100" s="11"/>
      <c r="E100" s="11"/>
      <c r="F100" s="13"/>
      <c r="G100" s="11"/>
      <c r="H100" s="11"/>
      <c r="I100" s="11"/>
      <c r="J100" s="11"/>
      <c r="K100" s="13"/>
      <c r="L100" s="11"/>
      <c r="M100" s="11"/>
      <c r="N100" s="11"/>
      <c r="O100" s="11"/>
      <c r="P100" s="11"/>
    </row>
    <row r="101" spans="1:25" x14ac:dyDescent="0.2">
      <c r="A101" s="18" t="s">
        <v>21</v>
      </c>
      <c r="P101" s="13"/>
    </row>
    <row r="102" spans="1:25" x14ac:dyDescent="0.2">
      <c r="A102" s="36" t="s">
        <v>75</v>
      </c>
      <c r="B102" s="2"/>
      <c r="C102" s="2"/>
      <c r="D102" s="2"/>
      <c r="E102" s="3"/>
      <c r="G102" s="1" t="s">
        <v>22</v>
      </c>
      <c r="H102" s="2"/>
      <c r="I102" s="2"/>
      <c r="J102" s="3"/>
      <c r="L102" s="35" t="s">
        <v>77</v>
      </c>
      <c r="M102" s="2"/>
      <c r="N102" s="2"/>
      <c r="O102" s="3"/>
      <c r="P102" s="11"/>
    </row>
    <row r="103" spans="1:25" x14ac:dyDescent="0.2">
      <c r="A103" s="4"/>
      <c r="B103" s="5"/>
      <c r="C103" s="5"/>
      <c r="D103" s="5"/>
      <c r="E103" s="6"/>
      <c r="G103" s="4"/>
      <c r="H103" s="5"/>
      <c r="I103" s="5"/>
      <c r="J103" s="6"/>
      <c r="L103" s="4"/>
      <c r="M103" s="5"/>
      <c r="N103" s="5"/>
      <c r="O103" s="6"/>
      <c r="P103" s="11"/>
      <c r="Y103" s="37"/>
    </row>
    <row r="104" spans="1:25" x14ac:dyDescent="0.2">
      <c r="A104" s="4"/>
      <c r="B104" s="19" t="s">
        <v>23</v>
      </c>
      <c r="C104" s="5"/>
      <c r="D104" s="5"/>
      <c r="E104" s="20" t="s">
        <v>4</v>
      </c>
      <c r="G104" s="4"/>
      <c r="H104" s="5"/>
      <c r="I104" s="5"/>
      <c r="J104" s="20" t="s">
        <v>5</v>
      </c>
      <c r="L104" s="4"/>
      <c r="M104" s="5"/>
      <c r="N104" s="5"/>
      <c r="O104" s="38" t="s">
        <v>5</v>
      </c>
      <c r="P104" s="11"/>
    </row>
    <row r="105" spans="1:25" x14ac:dyDescent="0.2">
      <c r="A105" s="4" t="s">
        <v>25</v>
      </c>
      <c r="B105" s="19">
        <f>IF(F5="",9999,IF(F5=0,1,0))</f>
        <v>9999</v>
      </c>
      <c r="C105" s="5">
        <f>IF(E30=9999,9999,E30)</f>
        <v>9999</v>
      </c>
      <c r="D105" s="5">
        <f>IF(E55=9999,9999,E55)</f>
        <v>9999</v>
      </c>
      <c r="E105" s="20">
        <f>IF(OR(C105=9999,D105=9999),9999,C105+D105)</f>
        <v>9999</v>
      </c>
      <c r="G105" s="4" t="s">
        <v>25</v>
      </c>
      <c r="H105" s="5">
        <f>B5</f>
        <v>0</v>
      </c>
      <c r="I105" s="5">
        <f>H5</f>
        <v>0</v>
      </c>
      <c r="J105" s="20">
        <f t="shared" ref="J105:J124" si="42">IF(ISERROR(I105-H105),9999,IF(OR(H105=0,I105=0),9999,IF(SUM(I105-H105)&lt;=0,9999,SUM(I105-H105))))</f>
        <v>9999</v>
      </c>
      <c r="L105" s="4" t="s">
        <v>25</v>
      </c>
      <c r="M105" s="5">
        <f>H5</f>
        <v>0</v>
      </c>
      <c r="N105" s="5">
        <f>G5</f>
        <v>0</v>
      </c>
      <c r="O105" s="20">
        <f>IF(ISERROR(M105-N105),9999,IF(OR(M105=0,N105=0),9999,IF(SUM(M105-N105)&lt;=0,9999,SUM(M105-N105))))</f>
        <v>9999</v>
      </c>
      <c r="P105" s="13"/>
    </row>
    <row r="106" spans="1:25" x14ac:dyDescent="0.2">
      <c r="A106" s="4" t="s">
        <v>26</v>
      </c>
      <c r="B106" s="19">
        <f t="shared" ref="B106:B124" si="43">IF(F6="",9999,IF(F6=0,1,0))</f>
        <v>9999</v>
      </c>
      <c r="C106" s="5">
        <f t="shared" ref="C106:C124" si="44">IF(E31=9999,9999,E31)</f>
        <v>9999</v>
      </c>
      <c r="D106" s="5">
        <f t="shared" ref="D106:D124" si="45">IF(E56=9999,9999,E56)</f>
        <v>9999</v>
      </c>
      <c r="E106" s="20">
        <f t="shared" ref="E106:E124" si="46">IF(OR(C106=9999,D106=9999),9999,C106+D106)</f>
        <v>9999</v>
      </c>
      <c r="G106" s="4" t="s">
        <v>26</v>
      </c>
      <c r="H106" s="5">
        <f t="shared" ref="H106:H124" si="47">B6</f>
        <v>0</v>
      </c>
      <c r="I106" s="5">
        <f>H6</f>
        <v>0</v>
      </c>
      <c r="J106" s="20">
        <f t="shared" si="42"/>
        <v>9999</v>
      </c>
      <c r="L106" s="4" t="s">
        <v>26</v>
      </c>
      <c r="M106" s="5">
        <f t="shared" ref="M106:M124" si="48">H6</f>
        <v>0</v>
      </c>
      <c r="N106" s="5">
        <f t="shared" ref="N106:N124" si="49">G6</f>
        <v>0</v>
      </c>
      <c r="O106" s="20">
        <f t="shared" ref="O106:O124" si="50">IF(ISERROR(M106-N106),9999,IF(OR(M106=0,N106=0),9999,IF(SUM(M106-N106)&lt;=0,9999,SUM(M106-N106))))</f>
        <v>9999</v>
      </c>
      <c r="P106" s="13"/>
    </row>
    <row r="107" spans="1:25" x14ac:dyDescent="0.2">
      <c r="A107" s="4" t="s">
        <v>27</v>
      </c>
      <c r="B107" s="19">
        <f t="shared" si="43"/>
        <v>9999</v>
      </c>
      <c r="C107" s="5">
        <f t="shared" si="44"/>
        <v>9999</v>
      </c>
      <c r="D107" s="5">
        <f t="shared" si="45"/>
        <v>9999</v>
      </c>
      <c r="E107" s="20">
        <f t="shared" si="46"/>
        <v>9999</v>
      </c>
      <c r="G107" s="4" t="s">
        <v>27</v>
      </c>
      <c r="H107" s="5">
        <f t="shared" si="47"/>
        <v>0</v>
      </c>
      <c r="I107" s="5">
        <f t="shared" ref="I107:I124" si="51">H7</f>
        <v>0</v>
      </c>
      <c r="J107" s="20">
        <f t="shared" si="42"/>
        <v>9999</v>
      </c>
      <c r="L107" s="4" t="s">
        <v>27</v>
      </c>
      <c r="M107" s="5">
        <f t="shared" si="48"/>
        <v>0</v>
      </c>
      <c r="N107" s="5">
        <f t="shared" si="49"/>
        <v>0</v>
      </c>
      <c r="O107" s="20">
        <f t="shared" si="50"/>
        <v>9999</v>
      </c>
      <c r="P107" s="13"/>
    </row>
    <row r="108" spans="1:25" x14ac:dyDescent="0.2">
      <c r="A108" s="4" t="s">
        <v>28</v>
      </c>
      <c r="B108" s="19">
        <f t="shared" si="43"/>
        <v>9999</v>
      </c>
      <c r="C108" s="5">
        <f t="shared" si="44"/>
        <v>9999</v>
      </c>
      <c r="D108" s="5">
        <f t="shared" si="45"/>
        <v>9999</v>
      </c>
      <c r="E108" s="20">
        <f t="shared" si="46"/>
        <v>9999</v>
      </c>
      <c r="G108" s="4" t="s">
        <v>28</v>
      </c>
      <c r="H108" s="5">
        <f t="shared" si="47"/>
        <v>0</v>
      </c>
      <c r="I108" s="5">
        <f t="shared" si="51"/>
        <v>0</v>
      </c>
      <c r="J108" s="20">
        <f t="shared" si="42"/>
        <v>9999</v>
      </c>
      <c r="L108" s="4" t="s">
        <v>28</v>
      </c>
      <c r="M108" s="5">
        <f t="shared" si="48"/>
        <v>0</v>
      </c>
      <c r="N108" s="5">
        <f t="shared" si="49"/>
        <v>0</v>
      </c>
      <c r="O108" s="20">
        <f t="shared" si="50"/>
        <v>9999</v>
      </c>
      <c r="P108" s="13"/>
    </row>
    <row r="109" spans="1:25" x14ac:dyDescent="0.2">
      <c r="A109" s="4" t="s">
        <v>29</v>
      </c>
      <c r="B109" s="19">
        <f t="shared" si="43"/>
        <v>9999</v>
      </c>
      <c r="C109" s="5">
        <f t="shared" si="44"/>
        <v>9999</v>
      </c>
      <c r="D109" s="5">
        <f t="shared" si="45"/>
        <v>9999</v>
      </c>
      <c r="E109" s="20">
        <f t="shared" si="46"/>
        <v>9999</v>
      </c>
      <c r="G109" s="4" t="s">
        <v>29</v>
      </c>
      <c r="H109" s="5">
        <f t="shared" si="47"/>
        <v>0</v>
      </c>
      <c r="I109" s="5">
        <f t="shared" si="51"/>
        <v>0</v>
      </c>
      <c r="J109" s="20">
        <f t="shared" si="42"/>
        <v>9999</v>
      </c>
      <c r="L109" s="4" t="s">
        <v>29</v>
      </c>
      <c r="M109" s="5">
        <f t="shared" si="48"/>
        <v>0</v>
      </c>
      <c r="N109" s="5">
        <f t="shared" si="49"/>
        <v>0</v>
      </c>
      <c r="O109" s="20">
        <f t="shared" si="50"/>
        <v>9999</v>
      </c>
      <c r="P109" s="13"/>
    </row>
    <row r="110" spans="1:25" x14ac:dyDescent="0.2">
      <c r="A110" s="4" t="s">
        <v>30</v>
      </c>
      <c r="B110" s="19">
        <f t="shared" si="43"/>
        <v>9999</v>
      </c>
      <c r="C110" s="5">
        <f t="shared" si="44"/>
        <v>9999</v>
      </c>
      <c r="D110" s="5">
        <f t="shared" si="45"/>
        <v>9999</v>
      </c>
      <c r="E110" s="20">
        <f t="shared" si="46"/>
        <v>9999</v>
      </c>
      <c r="G110" s="4" t="s">
        <v>30</v>
      </c>
      <c r="H110" s="5">
        <f t="shared" si="47"/>
        <v>0</v>
      </c>
      <c r="I110" s="5">
        <f t="shared" si="51"/>
        <v>0</v>
      </c>
      <c r="J110" s="20">
        <f t="shared" si="42"/>
        <v>9999</v>
      </c>
      <c r="L110" s="4" t="s">
        <v>30</v>
      </c>
      <c r="M110" s="5">
        <f t="shared" si="48"/>
        <v>0</v>
      </c>
      <c r="N110" s="5">
        <f t="shared" si="49"/>
        <v>0</v>
      </c>
      <c r="O110" s="20">
        <f t="shared" si="50"/>
        <v>9999</v>
      </c>
      <c r="P110" s="13"/>
    </row>
    <row r="111" spans="1:25" x14ac:dyDescent="0.2">
      <c r="A111" s="4" t="s">
        <v>31</v>
      </c>
      <c r="B111" s="19">
        <f t="shared" si="43"/>
        <v>9999</v>
      </c>
      <c r="C111" s="5">
        <f t="shared" si="44"/>
        <v>9999</v>
      </c>
      <c r="D111" s="5">
        <f t="shared" si="45"/>
        <v>9999</v>
      </c>
      <c r="E111" s="20">
        <f t="shared" si="46"/>
        <v>9999</v>
      </c>
      <c r="G111" s="4" t="s">
        <v>31</v>
      </c>
      <c r="H111" s="5">
        <f t="shared" si="47"/>
        <v>0</v>
      </c>
      <c r="I111" s="5">
        <f t="shared" si="51"/>
        <v>0</v>
      </c>
      <c r="J111" s="20">
        <f t="shared" si="42"/>
        <v>9999</v>
      </c>
      <c r="L111" s="4" t="s">
        <v>31</v>
      </c>
      <c r="M111" s="5">
        <f t="shared" si="48"/>
        <v>0</v>
      </c>
      <c r="N111" s="5">
        <f t="shared" si="49"/>
        <v>0</v>
      </c>
      <c r="O111" s="20">
        <f t="shared" si="50"/>
        <v>9999</v>
      </c>
      <c r="P111" s="13"/>
    </row>
    <row r="112" spans="1:25" x14ac:dyDescent="0.2">
      <c r="A112" s="9" t="s">
        <v>32</v>
      </c>
      <c r="B112" s="19">
        <f t="shared" si="43"/>
        <v>9999</v>
      </c>
      <c r="C112" s="5">
        <f t="shared" si="44"/>
        <v>9999</v>
      </c>
      <c r="D112" s="5">
        <f t="shared" si="45"/>
        <v>9999</v>
      </c>
      <c r="E112" s="20">
        <f t="shared" si="46"/>
        <v>9999</v>
      </c>
      <c r="G112" s="9" t="s">
        <v>32</v>
      </c>
      <c r="H112" s="5">
        <f t="shared" si="47"/>
        <v>0</v>
      </c>
      <c r="I112" s="5">
        <f t="shared" si="51"/>
        <v>0</v>
      </c>
      <c r="J112" s="20">
        <f t="shared" si="42"/>
        <v>9999</v>
      </c>
      <c r="L112" s="9" t="s">
        <v>32</v>
      </c>
      <c r="M112" s="5">
        <f t="shared" si="48"/>
        <v>0</v>
      </c>
      <c r="N112" s="5">
        <f t="shared" si="49"/>
        <v>0</v>
      </c>
      <c r="O112" s="20">
        <f t="shared" si="50"/>
        <v>9999</v>
      </c>
      <c r="P112" s="13"/>
    </row>
    <row r="113" spans="1:25" x14ac:dyDescent="0.2">
      <c r="A113" s="9" t="s">
        <v>33</v>
      </c>
      <c r="B113" s="19">
        <f t="shared" si="43"/>
        <v>9999</v>
      </c>
      <c r="C113" s="5">
        <f t="shared" si="44"/>
        <v>9999</v>
      </c>
      <c r="D113" s="5">
        <f t="shared" si="45"/>
        <v>9999</v>
      </c>
      <c r="E113" s="20">
        <f t="shared" si="46"/>
        <v>9999</v>
      </c>
      <c r="G113" s="9" t="s">
        <v>33</v>
      </c>
      <c r="H113" s="5">
        <f t="shared" si="47"/>
        <v>0</v>
      </c>
      <c r="I113" s="5">
        <f t="shared" si="51"/>
        <v>0</v>
      </c>
      <c r="J113" s="20">
        <f t="shared" si="42"/>
        <v>9999</v>
      </c>
      <c r="L113" s="9" t="s">
        <v>33</v>
      </c>
      <c r="M113" s="5">
        <f t="shared" si="48"/>
        <v>0</v>
      </c>
      <c r="N113" s="5">
        <f t="shared" si="49"/>
        <v>0</v>
      </c>
      <c r="O113" s="20">
        <f t="shared" si="50"/>
        <v>9999</v>
      </c>
      <c r="P113" s="13"/>
    </row>
    <row r="114" spans="1:25" x14ac:dyDescent="0.2">
      <c r="A114" s="9" t="s">
        <v>34</v>
      </c>
      <c r="B114" s="19">
        <f t="shared" si="43"/>
        <v>9999</v>
      </c>
      <c r="C114" s="5">
        <f t="shared" si="44"/>
        <v>9999</v>
      </c>
      <c r="D114" s="5">
        <f t="shared" si="45"/>
        <v>9999</v>
      </c>
      <c r="E114" s="20">
        <f t="shared" si="46"/>
        <v>9999</v>
      </c>
      <c r="G114" s="9" t="s">
        <v>34</v>
      </c>
      <c r="H114" s="5">
        <f t="shared" si="47"/>
        <v>0</v>
      </c>
      <c r="I114" s="5">
        <f t="shared" si="51"/>
        <v>0</v>
      </c>
      <c r="J114" s="20">
        <f t="shared" si="42"/>
        <v>9999</v>
      </c>
      <c r="L114" s="9" t="s">
        <v>34</v>
      </c>
      <c r="M114" s="5">
        <f t="shared" si="48"/>
        <v>0</v>
      </c>
      <c r="N114" s="5">
        <f t="shared" si="49"/>
        <v>0</v>
      </c>
      <c r="O114" s="20">
        <f t="shared" si="50"/>
        <v>9999</v>
      </c>
      <c r="P114" s="13"/>
    </row>
    <row r="115" spans="1:25" x14ac:dyDescent="0.2">
      <c r="A115" s="9" t="s">
        <v>35</v>
      </c>
      <c r="B115" s="19">
        <f t="shared" si="43"/>
        <v>9999</v>
      </c>
      <c r="C115" s="5">
        <f t="shared" si="44"/>
        <v>9999</v>
      </c>
      <c r="D115" s="5">
        <f t="shared" si="45"/>
        <v>9999</v>
      </c>
      <c r="E115" s="20">
        <f t="shared" si="46"/>
        <v>9999</v>
      </c>
      <c r="G115" s="9" t="s">
        <v>35</v>
      </c>
      <c r="H115" s="5">
        <f t="shared" si="47"/>
        <v>0</v>
      </c>
      <c r="I115" s="5">
        <f t="shared" si="51"/>
        <v>0</v>
      </c>
      <c r="J115" s="20">
        <f t="shared" si="42"/>
        <v>9999</v>
      </c>
      <c r="L115" s="9" t="s">
        <v>35</v>
      </c>
      <c r="M115" s="5">
        <f t="shared" si="48"/>
        <v>0</v>
      </c>
      <c r="N115" s="5">
        <f t="shared" si="49"/>
        <v>0</v>
      </c>
      <c r="O115" s="20">
        <f t="shared" si="50"/>
        <v>9999</v>
      </c>
      <c r="P115" s="13"/>
    </row>
    <row r="116" spans="1:25" x14ac:dyDescent="0.2">
      <c r="A116" s="9" t="s">
        <v>36</v>
      </c>
      <c r="B116" s="19">
        <f t="shared" si="43"/>
        <v>9999</v>
      </c>
      <c r="C116" s="5">
        <f t="shared" si="44"/>
        <v>9999</v>
      </c>
      <c r="D116" s="5">
        <f t="shared" si="45"/>
        <v>9999</v>
      </c>
      <c r="E116" s="20">
        <f t="shared" si="46"/>
        <v>9999</v>
      </c>
      <c r="G116" s="9" t="s">
        <v>36</v>
      </c>
      <c r="H116" s="5">
        <f t="shared" si="47"/>
        <v>0</v>
      </c>
      <c r="I116" s="5">
        <f t="shared" si="51"/>
        <v>0</v>
      </c>
      <c r="J116" s="20">
        <f t="shared" si="42"/>
        <v>9999</v>
      </c>
      <c r="L116" s="9" t="s">
        <v>36</v>
      </c>
      <c r="M116" s="5">
        <f t="shared" si="48"/>
        <v>0</v>
      </c>
      <c r="N116" s="5">
        <f t="shared" si="49"/>
        <v>0</v>
      </c>
      <c r="O116" s="20">
        <f t="shared" si="50"/>
        <v>9999</v>
      </c>
      <c r="P116" s="13"/>
    </row>
    <row r="117" spans="1:25" x14ac:dyDescent="0.2">
      <c r="A117" s="4" t="s">
        <v>37</v>
      </c>
      <c r="B117" s="19">
        <f t="shared" si="43"/>
        <v>9999</v>
      </c>
      <c r="C117" s="5">
        <f t="shared" si="44"/>
        <v>9999</v>
      </c>
      <c r="D117" s="5">
        <f t="shared" si="45"/>
        <v>9999</v>
      </c>
      <c r="E117" s="20">
        <f t="shared" si="46"/>
        <v>9999</v>
      </c>
      <c r="G117" s="4" t="s">
        <v>37</v>
      </c>
      <c r="H117" s="5">
        <f t="shared" si="47"/>
        <v>0</v>
      </c>
      <c r="I117" s="5">
        <f t="shared" si="51"/>
        <v>0</v>
      </c>
      <c r="J117" s="20">
        <f t="shared" si="42"/>
        <v>9999</v>
      </c>
      <c r="L117" s="4" t="s">
        <v>37</v>
      </c>
      <c r="M117" s="5">
        <f t="shared" si="48"/>
        <v>0</v>
      </c>
      <c r="N117" s="5">
        <f t="shared" si="49"/>
        <v>0</v>
      </c>
      <c r="O117" s="20">
        <f t="shared" si="50"/>
        <v>9999</v>
      </c>
      <c r="P117" s="13"/>
    </row>
    <row r="118" spans="1:25" x14ac:dyDescent="0.2">
      <c r="A118" s="4" t="s">
        <v>38</v>
      </c>
      <c r="B118" s="19">
        <f t="shared" si="43"/>
        <v>9999</v>
      </c>
      <c r="C118" s="5">
        <f t="shared" si="44"/>
        <v>9999</v>
      </c>
      <c r="D118" s="5">
        <f t="shared" si="45"/>
        <v>9999</v>
      </c>
      <c r="E118" s="20">
        <f t="shared" si="46"/>
        <v>9999</v>
      </c>
      <c r="G118" s="4" t="s">
        <v>38</v>
      </c>
      <c r="H118" s="5">
        <f t="shared" si="47"/>
        <v>0</v>
      </c>
      <c r="I118" s="5">
        <f t="shared" si="51"/>
        <v>0</v>
      </c>
      <c r="J118" s="20">
        <f t="shared" si="42"/>
        <v>9999</v>
      </c>
      <c r="L118" s="4" t="s">
        <v>38</v>
      </c>
      <c r="M118" s="5">
        <f t="shared" si="48"/>
        <v>0</v>
      </c>
      <c r="N118" s="5">
        <f t="shared" si="49"/>
        <v>0</v>
      </c>
      <c r="O118" s="20">
        <f t="shared" si="50"/>
        <v>9999</v>
      </c>
      <c r="P118" s="13"/>
    </row>
    <row r="119" spans="1:25" x14ac:dyDescent="0.2">
      <c r="A119" s="4" t="s">
        <v>39</v>
      </c>
      <c r="B119" s="19">
        <f t="shared" si="43"/>
        <v>9999</v>
      </c>
      <c r="C119" s="5">
        <f t="shared" si="44"/>
        <v>9999</v>
      </c>
      <c r="D119" s="5">
        <f t="shared" si="45"/>
        <v>9999</v>
      </c>
      <c r="E119" s="20">
        <f t="shared" si="46"/>
        <v>9999</v>
      </c>
      <c r="G119" s="4" t="s">
        <v>39</v>
      </c>
      <c r="H119" s="5">
        <f t="shared" si="47"/>
        <v>0</v>
      </c>
      <c r="I119" s="5">
        <f t="shared" si="51"/>
        <v>0</v>
      </c>
      <c r="J119" s="20">
        <f t="shared" si="42"/>
        <v>9999</v>
      </c>
      <c r="L119" s="4" t="s">
        <v>39</v>
      </c>
      <c r="M119" s="5">
        <f t="shared" si="48"/>
        <v>0</v>
      </c>
      <c r="N119" s="5">
        <f t="shared" si="49"/>
        <v>0</v>
      </c>
      <c r="O119" s="20">
        <f t="shared" si="50"/>
        <v>9999</v>
      </c>
      <c r="P119" s="13"/>
    </row>
    <row r="120" spans="1:25" x14ac:dyDescent="0.2">
      <c r="A120" s="9" t="s">
        <v>40</v>
      </c>
      <c r="B120" s="19">
        <f t="shared" si="43"/>
        <v>9999</v>
      </c>
      <c r="C120" s="5">
        <f t="shared" si="44"/>
        <v>9999</v>
      </c>
      <c r="D120" s="5">
        <f t="shared" si="45"/>
        <v>9999</v>
      </c>
      <c r="E120" s="20">
        <f t="shared" si="46"/>
        <v>9999</v>
      </c>
      <c r="G120" s="9" t="s">
        <v>40</v>
      </c>
      <c r="H120" s="5">
        <f t="shared" si="47"/>
        <v>0</v>
      </c>
      <c r="I120" s="5">
        <f t="shared" si="51"/>
        <v>0</v>
      </c>
      <c r="J120" s="20">
        <f t="shared" si="42"/>
        <v>9999</v>
      </c>
      <c r="L120" s="9" t="s">
        <v>40</v>
      </c>
      <c r="M120" s="5">
        <f t="shared" si="48"/>
        <v>0</v>
      </c>
      <c r="N120" s="5">
        <f t="shared" si="49"/>
        <v>0</v>
      </c>
      <c r="O120" s="20">
        <f t="shared" si="50"/>
        <v>9999</v>
      </c>
      <c r="P120" s="13"/>
    </row>
    <row r="121" spans="1:25" x14ac:dyDescent="0.2">
      <c r="A121" s="9" t="s">
        <v>41</v>
      </c>
      <c r="B121" s="19">
        <f t="shared" si="43"/>
        <v>9999</v>
      </c>
      <c r="C121" s="5">
        <f t="shared" si="44"/>
        <v>9999</v>
      </c>
      <c r="D121" s="5">
        <f t="shared" si="45"/>
        <v>9999</v>
      </c>
      <c r="E121" s="20">
        <f t="shared" si="46"/>
        <v>9999</v>
      </c>
      <c r="G121" s="9" t="s">
        <v>41</v>
      </c>
      <c r="H121" s="5">
        <f t="shared" si="47"/>
        <v>0</v>
      </c>
      <c r="I121" s="5">
        <f t="shared" si="51"/>
        <v>0</v>
      </c>
      <c r="J121" s="20">
        <f t="shared" si="42"/>
        <v>9999</v>
      </c>
      <c r="L121" s="9" t="s">
        <v>41</v>
      </c>
      <c r="M121" s="5">
        <f t="shared" si="48"/>
        <v>0</v>
      </c>
      <c r="N121" s="5">
        <f t="shared" si="49"/>
        <v>0</v>
      </c>
      <c r="O121" s="20">
        <f t="shared" si="50"/>
        <v>9999</v>
      </c>
      <c r="P121" s="13"/>
    </row>
    <row r="122" spans="1:25" x14ac:dyDescent="0.2">
      <c r="A122" s="9" t="s">
        <v>42</v>
      </c>
      <c r="B122" s="19">
        <f t="shared" si="43"/>
        <v>9999</v>
      </c>
      <c r="C122" s="5">
        <f t="shared" si="44"/>
        <v>9999</v>
      </c>
      <c r="D122" s="5">
        <f t="shared" si="45"/>
        <v>9999</v>
      </c>
      <c r="E122" s="20">
        <f t="shared" si="46"/>
        <v>9999</v>
      </c>
      <c r="G122" s="9" t="s">
        <v>42</v>
      </c>
      <c r="H122" s="5">
        <f t="shared" si="47"/>
        <v>0</v>
      </c>
      <c r="I122" s="5">
        <f t="shared" si="51"/>
        <v>0</v>
      </c>
      <c r="J122" s="20">
        <f t="shared" si="42"/>
        <v>9999</v>
      </c>
      <c r="L122" s="9" t="s">
        <v>42</v>
      </c>
      <c r="M122" s="5">
        <f t="shared" si="48"/>
        <v>0</v>
      </c>
      <c r="N122" s="5">
        <f t="shared" si="49"/>
        <v>0</v>
      </c>
      <c r="O122" s="20">
        <f t="shared" si="50"/>
        <v>9999</v>
      </c>
      <c r="P122" s="13"/>
    </row>
    <row r="123" spans="1:25" x14ac:dyDescent="0.2">
      <c r="A123" s="9" t="s">
        <v>43</v>
      </c>
      <c r="B123" s="19">
        <f t="shared" si="43"/>
        <v>9999</v>
      </c>
      <c r="C123" s="5">
        <f t="shared" si="44"/>
        <v>9999</v>
      </c>
      <c r="D123" s="5">
        <f t="shared" si="45"/>
        <v>9999</v>
      </c>
      <c r="E123" s="20">
        <f t="shared" si="46"/>
        <v>9999</v>
      </c>
      <c r="G123" s="9" t="s">
        <v>43</v>
      </c>
      <c r="H123" s="5">
        <f t="shared" si="47"/>
        <v>0</v>
      </c>
      <c r="I123" s="5">
        <f t="shared" si="51"/>
        <v>0</v>
      </c>
      <c r="J123" s="20">
        <f t="shared" si="42"/>
        <v>9999</v>
      </c>
      <c r="L123" s="9" t="s">
        <v>43</v>
      </c>
      <c r="M123" s="5">
        <f t="shared" si="48"/>
        <v>0</v>
      </c>
      <c r="N123" s="5">
        <f t="shared" si="49"/>
        <v>0</v>
      </c>
      <c r="O123" s="20">
        <f t="shared" si="50"/>
        <v>9999</v>
      </c>
      <c r="P123" s="13"/>
    </row>
    <row r="124" spans="1:25" x14ac:dyDescent="0.2">
      <c r="A124" s="10" t="s">
        <v>44</v>
      </c>
      <c r="B124" s="21">
        <f t="shared" si="43"/>
        <v>9999</v>
      </c>
      <c r="C124" s="8">
        <f t="shared" si="44"/>
        <v>9999</v>
      </c>
      <c r="D124" s="8">
        <f t="shared" si="45"/>
        <v>9999</v>
      </c>
      <c r="E124" s="22">
        <f t="shared" si="46"/>
        <v>9999</v>
      </c>
      <c r="G124" s="10" t="s">
        <v>44</v>
      </c>
      <c r="H124" s="8">
        <f t="shared" si="47"/>
        <v>0</v>
      </c>
      <c r="I124" s="8">
        <f t="shared" si="51"/>
        <v>0</v>
      </c>
      <c r="J124" s="22">
        <f t="shared" si="42"/>
        <v>9999</v>
      </c>
      <c r="L124" s="10" t="s">
        <v>44</v>
      </c>
      <c r="M124" s="8">
        <f t="shared" si="48"/>
        <v>0</v>
      </c>
      <c r="N124" s="8">
        <f t="shared" si="49"/>
        <v>0</v>
      </c>
      <c r="O124" s="22">
        <f t="shared" si="50"/>
        <v>9999</v>
      </c>
      <c r="P124" s="13"/>
    </row>
    <row r="125" spans="1:25" x14ac:dyDescent="0.2">
      <c r="P125" s="13"/>
    </row>
    <row r="126" spans="1:25" x14ac:dyDescent="0.2">
      <c r="A126" s="18" t="s">
        <v>24</v>
      </c>
      <c r="P126" s="13"/>
    </row>
    <row r="127" spans="1:25" x14ac:dyDescent="0.2">
      <c r="A127" s="36" t="s">
        <v>75</v>
      </c>
      <c r="B127" s="2"/>
      <c r="C127" s="2"/>
      <c r="D127" s="2"/>
      <c r="E127" s="3"/>
      <c r="G127" s="1" t="s">
        <v>22</v>
      </c>
      <c r="H127" s="2"/>
      <c r="I127" s="2"/>
      <c r="J127" s="3"/>
      <c r="L127" s="35" t="s">
        <v>77</v>
      </c>
      <c r="M127" s="2"/>
      <c r="N127" s="2"/>
      <c r="O127" s="3"/>
      <c r="P127" s="11"/>
    </row>
    <row r="128" spans="1:25" x14ac:dyDescent="0.2">
      <c r="A128" s="4"/>
      <c r="B128" s="5"/>
      <c r="C128" s="5"/>
      <c r="D128" s="5"/>
      <c r="E128" s="6"/>
      <c r="G128" s="4"/>
      <c r="H128" s="5"/>
      <c r="I128" s="5"/>
      <c r="J128" s="6"/>
      <c r="L128" s="4"/>
      <c r="M128" s="5"/>
      <c r="N128" s="5"/>
      <c r="O128" s="6"/>
      <c r="P128" s="11"/>
      <c r="Y128" s="37"/>
    </row>
    <row r="129" spans="1:16" x14ac:dyDescent="0.2">
      <c r="A129" s="4"/>
      <c r="B129" s="19" t="s">
        <v>23</v>
      </c>
      <c r="C129" s="5"/>
      <c r="D129" s="5"/>
      <c r="E129" s="20" t="s">
        <v>4</v>
      </c>
      <c r="G129" s="4"/>
      <c r="H129" s="5"/>
      <c r="I129" s="5"/>
      <c r="J129" s="20" t="s">
        <v>5</v>
      </c>
      <c r="L129" s="4"/>
      <c r="M129" s="5"/>
      <c r="N129" s="5"/>
      <c r="O129" s="38" t="s">
        <v>5</v>
      </c>
      <c r="P129" s="11"/>
    </row>
    <row r="130" spans="1:16" x14ac:dyDescent="0.2">
      <c r="A130" s="4" t="s">
        <v>25</v>
      </c>
      <c r="B130" s="19">
        <f>IF(F5="",9999,F5)</f>
        <v>9999</v>
      </c>
      <c r="C130" s="5">
        <f>IF(E55=9999,9999,E55)</f>
        <v>9999</v>
      </c>
      <c r="D130" s="5">
        <f>IF(E80=9999,9999,E80)</f>
        <v>9999</v>
      </c>
      <c r="E130" s="20">
        <f>IF(OR(C130=9999,D130=9999),9999,C130+D130)</f>
        <v>9999</v>
      </c>
      <c r="G130" s="4" t="s">
        <v>25</v>
      </c>
      <c r="H130" s="5">
        <f t="shared" ref="H130:H149" si="52">D5</f>
        <v>0</v>
      </c>
      <c r="I130" s="5">
        <f>K5</f>
        <v>0</v>
      </c>
      <c r="J130" s="20">
        <f t="shared" ref="J130:J149" si="53">IF(ISERROR(I130-H130),9999,IF(OR(H130=0,I130=0),9999,IF(SUM(I130-H130)&lt;=0,9999,SUM(I130-H130))))</f>
        <v>9999</v>
      </c>
      <c r="L130" s="4" t="s">
        <v>25</v>
      </c>
      <c r="M130" s="5">
        <f>K5</f>
        <v>0</v>
      </c>
      <c r="N130" s="5">
        <f>J5</f>
        <v>0</v>
      </c>
      <c r="O130" s="20">
        <f>IF(ISERROR(M130-N130),9999,IF(OR(M130=0,N130=0),9999,IF(SUM(M130-N130)&lt;=0,9999,SUM(M130-N130))))</f>
        <v>9999</v>
      </c>
      <c r="P130" s="13"/>
    </row>
    <row r="131" spans="1:16" x14ac:dyDescent="0.2">
      <c r="A131" s="4" t="s">
        <v>26</v>
      </c>
      <c r="B131" s="19">
        <f t="shared" ref="B131:B149" si="54">IF(F6="",9999,F6)</f>
        <v>9999</v>
      </c>
      <c r="C131" s="5">
        <f t="shared" ref="C131:C149" si="55">IF(E56=9999,9999,E56)</f>
        <v>9999</v>
      </c>
      <c r="D131" s="5">
        <f t="shared" ref="D131:D149" si="56">IF(E81=9999,9999,E81)</f>
        <v>9999</v>
      </c>
      <c r="E131" s="20">
        <f t="shared" ref="E131:E149" si="57">IF(OR(C131=9999,D131=9999),9999,C131+D131)</f>
        <v>9999</v>
      </c>
      <c r="G131" s="4" t="s">
        <v>26</v>
      </c>
      <c r="H131" s="5">
        <f t="shared" si="52"/>
        <v>0</v>
      </c>
      <c r="I131" s="5">
        <f>K6</f>
        <v>0</v>
      </c>
      <c r="J131" s="20">
        <f t="shared" si="53"/>
        <v>9999</v>
      </c>
      <c r="L131" s="4" t="s">
        <v>26</v>
      </c>
      <c r="M131" s="5">
        <f t="shared" ref="M131:M149" si="58">K6</f>
        <v>0</v>
      </c>
      <c r="N131" s="5">
        <f t="shared" ref="N131:N149" si="59">J6</f>
        <v>0</v>
      </c>
      <c r="O131" s="20">
        <f t="shared" ref="O131:O149" si="60">IF(ISERROR(M131-N131),9999,IF(OR(M131=0,N131=0),9999,IF(SUM(M131-N131)&lt;=0,9999,SUM(M131-N131))))</f>
        <v>9999</v>
      </c>
      <c r="P131" s="13"/>
    </row>
    <row r="132" spans="1:16" x14ac:dyDescent="0.2">
      <c r="A132" s="4" t="s">
        <v>27</v>
      </c>
      <c r="B132" s="19">
        <f t="shared" si="54"/>
        <v>9999</v>
      </c>
      <c r="C132" s="5">
        <f t="shared" si="55"/>
        <v>9999</v>
      </c>
      <c r="D132" s="5">
        <f t="shared" si="56"/>
        <v>9999</v>
      </c>
      <c r="E132" s="20">
        <f t="shared" si="57"/>
        <v>9999</v>
      </c>
      <c r="G132" s="4" t="s">
        <v>27</v>
      </c>
      <c r="H132" s="5">
        <f t="shared" si="52"/>
        <v>0</v>
      </c>
      <c r="I132" s="5">
        <f t="shared" ref="I132:I149" si="61">K7</f>
        <v>0</v>
      </c>
      <c r="J132" s="20">
        <f t="shared" si="53"/>
        <v>9999</v>
      </c>
      <c r="L132" s="4" t="s">
        <v>27</v>
      </c>
      <c r="M132" s="5">
        <f t="shared" si="58"/>
        <v>0</v>
      </c>
      <c r="N132" s="5">
        <f t="shared" si="59"/>
        <v>0</v>
      </c>
      <c r="O132" s="20">
        <f t="shared" si="60"/>
        <v>9999</v>
      </c>
      <c r="P132" s="13"/>
    </row>
    <row r="133" spans="1:16" x14ac:dyDescent="0.2">
      <c r="A133" s="4" t="s">
        <v>28</v>
      </c>
      <c r="B133" s="19">
        <f t="shared" si="54"/>
        <v>9999</v>
      </c>
      <c r="C133" s="5">
        <f t="shared" si="55"/>
        <v>9999</v>
      </c>
      <c r="D133" s="5">
        <f t="shared" si="56"/>
        <v>9999</v>
      </c>
      <c r="E133" s="20">
        <f t="shared" si="57"/>
        <v>9999</v>
      </c>
      <c r="G133" s="4" t="s">
        <v>28</v>
      </c>
      <c r="H133" s="5">
        <f t="shared" si="52"/>
        <v>0</v>
      </c>
      <c r="I133" s="5">
        <f t="shared" si="61"/>
        <v>0</v>
      </c>
      <c r="J133" s="20">
        <f t="shared" si="53"/>
        <v>9999</v>
      </c>
      <c r="L133" s="4" t="s">
        <v>28</v>
      </c>
      <c r="M133" s="5">
        <f t="shared" si="58"/>
        <v>0</v>
      </c>
      <c r="N133" s="5">
        <f t="shared" si="59"/>
        <v>0</v>
      </c>
      <c r="O133" s="20">
        <f t="shared" si="60"/>
        <v>9999</v>
      </c>
    </row>
    <row r="134" spans="1:16" x14ac:dyDescent="0.2">
      <c r="A134" s="4" t="s">
        <v>29</v>
      </c>
      <c r="B134" s="19">
        <f t="shared" si="54"/>
        <v>9999</v>
      </c>
      <c r="C134" s="5">
        <f t="shared" si="55"/>
        <v>9999</v>
      </c>
      <c r="D134" s="5">
        <f t="shared" si="56"/>
        <v>9999</v>
      </c>
      <c r="E134" s="20">
        <f t="shared" si="57"/>
        <v>9999</v>
      </c>
      <c r="G134" s="4" t="s">
        <v>29</v>
      </c>
      <c r="H134" s="5">
        <f t="shared" si="52"/>
        <v>0</v>
      </c>
      <c r="I134" s="5">
        <f t="shared" si="61"/>
        <v>0</v>
      </c>
      <c r="J134" s="20">
        <f t="shared" si="53"/>
        <v>9999</v>
      </c>
      <c r="L134" s="4" t="s">
        <v>29</v>
      </c>
      <c r="M134" s="5">
        <f t="shared" si="58"/>
        <v>0</v>
      </c>
      <c r="N134" s="5">
        <f t="shared" si="59"/>
        <v>0</v>
      </c>
      <c r="O134" s="20">
        <f t="shared" si="60"/>
        <v>9999</v>
      </c>
    </row>
    <row r="135" spans="1:16" x14ac:dyDescent="0.2">
      <c r="A135" s="4" t="s">
        <v>30</v>
      </c>
      <c r="B135" s="19">
        <f t="shared" si="54"/>
        <v>9999</v>
      </c>
      <c r="C135" s="5">
        <f t="shared" si="55"/>
        <v>9999</v>
      </c>
      <c r="D135" s="5">
        <f t="shared" si="56"/>
        <v>9999</v>
      </c>
      <c r="E135" s="20">
        <f t="shared" si="57"/>
        <v>9999</v>
      </c>
      <c r="G135" s="4" t="s">
        <v>30</v>
      </c>
      <c r="H135" s="5">
        <f t="shared" si="52"/>
        <v>0</v>
      </c>
      <c r="I135" s="5">
        <f t="shared" si="61"/>
        <v>0</v>
      </c>
      <c r="J135" s="20">
        <f t="shared" si="53"/>
        <v>9999</v>
      </c>
      <c r="L135" s="4" t="s">
        <v>30</v>
      </c>
      <c r="M135" s="5">
        <f t="shared" si="58"/>
        <v>0</v>
      </c>
      <c r="N135" s="5">
        <f t="shared" si="59"/>
        <v>0</v>
      </c>
      <c r="O135" s="20">
        <f t="shared" si="60"/>
        <v>9999</v>
      </c>
    </row>
    <row r="136" spans="1:16" x14ac:dyDescent="0.2">
      <c r="A136" s="4" t="s">
        <v>31</v>
      </c>
      <c r="B136" s="19">
        <f t="shared" si="54"/>
        <v>9999</v>
      </c>
      <c r="C136" s="5">
        <f t="shared" si="55"/>
        <v>9999</v>
      </c>
      <c r="D136" s="5">
        <f t="shared" si="56"/>
        <v>9999</v>
      </c>
      <c r="E136" s="20">
        <f t="shared" si="57"/>
        <v>9999</v>
      </c>
      <c r="G136" s="4" t="s">
        <v>31</v>
      </c>
      <c r="H136" s="5">
        <f t="shared" si="52"/>
        <v>0</v>
      </c>
      <c r="I136" s="5">
        <f t="shared" si="61"/>
        <v>0</v>
      </c>
      <c r="J136" s="20">
        <f t="shared" si="53"/>
        <v>9999</v>
      </c>
      <c r="L136" s="4" t="s">
        <v>31</v>
      </c>
      <c r="M136" s="5">
        <f t="shared" si="58"/>
        <v>0</v>
      </c>
      <c r="N136" s="5">
        <f t="shared" si="59"/>
        <v>0</v>
      </c>
      <c r="O136" s="20">
        <f t="shared" si="60"/>
        <v>9999</v>
      </c>
    </row>
    <row r="137" spans="1:16" x14ac:dyDescent="0.2">
      <c r="A137" s="9" t="s">
        <v>32</v>
      </c>
      <c r="B137" s="19">
        <f t="shared" si="54"/>
        <v>9999</v>
      </c>
      <c r="C137" s="5">
        <f t="shared" si="55"/>
        <v>9999</v>
      </c>
      <c r="D137" s="5">
        <f t="shared" si="56"/>
        <v>9999</v>
      </c>
      <c r="E137" s="20">
        <f t="shared" si="57"/>
        <v>9999</v>
      </c>
      <c r="G137" s="9" t="s">
        <v>32</v>
      </c>
      <c r="H137" s="5">
        <f t="shared" si="52"/>
        <v>0</v>
      </c>
      <c r="I137" s="5">
        <f t="shared" si="61"/>
        <v>0</v>
      </c>
      <c r="J137" s="20">
        <f t="shared" si="53"/>
        <v>9999</v>
      </c>
      <c r="L137" s="9" t="s">
        <v>32</v>
      </c>
      <c r="M137" s="5">
        <f t="shared" si="58"/>
        <v>0</v>
      </c>
      <c r="N137" s="5">
        <f t="shared" si="59"/>
        <v>0</v>
      </c>
      <c r="O137" s="20">
        <f t="shared" si="60"/>
        <v>9999</v>
      </c>
    </row>
    <row r="138" spans="1:16" x14ac:dyDescent="0.2">
      <c r="A138" s="9" t="s">
        <v>33</v>
      </c>
      <c r="B138" s="19">
        <f t="shared" si="54"/>
        <v>9999</v>
      </c>
      <c r="C138" s="5">
        <f t="shared" si="55"/>
        <v>9999</v>
      </c>
      <c r="D138" s="5">
        <f t="shared" si="56"/>
        <v>9999</v>
      </c>
      <c r="E138" s="20">
        <f t="shared" si="57"/>
        <v>9999</v>
      </c>
      <c r="G138" s="9" t="s">
        <v>33</v>
      </c>
      <c r="H138" s="5">
        <f t="shared" si="52"/>
        <v>0</v>
      </c>
      <c r="I138" s="5">
        <f t="shared" si="61"/>
        <v>0</v>
      </c>
      <c r="J138" s="20">
        <f t="shared" si="53"/>
        <v>9999</v>
      </c>
      <c r="L138" s="9" t="s">
        <v>33</v>
      </c>
      <c r="M138" s="5">
        <f t="shared" si="58"/>
        <v>0</v>
      </c>
      <c r="N138" s="5">
        <f t="shared" si="59"/>
        <v>0</v>
      </c>
      <c r="O138" s="20">
        <f t="shared" si="60"/>
        <v>9999</v>
      </c>
    </row>
    <row r="139" spans="1:16" x14ac:dyDescent="0.2">
      <c r="A139" s="9" t="s">
        <v>34</v>
      </c>
      <c r="B139" s="19">
        <f t="shared" si="54"/>
        <v>9999</v>
      </c>
      <c r="C139" s="5">
        <f t="shared" si="55"/>
        <v>9999</v>
      </c>
      <c r="D139" s="5">
        <f t="shared" si="56"/>
        <v>9999</v>
      </c>
      <c r="E139" s="20">
        <f t="shared" si="57"/>
        <v>9999</v>
      </c>
      <c r="G139" s="9" t="s">
        <v>34</v>
      </c>
      <c r="H139" s="5">
        <f t="shared" si="52"/>
        <v>0</v>
      </c>
      <c r="I139" s="5">
        <f t="shared" si="61"/>
        <v>0</v>
      </c>
      <c r="J139" s="20">
        <f t="shared" si="53"/>
        <v>9999</v>
      </c>
      <c r="L139" s="9" t="s">
        <v>34</v>
      </c>
      <c r="M139" s="5">
        <f t="shared" si="58"/>
        <v>0</v>
      </c>
      <c r="N139" s="5">
        <f t="shared" si="59"/>
        <v>0</v>
      </c>
      <c r="O139" s="20">
        <f t="shared" si="60"/>
        <v>9999</v>
      </c>
    </row>
    <row r="140" spans="1:16" x14ac:dyDescent="0.2">
      <c r="A140" s="9" t="s">
        <v>35</v>
      </c>
      <c r="B140" s="19">
        <f t="shared" si="54"/>
        <v>9999</v>
      </c>
      <c r="C140" s="5">
        <f t="shared" si="55"/>
        <v>9999</v>
      </c>
      <c r="D140" s="5">
        <f t="shared" si="56"/>
        <v>9999</v>
      </c>
      <c r="E140" s="20">
        <f t="shared" si="57"/>
        <v>9999</v>
      </c>
      <c r="G140" s="9" t="s">
        <v>35</v>
      </c>
      <c r="H140" s="5">
        <f t="shared" si="52"/>
        <v>0</v>
      </c>
      <c r="I140" s="5">
        <f t="shared" si="61"/>
        <v>0</v>
      </c>
      <c r="J140" s="20">
        <f t="shared" si="53"/>
        <v>9999</v>
      </c>
      <c r="L140" s="9" t="s">
        <v>35</v>
      </c>
      <c r="M140" s="5">
        <f t="shared" si="58"/>
        <v>0</v>
      </c>
      <c r="N140" s="5">
        <f t="shared" si="59"/>
        <v>0</v>
      </c>
      <c r="O140" s="20">
        <f t="shared" si="60"/>
        <v>9999</v>
      </c>
    </row>
    <row r="141" spans="1:16" x14ac:dyDescent="0.2">
      <c r="A141" s="9" t="s">
        <v>36</v>
      </c>
      <c r="B141" s="19">
        <f t="shared" si="54"/>
        <v>9999</v>
      </c>
      <c r="C141" s="5">
        <f t="shared" si="55"/>
        <v>9999</v>
      </c>
      <c r="D141" s="5">
        <f t="shared" si="56"/>
        <v>9999</v>
      </c>
      <c r="E141" s="20">
        <f t="shared" si="57"/>
        <v>9999</v>
      </c>
      <c r="G141" s="9" t="s">
        <v>36</v>
      </c>
      <c r="H141" s="5">
        <f t="shared" si="52"/>
        <v>0</v>
      </c>
      <c r="I141" s="5">
        <f t="shared" si="61"/>
        <v>0</v>
      </c>
      <c r="J141" s="20">
        <f t="shared" si="53"/>
        <v>9999</v>
      </c>
      <c r="L141" s="9" t="s">
        <v>36</v>
      </c>
      <c r="M141" s="5">
        <f t="shared" si="58"/>
        <v>0</v>
      </c>
      <c r="N141" s="5">
        <f t="shared" si="59"/>
        <v>0</v>
      </c>
      <c r="O141" s="20">
        <f t="shared" si="60"/>
        <v>9999</v>
      </c>
    </row>
    <row r="142" spans="1:16" x14ac:dyDescent="0.2">
      <c r="A142" s="4" t="s">
        <v>37</v>
      </c>
      <c r="B142" s="19">
        <f t="shared" si="54"/>
        <v>9999</v>
      </c>
      <c r="C142" s="5">
        <f t="shared" si="55"/>
        <v>9999</v>
      </c>
      <c r="D142" s="5">
        <f t="shared" si="56"/>
        <v>9999</v>
      </c>
      <c r="E142" s="20">
        <f t="shared" si="57"/>
        <v>9999</v>
      </c>
      <c r="G142" s="4" t="s">
        <v>37</v>
      </c>
      <c r="H142" s="5">
        <f t="shared" si="52"/>
        <v>0</v>
      </c>
      <c r="I142" s="5">
        <f t="shared" si="61"/>
        <v>0</v>
      </c>
      <c r="J142" s="20">
        <f t="shared" si="53"/>
        <v>9999</v>
      </c>
      <c r="L142" s="4" t="s">
        <v>37</v>
      </c>
      <c r="M142" s="5">
        <f t="shared" si="58"/>
        <v>0</v>
      </c>
      <c r="N142" s="5">
        <f t="shared" si="59"/>
        <v>0</v>
      </c>
      <c r="O142" s="20">
        <f t="shared" si="60"/>
        <v>9999</v>
      </c>
    </row>
    <row r="143" spans="1:16" x14ac:dyDescent="0.2">
      <c r="A143" s="4" t="s">
        <v>38</v>
      </c>
      <c r="B143" s="19">
        <f t="shared" si="54"/>
        <v>9999</v>
      </c>
      <c r="C143" s="5">
        <f t="shared" si="55"/>
        <v>9999</v>
      </c>
      <c r="D143" s="5">
        <f t="shared" si="56"/>
        <v>9999</v>
      </c>
      <c r="E143" s="20">
        <f t="shared" si="57"/>
        <v>9999</v>
      </c>
      <c r="G143" s="4" t="s">
        <v>38</v>
      </c>
      <c r="H143" s="5">
        <f t="shared" si="52"/>
        <v>0</v>
      </c>
      <c r="I143" s="5">
        <f t="shared" si="61"/>
        <v>0</v>
      </c>
      <c r="J143" s="20">
        <f t="shared" si="53"/>
        <v>9999</v>
      </c>
      <c r="L143" s="4" t="s">
        <v>38</v>
      </c>
      <c r="M143" s="5">
        <f t="shared" si="58"/>
        <v>0</v>
      </c>
      <c r="N143" s="5">
        <f t="shared" si="59"/>
        <v>0</v>
      </c>
      <c r="O143" s="20">
        <f t="shared" si="60"/>
        <v>9999</v>
      </c>
    </row>
    <row r="144" spans="1:16" x14ac:dyDescent="0.2">
      <c r="A144" s="4" t="s">
        <v>39</v>
      </c>
      <c r="B144" s="19">
        <f t="shared" si="54"/>
        <v>9999</v>
      </c>
      <c r="C144" s="5">
        <f t="shared" si="55"/>
        <v>9999</v>
      </c>
      <c r="D144" s="5">
        <f t="shared" si="56"/>
        <v>9999</v>
      </c>
      <c r="E144" s="20">
        <f t="shared" si="57"/>
        <v>9999</v>
      </c>
      <c r="G144" s="4" t="s">
        <v>39</v>
      </c>
      <c r="H144" s="5">
        <f t="shared" si="52"/>
        <v>0</v>
      </c>
      <c r="I144" s="5">
        <f t="shared" si="61"/>
        <v>0</v>
      </c>
      <c r="J144" s="20">
        <f t="shared" si="53"/>
        <v>9999</v>
      </c>
      <c r="L144" s="4" t="s">
        <v>39</v>
      </c>
      <c r="M144" s="5">
        <f t="shared" si="58"/>
        <v>0</v>
      </c>
      <c r="N144" s="5">
        <f t="shared" si="59"/>
        <v>0</v>
      </c>
      <c r="O144" s="20">
        <f t="shared" si="60"/>
        <v>9999</v>
      </c>
    </row>
    <row r="145" spans="1:15" x14ac:dyDescent="0.2">
      <c r="A145" s="9" t="s">
        <v>40</v>
      </c>
      <c r="B145" s="19">
        <f t="shared" si="54"/>
        <v>9999</v>
      </c>
      <c r="C145" s="5">
        <f t="shared" si="55"/>
        <v>9999</v>
      </c>
      <c r="D145" s="5">
        <f t="shared" si="56"/>
        <v>9999</v>
      </c>
      <c r="E145" s="20">
        <f t="shared" si="57"/>
        <v>9999</v>
      </c>
      <c r="G145" s="9" t="s">
        <v>40</v>
      </c>
      <c r="H145" s="5">
        <f t="shared" si="52"/>
        <v>0</v>
      </c>
      <c r="I145" s="5">
        <f t="shared" si="61"/>
        <v>0</v>
      </c>
      <c r="J145" s="20">
        <f t="shared" si="53"/>
        <v>9999</v>
      </c>
      <c r="L145" s="9" t="s">
        <v>40</v>
      </c>
      <c r="M145" s="5">
        <f t="shared" si="58"/>
        <v>0</v>
      </c>
      <c r="N145" s="5">
        <f t="shared" si="59"/>
        <v>0</v>
      </c>
      <c r="O145" s="20">
        <f t="shared" si="60"/>
        <v>9999</v>
      </c>
    </row>
    <row r="146" spans="1:15" x14ac:dyDescent="0.2">
      <c r="A146" s="9" t="s">
        <v>41</v>
      </c>
      <c r="B146" s="19">
        <f t="shared" si="54"/>
        <v>9999</v>
      </c>
      <c r="C146" s="5">
        <f t="shared" si="55"/>
        <v>9999</v>
      </c>
      <c r="D146" s="5">
        <f t="shared" si="56"/>
        <v>9999</v>
      </c>
      <c r="E146" s="20">
        <f t="shared" si="57"/>
        <v>9999</v>
      </c>
      <c r="G146" s="9" t="s">
        <v>41</v>
      </c>
      <c r="H146" s="5">
        <f t="shared" si="52"/>
        <v>0</v>
      </c>
      <c r="I146" s="5">
        <f t="shared" si="61"/>
        <v>0</v>
      </c>
      <c r="J146" s="20">
        <f t="shared" si="53"/>
        <v>9999</v>
      </c>
      <c r="L146" s="9" t="s">
        <v>41</v>
      </c>
      <c r="M146" s="5">
        <f t="shared" si="58"/>
        <v>0</v>
      </c>
      <c r="N146" s="5">
        <f t="shared" si="59"/>
        <v>0</v>
      </c>
      <c r="O146" s="20">
        <f t="shared" si="60"/>
        <v>9999</v>
      </c>
    </row>
    <row r="147" spans="1:15" x14ac:dyDescent="0.2">
      <c r="A147" s="9" t="s">
        <v>42</v>
      </c>
      <c r="B147" s="19">
        <f t="shared" si="54"/>
        <v>9999</v>
      </c>
      <c r="C147" s="5">
        <f t="shared" si="55"/>
        <v>9999</v>
      </c>
      <c r="D147" s="5">
        <f t="shared" si="56"/>
        <v>9999</v>
      </c>
      <c r="E147" s="20">
        <f t="shared" si="57"/>
        <v>9999</v>
      </c>
      <c r="G147" s="9" t="s">
        <v>42</v>
      </c>
      <c r="H147" s="5">
        <f t="shared" si="52"/>
        <v>0</v>
      </c>
      <c r="I147" s="5">
        <f t="shared" si="61"/>
        <v>0</v>
      </c>
      <c r="J147" s="20">
        <f t="shared" si="53"/>
        <v>9999</v>
      </c>
      <c r="L147" s="9" t="s">
        <v>42</v>
      </c>
      <c r="M147" s="5">
        <f t="shared" si="58"/>
        <v>0</v>
      </c>
      <c r="N147" s="5">
        <f t="shared" si="59"/>
        <v>0</v>
      </c>
      <c r="O147" s="20">
        <f t="shared" si="60"/>
        <v>9999</v>
      </c>
    </row>
    <row r="148" spans="1:15" x14ac:dyDescent="0.2">
      <c r="A148" s="9" t="s">
        <v>43</v>
      </c>
      <c r="B148" s="19">
        <f t="shared" si="54"/>
        <v>9999</v>
      </c>
      <c r="C148" s="5">
        <f t="shared" si="55"/>
        <v>9999</v>
      </c>
      <c r="D148" s="5">
        <f t="shared" si="56"/>
        <v>9999</v>
      </c>
      <c r="E148" s="20">
        <f t="shared" si="57"/>
        <v>9999</v>
      </c>
      <c r="G148" s="9" t="s">
        <v>43</v>
      </c>
      <c r="H148" s="5">
        <f t="shared" si="52"/>
        <v>0</v>
      </c>
      <c r="I148" s="5">
        <f t="shared" si="61"/>
        <v>0</v>
      </c>
      <c r="J148" s="20">
        <f t="shared" si="53"/>
        <v>9999</v>
      </c>
      <c r="L148" s="9" t="s">
        <v>43</v>
      </c>
      <c r="M148" s="5">
        <f t="shared" si="58"/>
        <v>0</v>
      </c>
      <c r="N148" s="5">
        <f t="shared" si="59"/>
        <v>0</v>
      </c>
      <c r="O148" s="20">
        <f t="shared" si="60"/>
        <v>9999</v>
      </c>
    </row>
    <row r="149" spans="1:15" x14ac:dyDescent="0.2">
      <c r="A149" s="10" t="s">
        <v>44</v>
      </c>
      <c r="B149" s="21">
        <f t="shared" si="54"/>
        <v>9999</v>
      </c>
      <c r="C149" s="8">
        <f t="shared" si="55"/>
        <v>9999</v>
      </c>
      <c r="D149" s="8">
        <f t="shared" si="56"/>
        <v>9999</v>
      </c>
      <c r="E149" s="22">
        <f t="shared" si="57"/>
        <v>9999</v>
      </c>
      <c r="G149" s="10" t="s">
        <v>44</v>
      </c>
      <c r="H149" s="8">
        <f t="shared" si="52"/>
        <v>0</v>
      </c>
      <c r="I149" s="8">
        <f t="shared" si="61"/>
        <v>0</v>
      </c>
      <c r="J149" s="22">
        <f t="shared" si="53"/>
        <v>9999</v>
      </c>
      <c r="L149" s="10" t="s">
        <v>44</v>
      </c>
      <c r="M149" s="8">
        <f t="shared" si="58"/>
        <v>0</v>
      </c>
      <c r="N149" s="8">
        <f t="shared" si="59"/>
        <v>0</v>
      </c>
      <c r="O149" s="22">
        <f t="shared" si="60"/>
        <v>9999</v>
      </c>
    </row>
    <row r="153" spans="1:15" x14ac:dyDescent="0.2">
      <c r="A153" s="51" t="s">
        <v>1342</v>
      </c>
      <c r="B153" s="51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</row>
    <row r="154" spans="1:15" x14ac:dyDescent="0.2">
      <c r="A154" s="53" t="s">
        <v>1365</v>
      </c>
      <c r="B154" s="54" t="s">
        <v>1367</v>
      </c>
      <c r="C154" s="54" t="s">
        <v>1366</v>
      </c>
      <c r="D154" s="54" t="s">
        <v>1368</v>
      </c>
      <c r="E154" s="62" t="s">
        <v>1369</v>
      </c>
      <c r="F154" s="55" t="s">
        <v>1370</v>
      </c>
      <c r="G154" s="55" t="s">
        <v>1371</v>
      </c>
      <c r="H154" s="55" t="s">
        <v>1372</v>
      </c>
      <c r="I154" s="63" t="s">
        <v>1374</v>
      </c>
      <c r="J154" s="56" t="s">
        <v>1373</v>
      </c>
      <c r="K154" s="56" t="s">
        <v>1375</v>
      </c>
      <c r="L154" s="56" t="s">
        <v>1376</v>
      </c>
      <c r="M154" s="56" t="s">
        <v>1377</v>
      </c>
      <c r="N154" s="77" t="s">
        <v>1378</v>
      </c>
      <c r="O154" s="78" t="s">
        <v>1379</v>
      </c>
    </row>
    <row r="155" spans="1:15" x14ac:dyDescent="0.2">
      <c r="A155" s="57">
        <f>IFERROR(AVERAGEIFS(E30:E99,B30:B99,0,E30:E99,"&lt;&gt;9999"),9999)</f>
        <v>9999</v>
      </c>
      <c r="B155" s="58">
        <f>IFERROR(AVERAGEIFS(J30:J99,B30:B99,0,J30:J99,"&lt;&gt;9999"),9999)</f>
        <v>9999</v>
      </c>
      <c r="C155" s="58">
        <f>IFERROR(AVERAGEIFS(T30:T99,B30:B99,1,T30:T99,"&lt;&gt;9999"),9999)</f>
        <v>9999</v>
      </c>
      <c r="D155" s="58">
        <f>IFERROR(AVERAGEIFS(O30:O99,B30:B99,1,O30:O99,"&lt;&gt;9999"),9999)</f>
        <v>9999</v>
      </c>
      <c r="E155" s="61">
        <f>IFERROR(AVERAGEIFS(E30:E99,B30:B99,1,E30:E99,"&lt;&gt;9999"),9999)</f>
        <v>9999</v>
      </c>
      <c r="F155" s="59">
        <f>IFERROR(AVERAGEIFS(J30:J99,B30:B99,1,J30:J99,"&lt;&gt;9999"),9999)</f>
        <v>9999</v>
      </c>
      <c r="G155" s="59">
        <f>IFERROR(AVERAGEIFS(T30:T99,B30:B99,0,T30:T99,"&lt;&gt;9999"),9999)</f>
        <v>9999</v>
      </c>
      <c r="H155" s="59">
        <f>IFERROR(AVERAGEIFS(O30:O99,B30:B99,0,O30:O99,"&lt;&gt;9999"),9999)</f>
        <v>9999</v>
      </c>
      <c r="I155" s="64">
        <f>IFERROR(AVERAGEIFS(E105:E149,E105:E149,"&lt;&gt;9999"),9999)</f>
        <v>9999</v>
      </c>
      <c r="J155" s="60">
        <f>IFERROR(AVERAGEIFS(J105:J149,J105:J149,"&lt;&gt;9999"),9999)</f>
        <v>9999</v>
      </c>
      <c r="K155" s="60">
        <f>IFERROR(AVERAGEIFS(O105:O149,O105:O149,"&lt;&gt;9999"),9999)</f>
        <v>9999</v>
      </c>
      <c r="L155" s="60">
        <f>IF(OR(I155=9999,J155=9999),9999,IFERROR((I155/100)/J155,9999))</f>
        <v>9999</v>
      </c>
      <c r="M155" s="60">
        <f>IF(L155=9999,9999,L155*3.6)</f>
        <v>9999</v>
      </c>
      <c r="N155" s="75">
        <f>IFERROR(AVERAGEIFS(O105:O149,B105:B149,0,O105:O149,"&lt;&gt;9999"),9999)</f>
        <v>9999</v>
      </c>
      <c r="O155" s="76">
        <f>IFERROR(AVERAGEIFS(O105:O149,B105:B149,1,O105:O149,"&lt;&gt;9999"),9999)</f>
        <v>9999</v>
      </c>
    </row>
    <row r="156" spans="1:15" x14ac:dyDescent="0.2">
      <c r="A156" s="52"/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</row>
    <row r="157" spans="1:15" x14ac:dyDescent="0.2">
      <c r="A157" s="52" t="s">
        <v>1382</v>
      </c>
      <c r="B157" s="52"/>
      <c r="C157" s="52"/>
      <c r="D157" s="52"/>
      <c r="E157" s="52"/>
      <c r="F157" s="52"/>
      <c r="G157" s="52"/>
      <c r="H157" s="52"/>
      <c r="I157" s="52"/>
      <c r="J157" s="52"/>
      <c r="K157" s="51"/>
      <c r="L157" s="51"/>
      <c r="M157" s="51"/>
      <c r="N157" s="52"/>
      <c r="O157" s="52"/>
    </row>
    <row r="158" spans="1:15" x14ac:dyDescent="0.2">
      <c r="A158" s="53" t="s">
        <v>1365</v>
      </c>
      <c r="B158" s="54" t="s">
        <v>1367</v>
      </c>
      <c r="C158" s="54" t="s">
        <v>1366</v>
      </c>
      <c r="D158" s="54" t="s">
        <v>1368</v>
      </c>
      <c r="E158" s="62" t="s">
        <v>1369</v>
      </c>
      <c r="F158" s="55" t="s">
        <v>1370</v>
      </c>
      <c r="G158" s="55" t="s">
        <v>1371</v>
      </c>
      <c r="H158" s="55" t="s">
        <v>1372</v>
      </c>
      <c r="I158" s="63" t="s">
        <v>1374</v>
      </c>
      <c r="J158" s="56" t="s">
        <v>1373</v>
      </c>
      <c r="K158" s="83"/>
      <c r="L158" s="81"/>
      <c r="M158" s="86"/>
      <c r="N158" s="77" t="s">
        <v>1378</v>
      </c>
      <c r="O158" s="78" t="s">
        <v>1379</v>
      </c>
    </row>
    <row r="159" spans="1:15" x14ac:dyDescent="0.2">
      <c r="A159" s="57">
        <f t="array" ref="A159">IFERROR(_xlfn.STDEV.P(IF(((B30:B99)=0)*((E30:E99)&lt;&gt;9999)*((E30:E99)&lt;&gt;0),E30:E99,"")),9999)</f>
        <v>9999</v>
      </c>
      <c r="B159" s="58">
        <f t="array" ref="B159">IFERROR(_xlfn.STDEV.P(IF(((B30:B99)=0)*((J30:J99)&lt;&gt;9999)*((J30:J99)&lt;&gt;0),J30:J99,"")),9999)</f>
        <v>9999</v>
      </c>
      <c r="C159" s="58">
        <f t="array" ref="C159">IFERROR(_xlfn.STDEV.P(IF(((B30:B99)=1)*((T30:T99)&lt;&gt;9999)*((T30:T99)&lt;&gt;0),T30:T99,"")),9999)</f>
        <v>9999</v>
      </c>
      <c r="D159" s="58">
        <f t="array" ref="D159">IFERROR(_xlfn.STDEV.P(IF(((B30:B99)=1)*((O30:O99)&lt;&gt;9999)*((O30:O99)&lt;&gt;0),O30:O99,"")),9999)</f>
        <v>9999</v>
      </c>
      <c r="E159" s="61">
        <f t="array" ref="E159">IFERROR(_xlfn.STDEV.P(IF(((B30:B99)=1)*((E30:E99)&lt;&gt;9999)*((E30:E99)&lt;&gt;0),E30:E99,"")),9999)</f>
        <v>9999</v>
      </c>
      <c r="F159" s="59">
        <f t="array" ref="F159">IFERROR(_xlfn.STDEV.P(IF(((B30:B99)=1)*((J30:J99)&lt;&gt;9999)*((J30:J99)&lt;&gt;0),J30:J99,"")),9999)</f>
        <v>9999</v>
      </c>
      <c r="G159" s="59">
        <f t="array" ref="G159">IFERROR(_xlfn.STDEV.P(IF(((B30:B99)=0)*((T30:T99)&lt;&gt;9999)*((T30:T99)&lt;&gt;0),T30:T99,"")),9999)</f>
        <v>9999</v>
      </c>
      <c r="H159" s="59">
        <f t="array" ref="H159">IFERROR(_xlfn.STDEV.P(IF(((B30:B99)=0)*((O30:O99)&lt;&gt;9999)*((O30:O99)&lt;&gt;0),O30:O99,"")),9999)</f>
        <v>9999</v>
      </c>
      <c r="I159" s="64">
        <f t="array" ref="I159">IFERROR(_xlfn.STDEV.P(IF(((E105:E149)&lt;&gt;9999)*((E105:E149)&lt;&gt;0),E105:E149,"")),9999)</f>
        <v>9999</v>
      </c>
      <c r="J159" s="60">
        <f t="array" ref="J159">IFERROR(_xlfn.STDEV.P(IF(((J105:J149)&lt;&gt;9999)*((J105:J149)&lt;&gt;0),J105:J149,"")),9999)</f>
        <v>9999</v>
      </c>
      <c r="K159" s="84"/>
      <c r="L159" s="82"/>
      <c r="M159" s="85"/>
      <c r="N159" s="75">
        <f t="array" ref="N159">IFERROR(_xlfn.STDEV.P(IF(((B105:B149)=0)*((O105:O149)&lt;&gt;9999)*((O105:O149)&lt;&gt;0),O105:O149,"")),9999)</f>
        <v>9999</v>
      </c>
      <c r="O159" s="76">
        <f t="array" ref="O159">IFERROR(_xlfn.STDEV.P(IF(((B105:B149)=1)*((O105:O149)&lt;&gt;9999)*((O105:O149)&lt;&gt;0),O105:O149,"")),9999)</f>
        <v>9999</v>
      </c>
    </row>
  </sheetData>
  <sheetProtection selectLockedCells="1"/>
  <protectedRanges>
    <protectedRange password="C8CD" sqref="H8:M16 B17:M24" name="Bereik1_1" securityDescriptor="O:WDG:WDD:(A;;CC;;;BU)"/>
    <protectedRange sqref="H8:M16 B17:M24" name="Bereik2_1" securityDescriptor="O:WDG:WDD:(A;;CC;;;BU)"/>
    <protectedRange password="C8CD" sqref="B8:G16" name="Bereik1_1_1" securityDescriptor="O:WDG:WDD:(A;;CC;;;BU)"/>
    <protectedRange sqref="B8:G16" name="Bereik2_1_1" securityDescriptor="O:WDG:WDD:(A;;CC;;;BU)"/>
    <protectedRange password="C8CD" sqref="E2 C2" name="Bereik1_2" securityDescriptor="O:WDG:WDD:(A;;CC;;;BU)"/>
    <protectedRange sqref="E2 C2" name="Bereik2_2" securityDescriptor="O:WDG:WDD:(A;;CC;;;BU)"/>
    <protectedRange password="C8CD" sqref="B5:M7" name="Bereik1_2_1" securityDescriptor="O:WDG:WDD:(A;;CC;;;BU)"/>
    <protectedRange sqref="B5:M7" name="Bereik2_2_1" securityDescriptor="O:WDG:WDD:(A;;CC;;;BU)"/>
  </protectedRanges>
  <phoneticPr fontId="2" type="noConversion"/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SaveAs">
                <anchor moveWithCells="1" sizeWithCells="1">
                  <from>
                    <xdr:col>10</xdr:col>
                    <xdr:colOff>0</xdr:colOff>
                    <xdr:row>0</xdr:row>
                    <xdr:rowOff>66675</xdr:rowOff>
                  </from>
                  <to>
                    <xdr:col>11</xdr:col>
                    <xdr:colOff>466725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Y159"/>
  <sheetViews>
    <sheetView zoomScale="90" zoomScaleNormal="90" workbookViewId="0">
      <selection activeCell="C2" sqref="C2"/>
    </sheetView>
  </sheetViews>
  <sheetFormatPr defaultRowHeight="12.75" x14ac:dyDescent="0.2"/>
  <cols>
    <col min="2" max="2" width="9.140625" customWidth="1"/>
    <col min="6" max="6" width="10" bestFit="1" customWidth="1"/>
    <col min="9" max="9" width="10" bestFit="1" customWidth="1"/>
    <col min="10" max="10" width="11" bestFit="1" customWidth="1"/>
    <col min="15" max="18" width="9.42578125" bestFit="1" customWidth="1"/>
  </cols>
  <sheetData>
    <row r="1" spans="1:22" x14ac:dyDescent="0.2">
      <c r="A1" s="7" t="s">
        <v>1356</v>
      </c>
      <c r="C1" t="s">
        <v>0</v>
      </c>
      <c r="E1" t="s">
        <v>1</v>
      </c>
      <c r="G1" s="33" t="s">
        <v>1354</v>
      </c>
      <c r="H1" s="33"/>
      <c r="I1" s="33" t="s">
        <v>1362</v>
      </c>
      <c r="N1" s="33" t="s">
        <v>1357</v>
      </c>
      <c r="P1" s="33" t="s">
        <v>1358</v>
      </c>
      <c r="T1" s="7" t="s">
        <v>1385</v>
      </c>
      <c r="U1" s="7"/>
      <c r="V1" s="80">
        <v>9</v>
      </c>
    </row>
    <row r="2" spans="1:22" x14ac:dyDescent="0.2">
      <c r="A2" s="7" t="s">
        <v>1359</v>
      </c>
      <c r="C2" s="29"/>
      <c r="E2" s="29"/>
      <c r="G2" s="73">
        <f>Barefoot!G2</f>
        <v>0</v>
      </c>
      <c r="H2" s="13"/>
      <c r="I2" s="46"/>
      <c r="N2" s="72"/>
      <c r="P2" s="67"/>
    </row>
    <row r="3" spans="1:22" x14ac:dyDescent="0.2">
      <c r="E3" s="8"/>
      <c r="F3" s="8"/>
      <c r="H3" s="5"/>
      <c r="I3" s="5"/>
      <c r="J3" s="5"/>
      <c r="K3" s="5"/>
    </row>
    <row r="4" spans="1:22" x14ac:dyDescent="0.2">
      <c r="A4" s="1"/>
      <c r="B4" s="2" t="s">
        <v>11</v>
      </c>
      <c r="C4" s="2" t="s">
        <v>10</v>
      </c>
      <c r="D4" s="2" t="s">
        <v>13</v>
      </c>
      <c r="E4" s="5" t="s">
        <v>12</v>
      </c>
      <c r="F4" s="11" t="s">
        <v>3</v>
      </c>
      <c r="G4" s="15" t="s">
        <v>14</v>
      </c>
      <c r="H4" s="17" t="s">
        <v>15</v>
      </c>
      <c r="I4" s="16" t="s">
        <v>16</v>
      </c>
      <c r="J4" s="16" t="s">
        <v>17</v>
      </c>
      <c r="K4" s="16" t="s">
        <v>18</v>
      </c>
      <c r="L4" s="16" t="s">
        <v>19</v>
      </c>
      <c r="M4" s="15" t="s">
        <v>20</v>
      </c>
      <c r="N4" s="47" t="s">
        <v>756</v>
      </c>
      <c r="P4" t="s">
        <v>9</v>
      </c>
    </row>
    <row r="5" spans="1:22" x14ac:dyDescent="0.2">
      <c r="A5" s="4" t="s">
        <v>25</v>
      </c>
      <c r="B5" s="23"/>
      <c r="C5" s="23"/>
      <c r="D5" s="23"/>
      <c r="E5" s="23"/>
      <c r="F5" s="32"/>
      <c r="G5" s="23"/>
      <c r="H5" s="25"/>
      <c r="I5" s="23"/>
      <c r="J5" s="23"/>
      <c r="K5" s="23"/>
      <c r="L5" s="23"/>
      <c r="M5" s="24"/>
      <c r="N5" s="48"/>
    </row>
    <row r="6" spans="1:22" x14ac:dyDescent="0.2">
      <c r="A6" s="4" t="s">
        <v>26</v>
      </c>
      <c r="B6" s="23"/>
      <c r="C6" s="23"/>
      <c r="D6" s="23"/>
      <c r="E6" s="23"/>
      <c r="F6" s="32"/>
      <c r="G6" s="23"/>
      <c r="H6" s="25"/>
      <c r="I6" s="23"/>
      <c r="J6" s="23"/>
      <c r="K6" s="23"/>
      <c r="L6" s="23"/>
      <c r="M6" s="24"/>
      <c r="N6" s="48"/>
    </row>
    <row r="7" spans="1:22" x14ac:dyDescent="0.2">
      <c r="A7" s="4" t="s">
        <v>27</v>
      </c>
      <c r="B7" s="23"/>
      <c r="C7" s="23"/>
      <c r="D7" s="23"/>
      <c r="E7" s="23"/>
      <c r="F7" s="32"/>
      <c r="G7" s="23"/>
      <c r="H7" s="25"/>
      <c r="I7" s="23"/>
      <c r="J7" s="23"/>
      <c r="K7" s="23"/>
      <c r="L7" s="23"/>
      <c r="M7" s="24"/>
      <c r="N7" s="48"/>
    </row>
    <row r="8" spans="1:22" x14ac:dyDescent="0.2">
      <c r="A8" s="4" t="s">
        <v>28</v>
      </c>
      <c r="B8" s="23"/>
      <c r="C8" s="23"/>
      <c r="D8" s="23"/>
      <c r="E8" s="23"/>
      <c r="F8" s="32"/>
      <c r="G8" s="23"/>
      <c r="H8" s="25"/>
      <c r="I8" s="23"/>
      <c r="J8" s="23"/>
      <c r="K8" s="23"/>
      <c r="L8" s="23"/>
      <c r="M8" s="24"/>
      <c r="N8" s="48"/>
      <c r="S8" s="33"/>
      <c r="T8" s="33"/>
    </row>
    <row r="9" spans="1:22" x14ac:dyDescent="0.2">
      <c r="A9" s="4" t="s">
        <v>29</v>
      </c>
      <c r="B9" s="23"/>
      <c r="C9" s="23"/>
      <c r="D9" s="23"/>
      <c r="E9" s="23"/>
      <c r="F9" s="32"/>
      <c r="G9" s="23"/>
      <c r="H9" s="25"/>
      <c r="I9" s="23"/>
      <c r="J9" s="23"/>
      <c r="K9" s="23"/>
      <c r="L9" s="23"/>
      <c r="M9" s="24"/>
      <c r="N9" s="48"/>
    </row>
    <row r="10" spans="1:22" x14ac:dyDescent="0.2">
      <c r="A10" s="4" t="s">
        <v>30</v>
      </c>
      <c r="B10" s="23"/>
      <c r="C10" s="23"/>
      <c r="D10" s="23"/>
      <c r="E10" s="23"/>
      <c r="F10" s="32"/>
      <c r="G10" s="23"/>
      <c r="H10" s="25"/>
      <c r="I10" s="23"/>
      <c r="J10" s="23"/>
      <c r="K10" s="23"/>
      <c r="L10" s="23"/>
      <c r="M10" s="24"/>
      <c r="N10" s="48"/>
      <c r="O10" s="34"/>
    </row>
    <row r="11" spans="1:22" x14ac:dyDescent="0.2">
      <c r="A11" s="4" t="s">
        <v>31</v>
      </c>
      <c r="B11" s="23"/>
      <c r="C11" s="23"/>
      <c r="D11" s="23"/>
      <c r="E11" s="23"/>
      <c r="F11" s="32"/>
      <c r="G11" s="23"/>
      <c r="H11" s="25"/>
      <c r="I11" s="23"/>
      <c r="J11" s="23"/>
      <c r="K11" s="23"/>
      <c r="L11" s="23"/>
      <c r="M11" s="24"/>
      <c r="N11" s="48"/>
      <c r="O11" s="34"/>
    </row>
    <row r="12" spans="1:22" x14ac:dyDescent="0.2">
      <c r="A12" s="9" t="s">
        <v>32</v>
      </c>
      <c r="B12" s="23"/>
      <c r="C12" s="23"/>
      <c r="D12" s="23"/>
      <c r="E12" s="23"/>
      <c r="F12" s="32"/>
      <c r="G12" s="23"/>
      <c r="H12" s="25"/>
      <c r="I12" s="23"/>
      <c r="J12" s="23"/>
      <c r="K12" s="23"/>
      <c r="L12" s="23"/>
      <c r="M12" s="24"/>
      <c r="N12" s="48"/>
      <c r="O12" s="34"/>
    </row>
    <row r="13" spans="1:22" x14ac:dyDescent="0.2">
      <c r="A13" s="9" t="s">
        <v>33</v>
      </c>
      <c r="B13" s="23"/>
      <c r="C13" s="23"/>
      <c r="D13" s="23"/>
      <c r="E13" s="23"/>
      <c r="F13" s="32"/>
      <c r="G13" s="23"/>
      <c r="H13" s="25"/>
      <c r="I13" s="23"/>
      <c r="J13" s="23"/>
      <c r="K13" s="23"/>
      <c r="L13" s="23"/>
      <c r="M13" s="24"/>
      <c r="N13" s="48"/>
    </row>
    <row r="14" spans="1:22" x14ac:dyDescent="0.2">
      <c r="A14" s="9" t="s">
        <v>34</v>
      </c>
      <c r="B14" s="23"/>
      <c r="C14" s="23"/>
      <c r="D14" s="23"/>
      <c r="E14" s="23"/>
      <c r="F14" s="32"/>
      <c r="G14" s="23"/>
      <c r="H14" s="25"/>
      <c r="I14" s="23"/>
      <c r="J14" s="23"/>
      <c r="K14" s="23"/>
      <c r="L14" s="23"/>
      <c r="M14" s="24"/>
      <c r="N14" s="48"/>
    </row>
    <row r="15" spans="1:22" x14ac:dyDescent="0.2">
      <c r="A15" s="9" t="s">
        <v>35</v>
      </c>
      <c r="B15" s="23"/>
      <c r="C15" s="23"/>
      <c r="D15" s="23"/>
      <c r="E15" s="23"/>
      <c r="F15" s="32"/>
      <c r="G15" s="23"/>
      <c r="H15" s="25"/>
      <c r="I15" s="23"/>
      <c r="J15" s="23"/>
      <c r="K15" s="23"/>
      <c r="L15" s="23"/>
      <c r="M15" s="24"/>
      <c r="N15" s="48"/>
    </row>
    <row r="16" spans="1:22" x14ac:dyDescent="0.2">
      <c r="A16" s="9" t="s">
        <v>36</v>
      </c>
      <c r="B16" s="23"/>
      <c r="C16" s="23"/>
      <c r="D16" s="23"/>
      <c r="E16" s="23"/>
      <c r="F16" s="32"/>
      <c r="G16" s="23"/>
      <c r="H16" s="25"/>
      <c r="I16" s="23"/>
      <c r="J16" s="23"/>
      <c r="K16" s="23"/>
      <c r="L16" s="23"/>
      <c r="M16" s="24"/>
      <c r="N16" s="48"/>
    </row>
    <row r="17" spans="1:25" x14ac:dyDescent="0.2">
      <c r="A17" s="9" t="s">
        <v>37</v>
      </c>
      <c r="B17" s="23"/>
      <c r="C17" s="23"/>
      <c r="D17" s="23"/>
      <c r="E17" s="23"/>
      <c r="F17" s="32"/>
      <c r="G17" s="23"/>
      <c r="H17" s="25"/>
      <c r="I17" s="23"/>
      <c r="J17" s="23"/>
      <c r="K17" s="23"/>
      <c r="L17" s="23"/>
      <c r="M17" s="24"/>
      <c r="N17" s="48"/>
    </row>
    <row r="18" spans="1:25" x14ac:dyDescent="0.2">
      <c r="A18" s="9" t="s">
        <v>38</v>
      </c>
      <c r="B18" s="23"/>
      <c r="C18" s="23"/>
      <c r="D18" s="23"/>
      <c r="E18" s="23"/>
      <c r="F18" s="32"/>
      <c r="G18" s="23"/>
      <c r="H18" s="25"/>
      <c r="I18" s="23"/>
      <c r="J18" s="23"/>
      <c r="K18" s="23"/>
      <c r="L18" s="23"/>
      <c r="M18" s="24"/>
      <c r="N18" s="48"/>
    </row>
    <row r="19" spans="1:25" x14ac:dyDescent="0.2">
      <c r="A19" s="9" t="s">
        <v>39</v>
      </c>
      <c r="B19" s="23"/>
      <c r="C19" s="23"/>
      <c r="D19" s="23"/>
      <c r="E19" s="23"/>
      <c r="F19" s="32"/>
      <c r="G19" s="23"/>
      <c r="H19" s="25"/>
      <c r="I19" s="23"/>
      <c r="J19" s="23"/>
      <c r="K19" s="23"/>
      <c r="L19" s="23"/>
      <c r="M19" s="24"/>
      <c r="N19" s="48"/>
    </row>
    <row r="20" spans="1:25" x14ac:dyDescent="0.2">
      <c r="A20" s="9" t="s">
        <v>40</v>
      </c>
      <c r="B20" s="23"/>
      <c r="C20" s="23"/>
      <c r="D20" s="23"/>
      <c r="E20" s="23"/>
      <c r="F20" s="32"/>
      <c r="G20" s="23"/>
      <c r="H20" s="25"/>
      <c r="I20" s="23"/>
      <c r="J20" s="23"/>
      <c r="K20" s="23"/>
      <c r="L20" s="23"/>
      <c r="M20" s="24"/>
      <c r="N20" s="48"/>
    </row>
    <row r="21" spans="1:25" x14ac:dyDescent="0.2">
      <c r="A21" s="9" t="s">
        <v>41</v>
      </c>
      <c r="B21" s="23"/>
      <c r="C21" s="23"/>
      <c r="D21" s="23"/>
      <c r="E21" s="23"/>
      <c r="F21" s="32"/>
      <c r="G21" s="23"/>
      <c r="H21" s="25"/>
      <c r="I21" s="23"/>
      <c r="J21" s="23"/>
      <c r="K21" s="23"/>
      <c r="L21" s="23"/>
      <c r="M21" s="24"/>
      <c r="N21" s="48"/>
    </row>
    <row r="22" spans="1:25" x14ac:dyDescent="0.2">
      <c r="A22" s="9" t="s">
        <v>42</v>
      </c>
      <c r="B22" s="23"/>
      <c r="C22" s="23"/>
      <c r="D22" s="23"/>
      <c r="E22" s="23"/>
      <c r="F22" s="32"/>
      <c r="G22" s="23"/>
      <c r="H22" s="25"/>
      <c r="I22" s="23"/>
      <c r="J22" s="23"/>
      <c r="K22" s="23"/>
      <c r="L22" s="23"/>
      <c r="M22" s="24"/>
      <c r="N22" s="48"/>
    </row>
    <row r="23" spans="1:25" x14ac:dyDescent="0.2">
      <c r="A23" s="9" t="s">
        <v>43</v>
      </c>
      <c r="B23" s="23"/>
      <c r="C23" s="23"/>
      <c r="D23" s="23"/>
      <c r="E23" s="23"/>
      <c r="F23" s="32"/>
      <c r="G23" s="23"/>
      <c r="H23" s="25"/>
      <c r="I23" s="23"/>
      <c r="J23" s="23"/>
      <c r="K23" s="23"/>
      <c r="L23" s="23"/>
      <c r="M23" s="24"/>
      <c r="N23" s="48"/>
    </row>
    <row r="24" spans="1:25" x14ac:dyDescent="0.2">
      <c r="A24" s="10" t="s">
        <v>44</v>
      </c>
      <c r="B24" s="26"/>
      <c r="C24" s="26"/>
      <c r="D24" s="26"/>
      <c r="E24" s="26"/>
      <c r="F24" s="43"/>
      <c r="G24" s="26"/>
      <c r="H24" s="28"/>
      <c r="I24" s="26"/>
      <c r="J24" s="26"/>
      <c r="K24" s="26"/>
      <c r="L24" s="26"/>
      <c r="M24" s="27"/>
      <c r="N24" s="49"/>
    </row>
    <row r="26" spans="1:25" x14ac:dyDescent="0.2">
      <c r="A26" s="18" t="s">
        <v>6</v>
      </c>
      <c r="E26" s="8"/>
      <c r="G26" s="33"/>
    </row>
    <row r="27" spans="1:25" x14ac:dyDescent="0.2">
      <c r="A27" s="36" t="s">
        <v>74</v>
      </c>
      <c r="B27" s="2"/>
      <c r="C27" s="2"/>
      <c r="D27" s="2"/>
      <c r="E27" s="3"/>
      <c r="G27" s="35" t="s">
        <v>73</v>
      </c>
      <c r="H27" s="2"/>
      <c r="I27" s="2"/>
      <c r="J27" s="3"/>
      <c r="L27" s="1" t="s">
        <v>2</v>
      </c>
      <c r="M27" s="2"/>
      <c r="N27" s="2"/>
      <c r="O27" s="3"/>
      <c r="P27" s="5"/>
      <c r="Q27" s="36" t="s">
        <v>76</v>
      </c>
      <c r="R27" s="2"/>
      <c r="S27" s="2"/>
      <c r="T27" s="3"/>
      <c r="V27" s="36" t="s">
        <v>757</v>
      </c>
      <c r="W27" s="50"/>
    </row>
    <row r="28" spans="1:25" x14ac:dyDescent="0.2">
      <c r="A28" s="4"/>
      <c r="B28" s="5"/>
      <c r="C28" s="5"/>
      <c r="D28" s="5"/>
      <c r="E28" s="6"/>
      <c r="G28" s="4"/>
      <c r="H28" s="5"/>
      <c r="I28" s="5"/>
      <c r="J28" s="6"/>
      <c r="L28" s="4"/>
      <c r="M28" s="5"/>
      <c r="N28" s="5"/>
      <c r="O28" s="6"/>
      <c r="P28" s="5"/>
      <c r="Q28" s="4"/>
      <c r="R28" s="5"/>
      <c r="S28" s="5"/>
      <c r="T28" s="6"/>
      <c r="V28" s="4"/>
      <c r="W28" s="6"/>
      <c r="Y28" s="30"/>
    </row>
    <row r="29" spans="1:25" x14ac:dyDescent="0.2">
      <c r="A29" s="4"/>
      <c r="B29" s="19" t="s">
        <v>3</v>
      </c>
      <c r="C29" s="5"/>
      <c r="D29" s="5"/>
      <c r="E29" s="20" t="s">
        <v>4</v>
      </c>
      <c r="G29" s="4"/>
      <c r="H29" s="5"/>
      <c r="I29" s="5"/>
      <c r="J29" s="20" t="s">
        <v>5</v>
      </c>
      <c r="L29" s="4"/>
      <c r="M29" s="5"/>
      <c r="N29" s="5"/>
      <c r="O29" s="20" t="s">
        <v>5</v>
      </c>
      <c r="P29" s="11"/>
      <c r="Q29" s="4"/>
      <c r="R29" s="5"/>
      <c r="S29" s="5"/>
      <c r="T29" s="20" t="s">
        <v>5</v>
      </c>
      <c r="V29" s="4"/>
      <c r="W29" s="6"/>
    </row>
    <row r="30" spans="1:25" x14ac:dyDescent="0.2">
      <c r="A30" s="4" t="s">
        <v>25</v>
      </c>
      <c r="B30" s="19">
        <f>IF(F5="",9999,F5)</f>
        <v>9999</v>
      </c>
      <c r="C30" s="11">
        <f>IF(C5="na","na",IF(C5&gt;E5,C5/10,IF(E5="na","na",E5/10)))</f>
        <v>0</v>
      </c>
      <c r="D30" s="11">
        <f>IF(E5="na","na",IF(C5&gt;E5,E5/10,IF(C5="na","na",C5/10)))</f>
        <v>0</v>
      </c>
      <c r="E30" s="20">
        <f>IF(ISERROR(C30-D30),9999,IF(OR(C30=0,D30=0),9999,IF(SUM(C30-D30)&lt;=0,9999,SUM(C30-D30))))</f>
        <v>9999</v>
      </c>
      <c r="G30" s="4" t="s">
        <v>25</v>
      </c>
      <c r="H30" s="11">
        <f t="shared" ref="H30:H49" si="0">B5</f>
        <v>0</v>
      </c>
      <c r="I30" s="11">
        <f t="shared" ref="I30:I49" si="1">D5</f>
        <v>0</v>
      </c>
      <c r="J30" s="20">
        <f>IF(ISERROR(I30-H30),9999,IF(OR(H30=0,I30=0),9999,IF(SUM(I30-H30)&lt;=0,9999,SUM(I30-H30))))</f>
        <v>9999</v>
      </c>
      <c r="L30" s="4" t="s">
        <v>25</v>
      </c>
      <c r="M30" s="11">
        <f t="shared" ref="M30:M49" si="2">G5</f>
        <v>0</v>
      </c>
      <c r="N30" s="11">
        <f t="shared" ref="N30:N49" si="3">D5</f>
        <v>0</v>
      </c>
      <c r="O30" s="20">
        <f>IF(ISERROR(M30-N30),9999,IF(OR(M30=0,N30=0),9999,IF(SUM(M30-N30)&lt;=0,9999,SUM(M30-N30))))</f>
        <v>9999</v>
      </c>
      <c r="P30" s="13"/>
      <c r="Q30" s="4" t="s">
        <v>25</v>
      </c>
      <c r="R30" s="11">
        <f>G5</f>
        <v>0</v>
      </c>
      <c r="S30" s="11">
        <f>B5</f>
        <v>0</v>
      </c>
      <c r="T30" s="20">
        <f>IF(ISERROR(R30-S30),9999,IF(OR(R30=0,S30=0),9999,IF(SUM(R30-S30)&lt;=0,9999,SUM(R30-S30))))</f>
        <v>9999</v>
      </c>
      <c r="V30" s="4" t="s">
        <v>25</v>
      </c>
      <c r="W30" s="20">
        <f>IF(N5="",9999,N5)</f>
        <v>9999</v>
      </c>
    </row>
    <row r="31" spans="1:25" x14ac:dyDescent="0.2">
      <c r="A31" s="4" t="s">
        <v>26</v>
      </c>
      <c r="B31" s="19">
        <f>IF(F6="",9999,F6)</f>
        <v>9999</v>
      </c>
      <c r="C31" s="11">
        <f t="shared" ref="C31:C49" si="4">IF(C6="na","na",IF(C6&gt;E6,C6/10,IF(E6="na","na",E6/10)))</f>
        <v>0</v>
      </c>
      <c r="D31" s="11">
        <f t="shared" ref="D31:D49" si="5">IF(E6="na","na",IF(C6&gt;E6,E6/10,IF(C6="na","na",C6/10)))</f>
        <v>0</v>
      </c>
      <c r="E31" s="20">
        <f t="shared" ref="E31:E49" si="6">IF(ISERROR(C31-D31),9999,IF(OR(C31=0,D31=0),9999,IF(SUM(C31-D31)&lt;=0,9999,SUM(C31-D31))))</f>
        <v>9999</v>
      </c>
      <c r="G31" s="4" t="s">
        <v>26</v>
      </c>
      <c r="H31" s="11">
        <f t="shared" si="0"/>
        <v>0</v>
      </c>
      <c r="I31" s="11">
        <f t="shared" si="1"/>
        <v>0</v>
      </c>
      <c r="J31" s="20">
        <f t="shared" ref="J31:J49" si="7">IF(ISERROR(I31-H31),9999,IF(OR(H31=0,I31=0),9999,IF(SUM(I31-H31)&lt;=0,9999,SUM(I31-H31))))</f>
        <v>9999</v>
      </c>
      <c r="L31" s="4" t="s">
        <v>26</v>
      </c>
      <c r="M31" s="11">
        <f t="shared" si="2"/>
        <v>0</v>
      </c>
      <c r="N31" s="11">
        <f t="shared" si="3"/>
        <v>0</v>
      </c>
      <c r="O31" s="20">
        <f t="shared" ref="O31:O49" si="8">IF(ISERROR(M31-N31),9999,IF(OR(M31=0,N31=0),9999,IF(SUM(M31-N31)&lt;=0,9999,SUM(M31-N31))))</f>
        <v>9999</v>
      </c>
      <c r="P31" s="13"/>
      <c r="Q31" s="4" t="s">
        <v>26</v>
      </c>
      <c r="R31" s="11">
        <f t="shared" ref="R31:R49" si="9">G6</f>
        <v>0</v>
      </c>
      <c r="S31" s="11">
        <f t="shared" ref="S31:S49" si="10">B6</f>
        <v>0</v>
      </c>
      <c r="T31" s="20">
        <f t="shared" ref="T31:T49" si="11">IF(ISERROR(R31-S31),9999,IF(OR(R31=0,S31=0),9999,IF(SUM(R31-S31)&lt;=0,9999,SUM(R31-S31))))</f>
        <v>9999</v>
      </c>
      <c r="V31" s="4" t="s">
        <v>26</v>
      </c>
      <c r="W31" s="20">
        <f t="shared" ref="W31:W49" si="12">IF(N6="",9999,N6)</f>
        <v>9999</v>
      </c>
      <c r="Y31" s="37"/>
    </row>
    <row r="32" spans="1:25" x14ac:dyDescent="0.2">
      <c r="A32" s="4" t="s">
        <v>27</v>
      </c>
      <c r="B32" s="19">
        <f t="shared" ref="B32:B49" si="13">IF(F7="",9999,F7)</f>
        <v>9999</v>
      </c>
      <c r="C32" s="11">
        <f t="shared" si="4"/>
        <v>0</v>
      </c>
      <c r="D32" s="11">
        <f t="shared" si="5"/>
        <v>0</v>
      </c>
      <c r="E32" s="20">
        <f t="shared" si="6"/>
        <v>9999</v>
      </c>
      <c r="G32" s="4" t="s">
        <v>27</v>
      </c>
      <c r="H32" s="11">
        <f t="shared" si="0"/>
        <v>0</v>
      </c>
      <c r="I32" s="11">
        <f t="shared" si="1"/>
        <v>0</v>
      </c>
      <c r="J32" s="20">
        <f t="shared" si="7"/>
        <v>9999</v>
      </c>
      <c r="L32" s="4" t="s">
        <v>27</v>
      </c>
      <c r="M32" s="11">
        <f t="shared" si="2"/>
        <v>0</v>
      </c>
      <c r="N32" s="11">
        <f t="shared" si="3"/>
        <v>0</v>
      </c>
      <c r="O32" s="20">
        <f t="shared" si="8"/>
        <v>9999</v>
      </c>
      <c r="P32" s="13"/>
      <c r="Q32" s="4" t="s">
        <v>27</v>
      </c>
      <c r="R32" s="11">
        <f t="shared" si="9"/>
        <v>0</v>
      </c>
      <c r="S32" s="11">
        <f t="shared" si="10"/>
        <v>0</v>
      </c>
      <c r="T32" s="20">
        <f t="shared" si="11"/>
        <v>9999</v>
      </c>
      <c r="V32" s="4" t="s">
        <v>27</v>
      </c>
      <c r="W32" s="20">
        <f t="shared" si="12"/>
        <v>9999</v>
      </c>
    </row>
    <row r="33" spans="1:23" x14ac:dyDescent="0.2">
      <c r="A33" s="4" t="s">
        <v>28</v>
      </c>
      <c r="B33" s="19">
        <f t="shared" si="13"/>
        <v>9999</v>
      </c>
      <c r="C33" s="11">
        <f t="shared" si="4"/>
        <v>0</v>
      </c>
      <c r="D33" s="11">
        <f t="shared" si="5"/>
        <v>0</v>
      </c>
      <c r="E33" s="20">
        <f t="shared" si="6"/>
        <v>9999</v>
      </c>
      <c r="G33" s="4" t="s">
        <v>28</v>
      </c>
      <c r="H33" s="11">
        <f t="shared" si="0"/>
        <v>0</v>
      </c>
      <c r="I33" s="11">
        <f t="shared" si="1"/>
        <v>0</v>
      </c>
      <c r="J33" s="20">
        <f t="shared" si="7"/>
        <v>9999</v>
      </c>
      <c r="L33" s="4" t="s">
        <v>28</v>
      </c>
      <c r="M33" s="11">
        <f t="shared" si="2"/>
        <v>0</v>
      </c>
      <c r="N33" s="11">
        <f t="shared" si="3"/>
        <v>0</v>
      </c>
      <c r="O33" s="20">
        <f t="shared" si="8"/>
        <v>9999</v>
      </c>
      <c r="P33" s="13"/>
      <c r="Q33" s="4" t="s">
        <v>28</v>
      </c>
      <c r="R33" s="11">
        <f t="shared" si="9"/>
        <v>0</v>
      </c>
      <c r="S33" s="11">
        <f t="shared" si="10"/>
        <v>0</v>
      </c>
      <c r="T33" s="20">
        <f t="shared" si="11"/>
        <v>9999</v>
      </c>
      <c r="V33" s="4" t="s">
        <v>28</v>
      </c>
      <c r="W33" s="20">
        <f t="shared" si="12"/>
        <v>9999</v>
      </c>
    </row>
    <row r="34" spans="1:23" x14ac:dyDescent="0.2">
      <c r="A34" s="4" t="s">
        <v>29</v>
      </c>
      <c r="B34" s="19">
        <f t="shared" si="13"/>
        <v>9999</v>
      </c>
      <c r="C34" s="11">
        <f t="shared" si="4"/>
        <v>0</v>
      </c>
      <c r="D34" s="11">
        <f t="shared" si="5"/>
        <v>0</v>
      </c>
      <c r="E34" s="20">
        <f t="shared" si="6"/>
        <v>9999</v>
      </c>
      <c r="G34" s="4" t="s">
        <v>29</v>
      </c>
      <c r="H34" s="11">
        <f t="shared" si="0"/>
        <v>0</v>
      </c>
      <c r="I34" s="11">
        <f t="shared" si="1"/>
        <v>0</v>
      </c>
      <c r="J34" s="20">
        <f t="shared" si="7"/>
        <v>9999</v>
      </c>
      <c r="L34" s="4" t="s">
        <v>29</v>
      </c>
      <c r="M34" s="11">
        <f t="shared" si="2"/>
        <v>0</v>
      </c>
      <c r="N34" s="11">
        <f t="shared" si="3"/>
        <v>0</v>
      </c>
      <c r="O34" s="20">
        <f t="shared" si="8"/>
        <v>9999</v>
      </c>
      <c r="P34" s="13"/>
      <c r="Q34" s="4" t="s">
        <v>29</v>
      </c>
      <c r="R34" s="11">
        <f t="shared" si="9"/>
        <v>0</v>
      </c>
      <c r="S34" s="11">
        <f t="shared" si="10"/>
        <v>0</v>
      </c>
      <c r="T34" s="20">
        <f t="shared" si="11"/>
        <v>9999</v>
      </c>
      <c r="V34" s="4" t="s">
        <v>29</v>
      </c>
      <c r="W34" s="20">
        <f t="shared" si="12"/>
        <v>9999</v>
      </c>
    </row>
    <row r="35" spans="1:23" x14ac:dyDescent="0.2">
      <c r="A35" s="4" t="s">
        <v>30</v>
      </c>
      <c r="B35" s="19">
        <f t="shared" si="13"/>
        <v>9999</v>
      </c>
      <c r="C35" s="11">
        <f t="shared" si="4"/>
        <v>0</v>
      </c>
      <c r="D35" s="11">
        <f t="shared" si="5"/>
        <v>0</v>
      </c>
      <c r="E35" s="20">
        <f t="shared" si="6"/>
        <v>9999</v>
      </c>
      <c r="G35" s="4" t="s">
        <v>30</v>
      </c>
      <c r="H35" s="11">
        <f t="shared" si="0"/>
        <v>0</v>
      </c>
      <c r="I35" s="11">
        <f t="shared" si="1"/>
        <v>0</v>
      </c>
      <c r="J35" s="20">
        <f t="shared" si="7"/>
        <v>9999</v>
      </c>
      <c r="L35" s="4" t="s">
        <v>30</v>
      </c>
      <c r="M35" s="11">
        <f t="shared" si="2"/>
        <v>0</v>
      </c>
      <c r="N35" s="11">
        <f t="shared" si="3"/>
        <v>0</v>
      </c>
      <c r="O35" s="20">
        <f t="shared" si="8"/>
        <v>9999</v>
      </c>
      <c r="P35" s="13"/>
      <c r="Q35" s="4" t="s">
        <v>30</v>
      </c>
      <c r="R35" s="11">
        <f t="shared" si="9"/>
        <v>0</v>
      </c>
      <c r="S35" s="11">
        <f t="shared" si="10"/>
        <v>0</v>
      </c>
      <c r="T35" s="20">
        <f t="shared" si="11"/>
        <v>9999</v>
      </c>
      <c r="V35" s="4" t="s">
        <v>30</v>
      </c>
      <c r="W35" s="20">
        <f t="shared" si="12"/>
        <v>9999</v>
      </c>
    </row>
    <row r="36" spans="1:23" x14ac:dyDescent="0.2">
      <c r="A36" s="4" t="s">
        <v>31</v>
      </c>
      <c r="B36" s="19">
        <f t="shared" si="13"/>
        <v>9999</v>
      </c>
      <c r="C36" s="11">
        <f t="shared" si="4"/>
        <v>0</v>
      </c>
      <c r="D36" s="11">
        <f t="shared" si="5"/>
        <v>0</v>
      </c>
      <c r="E36" s="20">
        <f t="shared" si="6"/>
        <v>9999</v>
      </c>
      <c r="G36" s="4" t="s">
        <v>31</v>
      </c>
      <c r="H36" s="11">
        <f t="shared" si="0"/>
        <v>0</v>
      </c>
      <c r="I36" s="11">
        <f t="shared" si="1"/>
        <v>0</v>
      </c>
      <c r="J36" s="20">
        <f t="shared" si="7"/>
        <v>9999</v>
      </c>
      <c r="L36" s="4" t="s">
        <v>31</v>
      </c>
      <c r="M36" s="11">
        <f t="shared" si="2"/>
        <v>0</v>
      </c>
      <c r="N36" s="11">
        <f t="shared" si="3"/>
        <v>0</v>
      </c>
      <c r="O36" s="20">
        <f t="shared" si="8"/>
        <v>9999</v>
      </c>
      <c r="P36" s="13"/>
      <c r="Q36" s="4" t="s">
        <v>31</v>
      </c>
      <c r="R36" s="11">
        <f t="shared" si="9"/>
        <v>0</v>
      </c>
      <c r="S36" s="11">
        <f t="shared" si="10"/>
        <v>0</v>
      </c>
      <c r="T36" s="20">
        <f t="shared" si="11"/>
        <v>9999</v>
      </c>
      <c r="V36" s="4" t="s">
        <v>31</v>
      </c>
      <c r="W36" s="20">
        <f t="shared" si="12"/>
        <v>9999</v>
      </c>
    </row>
    <row r="37" spans="1:23" x14ac:dyDescent="0.2">
      <c r="A37" s="9" t="s">
        <v>32</v>
      </c>
      <c r="B37" s="19">
        <f t="shared" si="13"/>
        <v>9999</v>
      </c>
      <c r="C37" s="11">
        <f t="shared" si="4"/>
        <v>0</v>
      </c>
      <c r="D37" s="11">
        <f t="shared" si="5"/>
        <v>0</v>
      </c>
      <c r="E37" s="20">
        <f t="shared" si="6"/>
        <v>9999</v>
      </c>
      <c r="G37" s="9" t="s">
        <v>32</v>
      </c>
      <c r="H37" s="11">
        <f t="shared" si="0"/>
        <v>0</v>
      </c>
      <c r="I37" s="11">
        <f t="shared" si="1"/>
        <v>0</v>
      </c>
      <c r="J37" s="20">
        <f t="shared" si="7"/>
        <v>9999</v>
      </c>
      <c r="L37" s="9" t="s">
        <v>32</v>
      </c>
      <c r="M37" s="11">
        <f t="shared" si="2"/>
        <v>0</v>
      </c>
      <c r="N37" s="11">
        <f t="shared" si="3"/>
        <v>0</v>
      </c>
      <c r="O37" s="20">
        <f t="shared" si="8"/>
        <v>9999</v>
      </c>
      <c r="P37" s="13"/>
      <c r="Q37" s="9" t="s">
        <v>32</v>
      </c>
      <c r="R37" s="11">
        <f t="shared" si="9"/>
        <v>0</v>
      </c>
      <c r="S37" s="11">
        <f t="shared" si="10"/>
        <v>0</v>
      </c>
      <c r="T37" s="20">
        <f t="shared" si="11"/>
        <v>9999</v>
      </c>
      <c r="V37" s="9" t="s">
        <v>32</v>
      </c>
      <c r="W37" s="20">
        <f t="shared" si="12"/>
        <v>9999</v>
      </c>
    </row>
    <row r="38" spans="1:23" x14ac:dyDescent="0.2">
      <c r="A38" s="9" t="s">
        <v>33</v>
      </c>
      <c r="B38" s="19">
        <f t="shared" si="13"/>
        <v>9999</v>
      </c>
      <c r="C38" s="11">
        <f t="shared" si="4"/>
        <v>0</v>
      </c>
      <c r="D38" s="11">
        <f t="shared" si="5"/>
        <v>0</v>
      </c>
      <c r="E38" s="20">
        <f t="shared" si="6"/>
        <v>9999</v>
      </c>
      <c r="G38" s="9" t="s">
        <v>33</v>
      </c>
      <c r="H38" s="11">
        <f t="shared" si="0"/>
        <v>0</v>
      </c>
      <c r="I38" s="11">
        <f t="shared" si="1"/>
        <v>0</v>
      </c>
      <c r="J38" s="20">
        <f t="shared" si="7"/>
        <v>9999</v>
      </c>
      <c r="L38" s="9" t="s">
        <v>33</v>
      </c>
      <c r="M38" s="11">
        <f t="shared" si="2"/>
        <v>0</v>
      </c>
      <c r="N38" s="11">
        <f t="shared" si="3"/>
        <v>0</v>
      </c>
      <c r="O38" s="20">
        <f t="shared" si="8"/>
        <v>9999</v>
      </c>
      <c r="P38" s="13"/>
      <c r="Q38" s="9" t="s">
        <v>33</v>
      </c>
      <c r="R38" s="11">
        <f t="shared" si="9"/>
        <v>0</v>
      </c>
      <c r="S38" s="11">
        <f t="shared" si="10"/>
        <v>0</v>
      </c>
      <c r="T38" s="20">
        <f t="shared" si="11"/>
        <v>9999</v>
      </c>
      <c r="V38" s="9" t="s">
        <v>33</v>
      </c>
      <c r="W38" s="20">
        <f t="shared" si="12"/>
        <v>9999</v>
      </c>
    </row>
    <row r="39" spans="1:23" x14ac:dyDescent="0.2">
      <c r="A39" s="9" t="s">
        <v>34</v>
      </c>
      <c r="B39" s="19">
        <f t="shared" si="13"/>
        <v>9999</v>
      </c>
      <c r="C39" s="11">
        <f t="shared" si="4"/>
        <v>0</v>
      </c>
      <c r="D39" s="11">
        <f t="shared" si="5"/>
        <v>0</v>
      </c>
      <c r="E39" s="20">
        <f t="shared" si="6"/>
        <v>9999</v>
      </c>
      <c r="G39" s="9" t="s">
        <v>34</v>
      </c>
      <c r="H39" s="11">
        <f t="shared" si="0"/>
        <v>0</v>
      </c>
      <c r="I39" s="11">
        <f t="shared" si="1"/>
        <v>0</v>
      </c>
      <c r="J39" s="20">
        <f t="shared" si="7"/>
        <v>9999</v>
      </c>
      <c r="L39" s="9" t="s">
        <v>34</v>
      </c>
      <c r="M39" s="11">
        <f t="shared" si="2"/>
        <v>0</v>
      </c>
      <c r="N39" s="11">
        <f t="shared" si="3"/>
        <v>0</v>
      </c>
      <c r="O39" s="20">
        <f t="shared" si="8"/>
        <v>9999</v>
      </c>
      <c r="P39" s="13"/>
      <c r="Q39" s="9" t="s">
        <v>34</v>
      </c>
      <c r="R39" s="11">
        <f t="shared" si="9"/>
        <v>0</v>
      </c>
      <c r="S39" s="11">
        <f t="shared" si="10"/>
        <v>0</v>
      </c>
      <c r="T39" s="20">
        <f t="shared" si="11"/>
        <v>9999</v>
      </c>
      <c r="V39" s="9" t="s">
        <v>34</v>
      </c>
      <c r="W39" s="20">
        <f t="shared" si="12"/>
        <v>9999</v>
      </c>
    </row>
    <row r="40" spans="1:23" x14ac:dyDescent="0.2">
      <c r="A40" s="9" t="s">
        <v>35</v>
      </c>
      <c r="B40" s="19">
        <f t="shared" si="13"/>
        <v>9999</v>
      </c>
      <c r="C40" s="11">
        <f t="shared" si="4"/>
        <v>0</v>
      </c>
      <c r="D40" s="11">
        <f t="shared" si="5"/>
        <v>0</v>
      </c>
      <c r="E40" s="20">
        <f t="shared" si="6"/>
        <v>9999</v>
      </c>
      <c r="G40" s="9" t="s">
        <v>35</v>
      </c>
      <c r="H40" s="11">
        <f t="shared" si="0"/>
        <v>0</v>
      </c>
      <c r="I40" s="11">
        <f t="shared" si="1"/>
        <v>0</v>
      </c>
      <c r="J40" s="20">
        <f t="shared" si="7"/>
        <v>9999</v>
      </c>
      <c r="L40" s="9" t="s">
        <v>35</v>
      </c>
      <c r="M40" s="11">
        <f t="shared" si="2"/>
        <v>0</v>
      </c>
      <c r="N40" s="11">
        <f t="shared" si="3"/>
        <v>0</v>
      </c>
      <c r="O40" s="20">
        <f t="shared" si="8"/>
        <v>9999</v>
      </c>
      <c r="P40" s="13"/>
      <c r="Q40" s="9" t="s">
        <v>35</v>
      </c>
      <c r="R40" s="11">
        <f t="shared" si="9"/>
        <v>0</v>
      </c>
      <c r="S40" s="11">
        <f t="shared" si="10"/>
        <v>0</v>
      </c>
      <c r="T40" s="20">
        <f t="shared" si="11"/>
        <v>9999</v>
      </c>
      <c r="V40" s="9" t="s">
        <v>35</v>
      </c>
      <c r="W40" s="20">
        <f t="shared" si="12"/>
        <v>9999</v>
      </c>
    </row>
    <row r="41" spans="1:23" x14ac:dyDescent="0.2">
      <c r="A41" s="9" t="s">
        <v>36</v>
      </c>
      <c r="B41" s="19">
        <f t="shared" si="13"/>
        <v>9999</v>
      </c>
      <c r="C41" s="11">
        <f t="shared" si="4"/>
        <v>0</v>
      </c>
      <c r="D41" s="11">
        <f t="shared" si="5"/>
        <v>0</v>
      </c>
      <c r="E41" s="20">
        <f t="shared" si="6"/>
        <v>9999</v>
      </c>
      <c r="G41" s="9" t="s">
        <v>36</v>
      </c>
      <c r="H41" s="11">
        <f t="shared" si="0"/>
        <v>0</v>
      </c>
      <c r="I41" s="11">
        <f t="shared" si="1"/>
        <v>0</v>
      </c>
      <c r="J41" s="20">
        <f t="shared" si="7"/>
        <v>9999</v>
      </c>
      <c r="L41" s="9" t="s">
        <v>36</v>
      </c>
      <c r="M41" s="11">
        <f t="shared" si="2"/>
        <v>0</v>
      </c>
      <c r="N41" s="11">
        <f t="shared" si="3"/>
        <v>0</v>
      </c>
      <c r="O41" s="20">
        <f t="shared" si="8"/>
        <v>9999</v>
      </c>
      <c r="P41" s="13"/>
      <c r="Q41" s="9" t="s">
        <v>36</v>
      </c>
      <c r="R41" s="11">
        <f t="shared" si="9"/>
        <v>0</v>
      </c>
      <c r="S41" s="11">
        <f t="shared" si="10"/>
        <v>0</v>
      </c>
      <c r="T41" s="20">
        <f t="shared" si="11"/>
        <v>9999</v>
      </c>
      <c r="V41" s="9" t="s">
        <v>36</v>
      </c>
      <c r="W41" s="20">
        <f t="shared" si="12"/>
        <v>9999</v>
      </c>
    </row>
    <row r="42" spans="1:23" x14ac:dyDescent="0.2">
      <c r="A42" s="4" t="s">
        <v>37</v>
      </c>
      <c r="B42" s="19">
        <f t="shared" si="13"/>
        <v>9999</v>
      </c>
      <c r="C42" s="11">
        <f t="shared" si="4"/>
        <v>0</v>
      </c>
      <c r="D42" s="11">
        <f t="shared" si="5"/>
        <v>0</v>
      </c>
      <c r="E42" s="20">
        <f t="shared" si="6"/>
        <v>9999</v>
      </c>
      <c r="G42" s="4" t="s">
        <v>37</v>
      </c>
      <c r="H42" s="11">
        <f t="shared" si="0"/>
        <v>0</v>
      </c>
      <c r="I42" s="11">
        <f t="shared" si="1"/>
        <v>0</v>
      </c>
      <c r="J42" s="20">
        <f t="shared" si="7"/>
        <v>9999</v>
      </c>
      <c r="L42" s="4" t="s">
        <v>37</v>
      </c>
      <c r="M42" s="11">
        <f t="shared" si="2"/>
        <v>0</v>
      </c>
      <c r="N42" s="11">
        <f t="shared" si="3"/>
        <v>0</v>
      </c>
      <c r="O42" s="20">
        <f t="shared" si="8"/>
        <v>9999</v>
      </c>
      <c r="P42" s="13"/>
      <c r="Q42" s="4" t="s">
        <v>37</v>
      </c>
      <c r="R42" s="11">
        <f t="shared" si="9"/>
        <v>0</v>
      </c>
      <c r="S42" s="11">
        <f t="shared" si="10"/>
        <v>0</v>
      </c>
      <c r="T42" s="20">
        <f t="shared" si="11"/>
        <v>9999</v>
      </c>
      <c r="V42" s="4" t="s">
        <v>37</v>
      </c>
      <c r="W42" s="20">
        <f t="shared" si="12"/>
        <v>9999</v>
      </c>
    </row>
    <row r="43" spans="1:23" x14ac:dyDescent="0.2">
      <c r="A43" s="4" t="s">
        <v>38</v>
      </c>
      <c r="B43" s="19">
        <f t="shared" si="13"/>
        <v>9999</v>
      </c>
      <c r="C43" s="11">
        <f t="shared" si="4"/>
        <v>0</v>
      </c>
      <c r="D43" s="11">
        <f t="shared" si="5"/>
        <v>0</v>
      </c>
      <c r="E43" s="20">
        <f t="shared" si="6"/>
        <v>9999</v>
      </c>
      <c r="G43" s="4" t="s">
        <v>38</v>
      </c>
      <c r="H43" s="11">
        <f t="shared" si="0"/>
        <v>0</v>
      </c>
      <c r="I43" s="11">
        <f t="shared" si="1"/>
        <v>0</v>
      </c>
      <c r="J43" s="20">
        <f t="shared" si="7"/>
        <v>9999</v>
      </c>
      <c r="L43" s="4" t="s">
        <v>38</v>
      </c>
      <c r="M43" s="11">
        <f t="shared" si="2"/>
        <v>0</v>
      </c>
      <c r="N43" s="11">
        <f t="shared" si="3"/>
        <v>0</v>
      </c>
      <c r="O43" s="20">
        <f t="shared" si="8"/>
        <v>9999</v>
      </c>
      <c r="P43" s="13"/>
      <c r="Q43" s="4" t="s">
        <v>38</v>
      </c>
      <c r="R43" s="11">
        <f t="shared" si="9"/>
        <v>0</v>
      </c>
      <c r="S43" s="11">
        <f t="shared" si="10"/>
        <v>0</v>
      </c>
      <c r="T43" s="20">
        <f t="shared" si="11"/>
        <v>9999</v>
      </c>
      <c r="V43" s="4" t="s">
        <v>38</v>
      </c>
      <c r="W43" s="20">
        <f t="shared" si="12"/>
        <v>9999</v>
      </c>
    </row>
    <row r="44" spans="1:23" x14ac:dyDescent="0.2">
      <c r="A44" s="4" t="s">
        <v>39</v>
      </c>
      <c r="B44" s="19">
        <f t="shared" si="13"/>
        <v>9999</v>
      </c>
      <c r="C44" s="11">
        <f t="shared" si="4"/>
        <v>0</v>
      </c>
      <c r="D44" s="11">
        <f t="shared" si="5"/>
        <v>0</v>
      </c>
      <c r="E44" s="20">
        <f t="shared" si="6"/>
        <v>9999</v>
      </c>
      <c r="G44" s="4" t="s">
        <v>39</v>
      </c>
      <c r="H44" s="11">
        <f t="shared" si="0"/>
        <v>0</v>
      </c>
      <c r="I44" s="11">
        <f t="shared" si="1"/>
        <v>0</v>
      </c>
      <c r="J44" s="20">
        <f t="shared" si="7"/>
        <v>9999</v>
      </c>
      <c r="L44" s="4" t="s">
        <v>39</v>
      </c>
      <c r="M44" s="11">
        <f t="shared" si="2"/>
        <v>0</v>
      </c>
      <c r="N44" s="11">
        <f t="shared" si="3"/>
        <v>0</v>
      </c>
      <c r="O44" s="20">
        <f t="shared" si="8"/>
        <v>9999</v>
      </c>
      <c r="P44" s="13"/>
      <c r="Q44" s="4" t="s">
        <v>39</v>
      </c>
      <c r="R44" s="11">
        <f t="shared" si="9"/>
        <v>0</v>
      </c>
      <c r="S44" s="11">
        <f t="shared" si="10"/>
        <v>0</v>
      </c>
      <c r="T44" s="20">
        <f t="shared" si="11"/>
        <v>9999</v>
      </c>
      <c r="V44" s="4" t="s">
        <v>39</v>
      </c>
      <c r="W44" s="20">
        <f t="shared" si="12"/>
        <v>9999</v>
      </c>
    </row>
    <row r="45" spans="1:23" x14ac:dyDescent="0.2">
      <c r="A45" s="9" t="s">
        <v>40</v>
      </c>
      <c r="B45" s="19">
        <f t="shared" si="13"/>
        <v>9999</v>
      </c>
      <c r="C45" s="11">
        <f t="shared" si="4"/>
        <v>0</v>
      </c>
      <c r="D45" s="11">
        <f t="shared" si="5"/>
        <v>0</v>
      </c>
      <c r="E45" s="20">
        <f t="shared" si="6"/>
        <v>9999</v>
      </c>
      <c r="G45" s="9" t="s">
        <v>40</v>
      </c>
      <c r="H45" s="11">
        <f t="shared" si="0"/>
        <v>0</v>
      </c>
      <c r="I45" s="11">
        <f t="shared" si="1"/>
        <v>0</v>
      </c>
      <c r="J45" s="20">
        <f t="shared" si="7"/>
        <v>9999</v>
      </c>
      <c r="L45" s="9" t="s">
        <v>40</v>
      </c>
      <c r="M45" s="11">
        <f t="shared" si="2"/>
        <v>0</v>
      </c>
      <c r="N45" s="11">
        <f t="shared" si="3"/>
        <v>0</v>
      </c>
      <c r="O45" s="20">
        <f t="shared" si="8"/>
        <v>9999</v>
      </c>
      <c r="P45" s="13"/>
      <c r="Q45" s="9" t="s">
        <v>40</v>
      </c>
      <c r="R45" s="11">
        <f t="shared" si="9"/>
        <v>0</v>
      </c>
      <c r="S45" s="11">
        <f t="shared" si="10"/>
        <v>0</v>
      </c>
      <c r="T45" s="20">
        <f t="shared" si="11"/>
        <v>9999</v>
      </c>
      <c r="V45" s="9" t="s">
        <v>40</v>
      </c>
      <c r="W45" s="20">
        <f t="shared" si="12"/>
        <v>9999</v>
      </c>
    </row>
    <row r="46" spans="1:23" x14ac:dyDescent="0.2">
      <c r="A46" s="9" t="s">
        <v>41</v>
      </c>
      <c r="B46" s="19">
        <f t="shared" si="13"/>
        <v>9999</v>
      </c>
      <c r="C46" s="11">
        <f t="shared" si="4"/>
        <v>0</v>
      </c>
      <c r="D46" s="11">
        <f t="shared" si="5"/>
        <v>0</v>
      </c>
      <c r="E46" s="20">
        <f t="shared" si="6"/>
        <v>9999</v>
      </c>
      <c r="G46" s="9" t="s">
        <v>41</v>
      </c>
      <c r="H46" s="11">
        <f t="shared" si="0"/>
        <v>0</v>
      </c>
      <c r="I46" s="11">
        <f t="shared" si="1"/>
        <v>0</v>
      </c>
      <c r="J46" s="20">
        <f t="shared" si="7"/>
        <v>9999</v>
      </c>
      <c r="L46" s="9" t="s">
        <v>41</v>
      </c>
      <c r="M46" s="11">
        <f t="shared" si="2"/>
        <v>0</v>
      </c>
      <c r="N46" s="11">
        <f t="shared" si="3"/>
        <v>0</v>
      </c>
      <c r="O46" s="20">
        <f t="shared" si="8"/>
        <v>9999</v>
      </c>
      <c r="P46" s="13"/>
      <c r="Q46" s="9" t="s">
        <v>41</v>
      </c>
      <c r="R46" s="11">
        <f t="shared" si="9"/>
        <v>0</v>
      </c>
      <c r="S46" s="11">
        <f t="shared" si="10"/>
        <v>0</v>
      </c>
      <c r="T46" s="20">
        <f t="shared" si="11"/>
        <v>9999</v>
      </c>
      <c r="V46" s="9" t="s">
        <v>41</v>
      </c>
      <c r="W46" s="20">
        <f t="shared" si="12"/>
        <v>9999</v>
      </c>
    </row>
    <row r="47" spans="1:23" x14ac:dyDescent="0.2">
      <c r="A47" s="9" t="s">
        <v>42</v>
      </c>
      <c r="B47" s="19">
        <f t="shared" si="13"/>
        <v>9999</v>
      </c>
      <c r="C47" s="11">
        <f t="shared" si="4"/>
        <v>0</v>
      </c>
      <c r="D47" s="11">
        <f t="shared" si="5"/>
        <v>0</v>
      </c>
      <c r="E47" s="20">
        <f t="shared" si="6"/>
        <v>9999</v>
      </c>
      <c r="G47" s="9" t="s">
        <v>42</v>
      </c>
      <c r="H47" s="11">
        <f t="shared" si="0"/>
        <v>0</v>
      </c>
      <c r="I47" s="11">
        <f t="shared" si="1"/>
        <v>0</v>
      </c>
      <c r="J47" s="20">
        <f t="shared" si="7"/>
        <v>9999</v>
      </c>
      <c r="L47" s="9" t="s">
        <v>42</v>
      </c>
      <c r="M47" s="11">
        <f t="shared" si="2"/>
        <v>0</v>
      </c>
      <c r="N47" s="11">
        <f t="shared" si="3"/>
        <v>0</v>
      </c>
      <c r="O47" s="20">
        <f t="shared" si="8"/>
        <v>9999</v>
      </c>
      <c r="P47" s="13"/>
      <c r="Q47" s="9" t="s">
        <v>42</v>
      </c>
      <c r="R47" s="11">
        <f t="shared" si="9"/>
        <v>0</v>
      </c>
      <c r="S47" s="11">
        <f t="shared" si="10"/>
        <v>0</v>
      </c>
      <c r="T47" s="20">
        <f t="shared" si="11"/>
        <v>9999</v>
      </c>
      <c r="V47" s="9" t="s">
        <v>42</v>
      </c>
      <c r="W47" s="20">
        <f t="shared" si="12"/>
        <v>9999</v>
      </c>
    </row>
    <row r="48" spans="1:23" x14ac:dyDescent="0.2">
      <c r="A48" s="9" t="s">
        <v>43</v>
      </c>
      <c r="B48" s="19">
        <f t="shared" si="13"/>
        <v>9999</v>
      </c>
      <c r="C48" s="11">
        <f t="shared" si="4"/>
        <v>0</v>
      </c>
      <c r="D48" s="11">
        <f t="shared" si="5"/>
        <v>0</v>
      </c>
      <c r="E48" s="20">
        <f t="shared" si="6"/>
        <v>9999</v>
      </c>
      <c r="G48" s="9" t="s">
        <v>43</v>
      </c>
      <c r="H48" s="11">
        <f t="shared" si="0"/>
        <v>0</v>
      </c>
      <c r="I48" s="11">
        <f t="shared" si="1"/>
        <v>0</v>
      </c>
      <c r="J48" s="20">
        <f t="shared" si="7"/>
        <v>9999</v>
      </c>
      <c r="L48" s="9" t="s">
        <v>43</v>
      </c>
      <c r="M48" s="11">
        <f t="shared" si="2"/>
        <v>0</v>
      </c>
      <c r="N48" s="11">
        <f t="shared" si="3"/>
        <v>0</v>
      </c>
      <c r="O48" s="20">
        <f t="shared" si="8"/>
        <v>9999</v>
      </c>
      <c r="P48" s="13"/>
      <c r="Q48" s="9" t="s">
        <v>43</v>
      </c>
      <c r="R48" s="11">
        <f t="shared" si="9"/>
        <v>0</v>
      </c>
      <c r="S48" s="11">
        <f t="shared" si="10"/>
        <v>0</v>
      </c>
      <c r="T48" s="20">
        <f t="shared" si="11"/>
        <v>9999</v>
      </c>
      <c r="V48" s="9" t="s">
        <v>43</v>
      </c>
      <c r="W48" s="20">
        <f t="shared" si="12"/>
        <v>9999</v>
      </c>
    </row>
    <row r="49" spans="1:25" x14ac:dyDescent="0.2">
      <c r="A49" s="10" t="s">
        <v>44</v>
      </c>
      <c r="B49" s="21">
        <f t="shared" si="13"/>
        <v>9999</v>
      </c>
      <c r="C49" s="12">
        <f t="shared" si="4"/>
        <v>0</v>
      </c>
      <c r="D49" s="12">
        <f t="shared" si="5"/>
        <v>0</v>
      </c>
      <c r="E49" s="22">
        <f t="shared" si="6"/>
        <v>9999</v>
      </c>
      <c r="G49" s="10" t="s">
        <v>44</v>
      </c>
      <c r="H49" s="12">
        <f t="shared" si="0"/>
        <v>0</v>
      </c>
      <c r="I49" s="12">
        <f t="shared" si="1"/>
        <v>0</v>
      </c>
      <c r="J49" s="22">
        <f t="shared" si="7"/>
        <v>9999</v>
      </c>
      <c r="L49" s="10" t="s">
        <v>44</v>
      </c>
      <c r="M49" s="12">
        <f t="shared" si="2"/>
        <v>0</v>
      </c>
      <c r="N49" s="12">
        <f t="shared" si="3"/>
        <v>0</v>
      </c>
      <c r="O49" s="22">
        <f t="shared" si="8"/>
        <v>9999</v>
      </c>
      <c r="P49" s="13"/>
      <c r="Q49" s="10" t="s">
        <v>44</v>
      </c>
      <c r="R49" s="12">
        <f t="shared" si="9"/>
        <v>0</v>
      </c>
      <c r="S49" s="12">
        <f t="shared" si="10"/>
        <v>0</v>
      </c>
      <c r="T49" s="22">
        <f t="shared" si="11"/>
        <v>9999</v>
      </c>
      <c r="V49" s="10" t="s">
        <v>44</v>
      </c>
      <c r="W49" s="22">
        <f t="shared" si="12"/>
        <v>9999</v>
      </c>
    </row>
    <row r="50" spans="1:25" x14ac:dyDescent="0.2">
      <c r="P50" s="13"/>
    </row>
    <row r="51" spans="1:25" x14ac:dyDescent="0.2">
      <c r="A51" s="18" t="s">
        <v>7</v>
      </c>
      <c r="P51" s="13"/>
    </row>
    <row r="52" spans="1:25" x14ac:dyDescent="0.2">
      <c r="A52" s="36" t="s">
        <v>74</v>
      </c>
      <c r="B52" s="2"/>
      <c r="C52" s="2"/>
      <c r="D52" s="2"/>
      <c r="E52" s="3"/>
      <c r="G52" s="35" t="s">
        <v>73</v>
      </c>
      <c r="H52" s="2"/>
      <c r="I52" s="2"/>
      <c r="J52" s="3"/>
      <c r="L52" s="1" t="s">
        <v>2</v>
      </c>
      <c r="M52" s="2"/>
      <c r="N52" s="2"/>
      <c r="O52" s="3"/>
      <c r="P52" s="11"/>
      <c r="Q52" s="36" t="s">
        <v>76</v>
      </c>
      <c r="R52" s="2"/>
      <c r="S52" s="2"/>
      <c r="T52" s="3"/>
      <c r="V52" s="36" t="s">
        <v>757</v>
      </c>
      <c r="W52" s="50"/>
    </row>
    <row r="53" spans="1:25" x14ac:dyDescent="0.2">
      <c r="A53" s="4"/>
      <c r="B53" s="5"/>
      <c r="C53" s="5"/>
      <c r="D53" s="5"/>
      <c r="E53" s="6"/>
      <c r="G53" s="4"/>
      <c r="H53" s="5"/>
      <c r="I53" s="5"/>
      <c r="J53" s="6"/>
      <c r="L53" s="4"/>
      <c r="M53" s="5"/>
      <c r="N53" s="5"/>
      <c r="O53" s="6"/>
      <c r="P53" s="11"/>
      <c r="Q53" s="4"/>
      <c r="R53" s="5"/>
      <c r="S53" s="5"/>
      <c r="T53" s="6"/>
      <c r="V53" s="4"/>
      <c r="W53" s="6"/>
      <c r="Y53" s="37"/>
    </row>
    <row r="54" spans="1:25" x14ac:dyDescent="0.2">
      <c r="A54" s="4"/>
      <c r="B54" s="19" t="s">
        <v>3</v>
      </c>
      <c r="C54" s="5"/>
      <c r="D54" s="5"/>
      <c r="E54" s="20" t="s">
        <v>4</v>
      </c>
      <c r="G54" s="4"/>
      <c r="H54" s="5"/>
      <c r="I54" s="5"/>
      <c r="J54" s="20" t="s">
        <v>5</v>
      </c>
      <c r="L54" s="4"/>
      <c r="M54" s="5"/>
      <c r="N54" s="5"/>
      <c r="O54" s="20" t="s">
        <v>5</v>
      </c>
      <c r="P54" s="11"/>
      <c r="Q54" s="4"/>
      <c r="R54" s="5"/>
      <c r="S54" s="5"/>
      <c r="T54" s="20" t="s">
        <v>5</v>
      </c>
      <c r="V54" s="4"/>
      <c r="W54" s="6"/>
    </row>
    <row r="55" spans="1:25" x14ac:dyDescent="0.2">
      <c r="A55" s="4" t="s">
        <v>25</v>
      </c>
      <c r="B55" s="19">
        <f>IF(F5="",9999,IF(F5=0,1,0))</f>
        <v>9999</v>
      </c>
      <c r="C55" s="11">
        <f>IF(E5="na","na",IF(E5&gt;I5,E5/10,IF(I5="na","na",I5/10)))</f>
        <v>0</v>
      </c>
      <c r="D55" s="11">
        <f>IF(I5="na","na",IF(E5&gt;I5,I5/10,IF(E5="na","na",E5/10)))</f>
        <v>0</v>
      </c>
      <c r="E55" s="20">
        <f>IF(ISERROR(C55-D55),9999,IF(OR(C55=0,D55=0),9999,IF(SUM(C55-D55)&lt;=0,9999,SUM(C55-D55))))</f>
        <v>9999</v>
      </c>
      <c r="G55" s="4" t="s">
        <v>25</v>
      </c>
      <c r="H55" s="11">
        <f t="shared" ref="H55:H74" si="14">D5</f>
        <v>0</v>
      </c>
      <c r="I55" s="11">
        <f>H5</f>
        <v>0</v>
      </c>
      <c r="J55" s="20">
        <f t="shared" ref="J55:J74" si="15">IF(ISERROR(I55-H55),9999,IF(OR(H55=0,I55=0),9999,IF(SUM(I55-H55)&lt;=0,9999,SUM(I55-H55))))</f>
        <v>9999</v>
      </c>
      <c r="L55" s="4" t="s">
        <v>25</v>
      </c>
      <c r="M55" s="11">
        <f t="shared" ref="M55:M74" si="16">J5</f>
        <v>0</v>
      </c>
      <c r="N55" s="11">
        <f t="shared" ref="N55:N74" si="17">H5</f>
        <v>0</v>
      </c>
      <c r="O55" s="20">
        <f t="shared" ref="O55:O74" si="18">IF(ISERROR(M55-N55),9999,IF(OR(M55=0,N55=0),9999,IF(SUM(M55-N55)&lt;=0,9999,SUM(M55-N55))))</f>
        <v>9999</v>
      </c>
      <c r="P55" s="13"/>
      <c r="Q55" s="4" t="s">
        <v>25</v>
      </c>
      <c r="R55" s="11">
        <f>J5</f>
        <v>0</v>
      </c>
      <c r="S55" s="11">
        <f>D5</f>
        <v>0</v>
      </c>
      <c r="T55" s="20">
        <f t="shared" ref="T55:T74" si="19">IF(ISERROR(R55-S55),9999,IF(OR(R55=0,S55=0),9999,IF(SUM(R55-S55)&lt;=0,9999,SUM(R55-S55))))</f>
        <v>9999</v>
      </c>
      <c r="V55" s="4" t="s">
        <v>25</v>
      </c>
      <c r="W55" s="20">
        <f>IF(N5="",9999,N5)</f>
        <v>9999</v>
      </c>
    </row>
    <row r="56" spans="1:25" x14ac:dyDescent="0.2">
      <c r="A56" s="4" t="s">
        <v>26</v>
      </c>
      <c r="B56" s="19">
        <f t="shared" ref="B56:B74" si="20">IF(F6="",9999,IF(F6=0,1,0))</f>
        <v>9999</v>
      </c>
      <c r="C56" s="11">
        <f t="shared" ref="C56:C74" si="21">IF(E6="na","na",IF(E6&gt;I6,E6/10,IF(I6="na","na",I6/10)))</f>
        <v>0</v>
      </c>
      <c r="D56" s="11">
        <f t="shared" ref="D56:D74" si="22">IF(I6="na","na",IF(E6&gt;I6,I6/10,IF(E6="na","na",E6/10)))</f>
        <v>0</v>
      </c>
      <c r="E56" s="20">
        <f t="shared" ref="E56:E74" si="23">IF(ISERROR(C56-D56),9999,IF(OR(C56=0,D56=0),9999,IF(SUM(C56-D56)&lt;=0,9999,SUM(C56-D56))))</f>
        <v>9999</v>
      </c>
      <c r="G56" s="4" t="s">
        <v>26</v>
      </c>
      <c r="H56" s="11">
        <f t="shared" si="14"/>
        <v>0</v>
      </c>
      <c r="I56" s="11">
        <f>H6</f>
        <v>0</v>
      </c>
      <c r="J56" s="20">
        <f t="shared" si="15"/>
        <v>9999</v>
      </c>
      <c r="L56" s="4" t="s">
        <v>26</v>
      </c>
      <c r="M56" s="11">
        <f t="shared" si="16"/>
        <v>0</v>
      </c>
      <c r="N56" s="11">
        <f t="shared" si="17"/>
        <v>0</v>
      </c>
      <c r="O56" s="20">
        <f t="shared" si="18"/>
        <v>9999</v>
      </c>
      <c r="P56" s="13"/>
      <c r="Q56" s="4" t="s">
        <v>26</v>
      </c>
      <c r="R56" s="11">
        <f t="shared" ref="R56:R74" si="24">J6</f>
        <v>0</v>
      </c>
      <c r="S56" s="11">
        <f t="shared" ref="S56:S74" si="25">D6</f>
        <v>0</v>
      </c>
      <c r="T56" s="20">
        <f t="shared" si="19"/>
        <v>9999</v>
      </c>
      <c r="V56" s="4" t="s">
        <v>26</v>
      </c>
      <c r="W56" s="20">
        <f t="shared" ref="W56:W74" si="26">IF(N6="",9999,N6)</f>
        <v>9999</v>
      </c>
    </row>
    <row r="57" spans="1:25" x14ac:dyDescent="0.2">
      <c r="A57" s="4" t="s">
        <v>27</v>
      </c>
      <c r="B57" s="19">
        <f t="shared" si="20"/>
        <v>9999</v>
      </c>
      <c r="C57" s="11">
        <f t="shared" si="21"/>
        <v>0</v>
      </c>
      <c r="D57" s="11">
        <f t="shared" si="22"/>
        <v>0</v>
      </c>
      <c r="E57" s="20">
        <f t="shared" si="23"/>
        <v>9999</v>
      </c>
      <c r="G57" s="4" t="s">
        <v>27</v>
      </c>
      <c r="H57" s="11">
        <f t="shared" si="14"/>
        <v>0</v>
      </c>
      <c r="I57" s="11">
        <f>H7</f>
        <v>0</v>
      </c>
      <c r="J57" s="20">
        <f t="shared" si="15"/>
        <v>9999</v>
      </c>
      <c r="L57" s="4" t="s">
        <v>27</v>
      </c>
      <c r="M57" s="11">
        <f t="shared" si="16"/>
        <v>0</v>
      </c>
      <c r="N57" s="11">
        <f t="shared" si="17"/>
        <v>0</v>
      </c>
      <c r="O57" s="20">
        <f t="shared" si="18"/>
        <v>9999</v>
      </c>
      <c r="P57" s="13"/>
      <c r="Q57" s="4" t="s">
        <v>27</v>
      </c>
      <c r="R57" s="11">
        <f t="shared" si="24"/>
        <v>0</v>
      </c>
      <c r="S57" s="11">
        <f t="shared" si="25"/>
        <v>0</v>
      </c>
      <c r="T57" s="20">
        <f t="shared" si="19"/>
        <v>9999</v>
      </c>
      <c r="V57" s="4" t="s">
        <v>27</v>
      </c>
      <c r="W57" s="20">
        <f t="shared" si="26"/>
        <v>9999</v>
      </c>
    </row>
    <row r="58" spans="1:25" x14ac:dyDescent="0.2">
      <c r="A58" s="4" t="s">
        <v>28</v>
      </c>
      <c r="B58" s="19">
        <f t="shared" si="20"/>
        <v>9999</v>
      </c>
      <c r="C58" s="11">
        <f t="shared" si="21"/>
        <v>0</v>
      </c>
      <c r="D58" s="11">
        <f t="shared" si="22"/>
        <v>0</v>
      </c>
      <c r="E58" s="20">
        <f t="shared" si="23"/>
        <v>9999</v>
      </c>
      <c r="G58" s="4" t="s">
        <v>28</v>
      </c>
      <c r="H58" s="11">
        <f t="shared" si="14"/>
        <v>0</v>
      </c>
      <c r="I58" s="11">
        <f t="shared" ref="I58:I74" si="27">H8</f>
        <v>0</v>
      </c>
      <c r="J58" s="20">
        <f t="shared" si="15"/>
        <v>9999</v>
      </c>
      <c r="L58" s="4" t="s">
        <v>28</v>
      </c>
      <c r="M58" s="11">
        <f t="shared" si="16"/>
        <v>0</v>
      </c>
      <c r="N58" s="11">
        <f t="shared" si="17"/>
        <v>0</v>
      </c>
      <c r="O58" s="20">
        <f t="shared" si="18"/>
        <v>9999</v>
      </c>
      <c r="P58" s="13"/>
      <c r="Q58" s="4" t="s">
        <v>28</v>
      </c>
      <c r="R58" s="11">
        <f t="shared" si="24"/>
        <v>0</v>
      </c>
      <c r="S58" s="11">
        <f t="shared" si="25"/>
        <v>0</v>
      </c>
      <c r="T58" s="20">
        <f t="shared" si="19"/>
        <v>9999</v>
      </c>
      <c r="V58" s="4" t="s">
        <v>28</v>
      </c>
      <c r="W58" s="20">
        <f t="shared" si="26"/>
        <v>9999</v>
      </c>
    </row>
    <row r="59" spans="1:25" x14ac:dyDescent="0.2">
      <c r="A59" s="4" t="s">
        <v>29</v>
      </c>
      <c r="B59" s="19">
        <f t="shared" si="20"/>
        <v>9999</v>
      </c>
      <c r="C59" s="11">
        <f t="shared" si="21"/>
        <v>0</v>
      </c>
      <c r="D59" s="11">
        <f t="shared" si="22"/>
        <v>0</v>
      </c>
      <c r="E59" s="20">
        <f t="shared" si="23"/>
        <v>9999</v>
      </c>
      <c r="G59" s="4" t="s">
        <v>29</v>
      </c>
      <c r="H59" s="11">
        <f t="shared" si="14"/>
        <v>0</v>
      </c>
      <c r="I59" s="11">
        <f t="shared" si="27"/>
        <v>0</v>
      </c>
      <c r="J59" s="20">
        <f t="shared" si="15"/>
        <v>9999</v>
      </c>
      <c r="L59" s="4" t="s">
        <v>29</v>
      </c>
      <c r="M59" s="11">
        <f t="shared" si="16"/>
        <v>0</v>
      </c>
      <c r="N59" s="11">
        <f t="shared" si="17"/>
        <v>0</v>
      </c>
      <c r="O59" s="20">
        <f t="shared" si="18"/>
        <v>9999</v>
      </c>
      <c r="P59" s="13"/>
      <c r="Q59" s="4" t="s">
        <v>29</v>
      </c>
      <c r="R59" s="11">
        <f t="shared" si="24"/>
        <v>0</v>
      </c>
      <c r="S59" s="11">
        <f t="shared" si="25"/>
        <v>0</v>
      </c>
      <c r="T59" s="20">
        <f t="shared" si="19"/>
        <v>9999</v>
      </c>
      <c r="V59" s="4" t="s">
        <v>29</v>
      </c>
      <c r="W59" s="20">
        <f t="shared" si="26"/>
        <v>9999</v>
      </c>
    </row>
    <row r="60" spans="1:25" x14ac:dyDescent="0.2">
      <c r="A60" s="4" t="s">
        <v>30</v>
      </c>
      <c r="B60" s="19">
        <f t="shared" si="20"/>
        <v>9999</v>
      </c>
      <c r="C60" s="11">
        <f t="shared" si="21"/>
        <v>0</v>
      </c>
      <c r="D60" s="11">
        <f t="shared" si="22"/>
        <v>0</v>
      </c>
      <c r="E60" s="20">
        <f t="shared" si="23"/>
        <v>9999</v>
      </c>
      <c r="G60" s="4" t="s">
        <v>30</v>
      </c>
      <c r="H60" s="11">
        <f t="shared" si="14"/>
        <v>0</v>
      </c>
      <c r="I60" s="11">
        <f t="shared" si="27"/>
        <v>0</v>
      </c>
      <c r="J60" s="20">
        <f t="shared" si="15"/>
        <v>9999</v>
      </c>
      <c r="L60" s="4" t="s">
        <v>30</v>
      </c>
      <c r="M60" s="11">
        <f t="shared" si="16"/>
        <v>0</v>
      </c>
      <c r="N60" s="11">
        <f t="shared" si="17"/>
        <v>0</v>
      </c>
      <c r="O60" s="20">
        <f t="shared" si="18"/>
        <v>9999</v>
      </c>
      <c r="P60" s="13"/>
      <c r="Q60" s="4" t="s">
        <v>30</v>
      </c>
      <c r="R60" s="11">
        <f t="shared" si="24"/>
        <v>0</v>
      </c>
      <c r="S60" s="11">
        <f t="shared" si="25"/>
        <v>0</v>
      </c>
      <c r="T60" s="20">
        <f t="shared" si="19"/>
        <v>9999</v>
      </c>
      <c r="V60" s="4" t="s">
        <v>30</v>
      </c>
      <c r="W60" s="20">
        <f t="shared" si="26"/>
        <v>9999</v>
      </c>
    </row>
    <row r="61" spans="1:25" x14ac:dyDescent="0.2">
      <c r="A61" s="4" t="s">
        <v>31</v>
      </c>
      <c r="B61" s="19">
        <f t="shared" si="20"/>
        <v>9999</v>
      </c>
      <c r="C61" s="11">
        <f t="shared" si="21"/>
        <v>0</v>
      </c>
      <c r="D61" s="11">
        <f t="shared" si="22"/>
        <v>0</v>
      </c>
      <c r="E61" s="20">
        <f t="shared" si="23"/>
        <v>9999</v>
      </c>
      <c r="G61" s="4" t="s">
        <v>31</v>
      </c>
      <c r="H61" s="11">
        <f t="shared" si="14"/>
        <v>0</v>
      </c>
      <c r="I61" s="11">
        <f t="shared" si="27"/>
        <v>0</v>
      </c>
      <c r="J61" s="20">
        <f t="shared" si="15"/>
        <v>9999</v>
      </c>
      <c r="L61" s="4" t="s">
        <v>31</v>
      </c>
      <c r="M61" s="11">
        <f t="shared" si="16"/>
        <v>0</v>
      </c>
      <c r="N61" s="11">
        <f t="shared" si="17"/>
        <v>0</v>
      </c>
      <c r="O61" s="20">
        <f t="shared" si="18"/>
        <v>9999</v>
      </c>
      <c r="P61" s="13"/>
      <c r="Q61" s="4" t="s">
        <v>31</v>
      </c>
      <c r="R61" s="11">
        <f t="shared" si="24"/>
        <v>0</v>
      </c>
      <c r="S61" s="11">
        <f t="shared" si="25"/>
        <v>0</v>
      </c>
      <c r="T61" s="20">
        <f t="shared" si="19"/>
        <v>9999</v>
      </c>
      <c r="V61" s="4" t="s">
        <v>31</v>
      </c>
      <c r="W61" s="20">
        <f t="shared" si="26"/>
        <v>9999</v>
      </c>
    </row>
    <row r="62" spans="1:25" x14ac:dyDescent="0.2">
      <c r="A62" s="9" t="s">
        <v>32</v>
      </c>
      <c r="B62" s="19">
        <f t="shared" si="20"/>
        <v>9999</v>
      </c>
      <c r="C62" s="11">
        <f t="shared" si="21"/>
        <v>0</v>
      </c>
      <c r="D62" s="11">
        <f t="shared" si="22"/>
        <v>0</v>
      </c>
      <c r="E62" s="20">
        <f t="shared" si="23"/>
        <v>9999</v>
      </c>
      <c r="G62" s="9" t="s">
        <v>32</v>
      </c>
      <c r="H62" s="11">
        <f t="shared" si="14"/>
        <v>0</v>
      </c>
      <c r="I62" s="11">
        <f t="shared" si="27"/>
        <v>0</v>
      </c>
      <c r="J62" s="20">
        <f t="shared" si="15"/>
        <v>9999</v>
      </c>
      <c r="L62" s="9" t="s">
        <v>32</v>
      </c>
      <c r="M62" s="11">
        <f t="shared" si="16"/>
        <v>0</v>
      </c>
      <c r="N62" s="11">
        <f t="shared" si="17"/>
        <v>0</v>
      </c>
      <c r="O62" s="20">
        <f t="shared" si="18"/>
        <v>9999</v>
      </c>
      <c r="P62" s="13"/>
      <c r="Q62" s="9" t="s">
        <v>32</v>
      </c>
      <c r="R62" s="11">
        <f t="shared" si="24"/>
        <v>0</v>
      </c>
      <c r="S62" s="11">
        <f t="shared" si="25"/>
        <v>0</v>
      </c>
      <c r="T62" s="20">
        <f t="shared" si="19"/>
        <v>9999</v>
      </c>
      <c r="V62" s="9" t="s">
        <v>32</v>
      </c>
      <c r="W62" s="20">
        <f t="shared" si="26"/>
        <v>9999</v>
      </c>
    </row>
    <row r="63" spans="1:25" x14ac:dyDescent="0.2">
      <c r="A63" s="9" t="s">
        <v>33</v>
      </c>
      <c r="B63" s="19">
        <f t="shared" si="20"/>
        <v>9999</v>
      </c>
      <c r="C63" s="11">
        <f t="shared" si="21"/>
        <v>0</v>
      </c>
      <c r="D63" s="11">
        <f t="shared" si="22"/>
        <v>0</v>
      </c>
      <c r="E63" s="20">
        <f t="shared" si="23"/>
        <v>9999</v>
      </c>
      <c r="G63" s="9" t="s">
        <v>33</v>
      </c>
      <c r="H63" s="11">
        <f t="shared" si="14"/>
        <v>0</v>
      </c>
      <c r="I63" s="11">
        <f t="shared" si="27"/>
        <v>0</v>
      </c>
      <c r="J63" s="20">
        <f t="shared" si="15"/>
        <v>9999</v>
      </c>
      <c r="L63" s="9" t="s">
        <v>33</v>
      </c>
      <c r="M63" s="11">
        <f t="shared" si="16"/>
        <v>0</v>
      </c>
      <c r="N63" s="11">
        <f t="shared" si="17"/>
        <v>0</v>
      </c>
      <c r="O63" s="20">
        <f t="shared" si="18"/>
        <v>9999</v>
      </c>
      <c r="P63" s="13"/>
      <c r="Q63" s="9" t="s">
        <v>33</v>
      </c>
      <c r="R63" s="11">
        <f t="shared" si="24"/>
        <v>0</v>
      </c>
      <c r="S63" s="11">
        <f t="shared" si="25"/>
        <v>0</v>
      </c>
      <c r="T63" s="20">
        <f t="shared" si="19"/>
        <v>9999</v>
      </c>
      <c r="V63" s="9" t="s">
        <v>33</v>
      </c>
      <c r="W63" s="20">
        <f t="shared" si="26"/>
        <v>9999</v>
      </c>
    </row>
    <row r="64" spans="1:25" x14ac:dyDescent="0.2">
      <c r="A64" s="9" t="s">
        <v>34</v>
      </c>
      <c r="B64" s="19">
        <f t="shared" si="20"/>
        <v>9999</v>
      </c>
      <c r="C64" s="11">
        <f t="shared" si="21"/>
        <v>0</v>
      </c>
      <c r="D64" s="11">
        <f t="shared" si="22"/>
        <v>0</v>
      </c>
      <c r="E64" s="20">
        <f t="shared" si="23"/>
        <v>9999</v>
      </c>
      <c r="G64" s="9" t="s">
        <v>34</v>
      </c>
      <c r="H64" s="11">
        <f t="shared" si="14"/>
        <v>0</v>
      </c>
      <c r="I64" s="11">
        <f t="shared" si="27"/>
        <v>0</v>
      </c>
      <c r="J64" s="20">
        <f t="shared" si="15"/>
        <v>9999</v>
      </c>
      <c r="L64" s="9" t="s">
        <v>34</v>
      </c>
      <c r="M64" s="11">
        <f t="shared" si="16"/>
        <v>0</v>
      </c>
      <c r="N64" s="11">
        <f t="shared" si="17"/>
        <v>0</v>
      </c>
      <c r="O64" s="20">
        <f t="shared" si="18"/>
        <v>9999</v>
      </c>
      <c r="P64" s="13"/>
      <c r="Q64" s="9" t="s">
        <v>34</v>
      </c>
      <c r="R64" s="11">
        <f t="shared" si="24"/>
        <v>0</v>
      </c>
      <c r="S64" s="11">
        <f t="shared" si="25"/>
        <v>0</v>
      </c>
      <c r="T64" s="20">
        <f t="shared" si="19"/>
        <v>9999</v>
      </c>
      <c r="V64" s="9" t="s">
        <v>34</v>
      </c>
      <c r="W64" s="20">
        <f t="shared" si="26"/>
        <v>9999</v>
      </c>
    </row>
    <row r="65" spans="1:25" x14ac:dyDescent="0.2">
      <c r="A65" s="9" t="s">
        <v>35</v>
      </c>
      <c r="B65" s="19">
        <f t="shared" si="20"/>
        <v>9999</v>
      </c>
      <c r="C65" s="11">
        <f t="shared" si="21"/>
        <v>0</v>
      </c>
      <c r="D65" s="11">
        <f t="shared" si="22"/>
        <v>0</v>
      </c>
      <c r="E65" s="20">
        <f t="shared" si="23"/>
        <v>9999</v>
      </c>
      <c r="G65" s="9" t="s">
        <v>35</v>
      </c>
      <c r="H65" s="11">
        <f t="shared" si="14"/>
        <v>0</v>
      </c>
      <c r="I65" s="11">
        <f t="shared" si="27"/>
        <v>0</v>
      </c>
      <c r="J65" s="20">
        <f t="shared" si="15"/>
        <v>9999</v>
      </c>
      <c r="L65" s="9" t="s">
        <v>35</v>
      </c>
      <c r="M65" s="11">
        <f t="shared" si="16"/>
        <v>0</v>
      </c>
      <c r="N65" s="11">
        <f t="shared" si="17"/>
        <v>0</v>
      </c>
      <c r="O65" s="20">
        <f t="shared" si="18"/>
        <v>9999</v>
      </c>
      <c r="P65" s="13"/>
      <c r="Q65" s="9" t="s">
        <v>35</v>
      </c>
      <c r="R65" s="11">
        <f t="shared" si="24"/>
        <v>0</v>
      </c>
      <c r="S65" s="11">
        <f t="shared" si="25"/>
        <v>0</v>
      </c>
      <c r="T65" s="20">
        <f t="shared" si="19"/>
        <v>9999</v>
      </c>
      <c r="V65" s="9" t="s">
        <v>35</v>
      </c>
      <c r="W65" s="20">
        <f t="shared" si="26"/>
        <v>9999</v>
      </c>
    </row>
    <row r="66" spans="1:25" x14ac:dyDescent="0.2">
      <c r="A66" s="9" t="s">
        <v>36</v>
      </c>
      <c r="B66" s="19">
        <f t="shared" si="20"/>
        <v>9999</v>
      </c>
      <c r="C66" s="11">
        <f t="shared" si="21"/>
        <v>0</v>
      </c>
      <c r="D66" s="11">
        <f t="shared" si="22"/>
        <v>0</v>
      </c>
      <c r="E66" s="20">
        <f t="shared" si="23"/>
        <v>9999</v>
      </c>
      <c r="G66" s="9" t="s">
        <v>36</v>
      </c>
      <c r="H66" s="11">
        <f t="shared" si="14"/>
        <v>0</v>
      </c>
      <c r="I66" s="11">
        <f t="shared" si="27"/>
        <v>0</v>
      </c>
      <c r="J66" s="20">
        <f t="shared" si="15"/>
        <v>9999</v>
      </c>
      <c r="L66" s="9" t="s">
        <v>36</v>
      </c>
      <c r="M66" s="11">
        <f t="shared" si="16"/>
        <v>0</v>
      </c>
      <c r="N66" s="11">
        <f t="shared" si="17"/>
        <v>0</v>
      </c>
      <c r="O66" s="20">
        <f t="shared" si="18"/>
        <v>9999</v>
      </c>
      <c r="P66" s="13"/>
      <c r="Q66" s="9" t="s">
        <v>36</v>
      </c>
      <c r="R66" s="11">
        <f t="shared" si="24"/>
        <v>0</v>
      </c>
      <c r="S66" s="11">
        <f t="shared" si="25"/>
        <v>0</v>
      </c>
      <c r="T66" s="20">
        <f t="shared" si="19"/>
        <v>9999</v>
      </c>
      <c r="V66" s="9" t="s">
        <v>36</v>
      </c>
      <c r="W66" s="20">
        <f t="shared" si="26"/>
        <v>9999</v>
      </c>
    </row>
    <row r="67" spans="1:25" x14ac:dyDescent="0.2">
      <c r="A67" s="4" t="s">
        <v>37</v>
      </c>
      <c r="B67" s="19">
        <f t="shared" si="20"/>
        <v>9999</v>
      </c>
      <c r="C67" s="11">
        <f t="shared" si="21"/>
        <v>0</v>
      </c>
      <c r="D67" s="11">
        <f t="shared" si="22"/>
        <v>0</v>
      </c>
      <c r="E67" s="20">
        <f t="shared" si="23"/>
        <v>9999</v>
      </c>
      <c r="G67" s="4" t="s">
        <v>37</v>
      </c>
      <c r="H67" s="11">
        <f t="shared" si="14"/>
        <v>0</v>
      </c>
      <c r="I67" s="11">
        <f t="shared" si="27"/>
        <v>0</v>
      </c>
      <c r="J67" s="20">
        <f t="shared" si="15"/>
        <v>9999</v>
      </c>
      <c r="L67" s="4" t="s">
        <v>37</v>
      </c>
      <c r="M67" s="11">
        <f t="shared" si="16"/>
        <v>0</v>
      </c>
      <c r="N67" s="11">
        <f t="shared" si="17"/>
        <v>0</v>
      </c>
      <c r="O67" s="20">
        <f t="shared" si="18"/>
        <v>9999</v>
      </c>
      <c r="P67" s="13"/>
      <c r="Q67" s="4" t="s">
        <v>37</v>
      </c>
      <c r="R67" s="11">
        <f t="shared" si="24"/>
        <v>0</v>
      </c>
      <c r="S67" s="11">
        <f t="shared" si="25"/>
        <v>0</v>
      </c>
      <c r="T67" s="20">
        <f t="shared" si="19"/>
        <v>9999</v>
      </c>
      <c r="V67" s="4" t="s">
        <v>37</v>
      </c>
      <c r="W67" s="20">
        <f t="shared" si="26"/>
        <v>9999</v>
      </c>
    </row>
    <row r="68" spans="1:25" x14ac:dyDescent="0.2">
      <c r="A68" s="4" t="s">
        <v>38</v>
      </c>
      <c r="B68" s="19">
        <f t="shared" si="20"/>
        <v>9999</v>
      </c>
      <c r="C68" s="11">
        <f t="shared" si="21"/>
        <v>0</v>
      </c>
      <c r="D68" s="11">
        <f t="shared" si="22"/>
        <v>0</v>
      </c>
      <c r="E68" s="20">
        <f t="shared" si="23"/>
        <v>9999</v>
      </c>
      <c r="G68" s="4" t="s">
        <v>38</v>
      </c>
      <c r="H68" s="11">
        <f t="shared" si="14"/>
        <v>0</v>
      </c>
      <c r="I68" s="11">
        <f t="shared" si="27"/>
        <v>0</v>
      </c>
      <c r="J68" s="20">
        <f t="shared" si="15"/>
        <v>9999</v>
      </c>
      <c r="L68" s="4" t="s">
        <v>38</v>
      </c>
      <c r="M68" s="11">
        <f t="shared" si="16"/>
        <v>0</v>
      </c>
      <c r="N68" s="11">
        <f t="shared" si="17"/>
        <v>0</v>
      </c>
      <c r="O68" s="20">
        <f t="shared" si="18"/>
        <v>9999</v>
      </c>
      <c r="P68" s="13"/>
      <c r="Q68" s="4" t="s">
        <v>38</v>
      </c>
      <c r="R68" s="11">
        <f t="shared" si="24"/>
        <v>0</v>
      </c>
      <c r="S68" s="11">
        <f t="shared" si="25"/>
        <v>0</v>
      </c>
      <c r="T68" s="20">
        <f t="shared" si="19"/>
        <v>9999</v>
      </c>
      <c r="V68" s="4" t="s">
        <v>38</v>
      </c>
      <c r="W68" s="20">
        <f t="shared" si="26"/>
        <v>9999</v>
      </c>
    </row>
    <row r="69" spans="1:25" x14ac:dyDescent="0.2">
      <c r="A69" s="4" t="s">
        <v>39</v>
      </c>
      <c r="B69" s="19">
        <f t="shared" si="20"/>
        <v>9999</v>
      </c>
      <c r="C69" s="11">
        <f t="shared" si="21"/>
        <v>0</v>
      </c>
      <c r="D69" s="11">
        <f t="shared" si="22"/>
        <v>0</v>
      </c>
      <c r="E69" s="20">
        <f t="shared" si="23"/>
        <v>9999</v>
      </c>
      <c r="G69" s="4" t="s">
        <v>39</v>
      </c>
      <c r="H69" s="11">
        <f t="shared" si="14"/>
        <v>0</v>
      </c>
      <c r="I69" s="11">
        <f t="shared" si="27"/>
        <v>0</v>
      </c>
      <c r="J69" s="20">
        <f t="shared" si="15"/>
        <v>9999</v>
      </c>
      <c r="L69" s="4" t="s">
        <v>39</v>
      </c>
      <c r="M69" s="11">
        <f t="shared" si="16"/>
        <v>0</v>
      </c>
      <c r="N69" s="11">
        <f t="shared" si="17"/>
        <v>0</v>
      </c>
      <c r="O69" s="20">
        <f t="shared" si="18"/>
        <v>9999</v>
      </c>
      <c r="P69" s="13"/>
      <c r="Q69" s="4" t="s">
        <v>39</v>
      </c>
      <c r="R69" s="11">
        <f t="shared" si="24"/>
        <v>0</v>
      </c>
      <c r="S69" s="11">
        <f t="shared" si="25"/>
        <v>0</v>
      </c>
      <c r="T69" s="20">
        <f t="shared" si="19"/>
        <v>9999</v>
      </c>
      <c r="V69" s="4" t="s">
        <v>39</v>
      </c>
      <c r="W69" s="20">
        <f t="shared" si="26"/>
        <v>9999</v>
      </c>
    </row>
    <row r="70" spans="1:25" x14ac:dyDescent="0.2">
      <c r="A70" s="9" t="s">
        <v>40</v>
      </c>
      <c r="B70" s="19">
        <f t="shared" si="20"/>
        <v>9999</v>
      </c>
      <c r="C70" s="11">
        <f t="shared" si="21"/>
        <v>0</v>
      </c>
      <c r="D70" s="11">
        <f t="shared" si="22"/>
        <v>0</v>
      </c>
      <c r="E70" s="20">
        <f t="shared" si="23"/>
        <v>9999</v>
      </c>
      <c r="G70" s="9" t="s">
        <v>40</v>
      </c>
      <c r="H70" s="11">
        <f t="shared" si="14"/>
        <v>0</v>
      </c>
      <c r="I70" s="11">
        <f t="shared" si="27"/>
        <v>0</v>
      </c>
      <c r="J70" s="20">
        <f t="shared" si="15"/>
        <v>9999</v>
      </c>
      <c r="L70" s="9" t="s">
        <v>40</v>
      </c>
      <c r="M70" s="11">
        <f t="shared" si="16"/>
        <v>0</v>
      </c>
      <c r="N70" s="11">
        <f t="shared" si="17"/>
        <v>0</v>
      </c>
      <c r="O70" s="20">
        <f t="shared" si="18"/>
        <v>9999</v>
      </c>
      <c r="P70" s="13"/>
      <c r="Q70" s="9" t="s">
        <v>40</v>
      </c>
      <c r="R70" s="11">
        <f t="shared" si="24"/>
        <v>0</v>
      </c>
      <c r="S70" s="11">
        <f t="shared" si="25"/>
        <v>0</v>
      </c>
      <c r="T70" s="20">
        <f t="shared" si="19"/>
        <v>9999</v>
      </c>
      <c r="V70" s="9" t="s">
        <v>40</v>
      </c>
      <c r="W70" s="20">
        <f t="shared" si="26"/>
        <v>9999</v>
      </c>
    </row>
    <row r="71" spans="1:25" x14ac:dyDescent="0.2">
      <c r="A71" s="9" t="s">
        <v>41</v>
      </c>
      <c r="B71" s="19">
        <f t="shared" si="20"/>
        <v>9999</v>
      </c>
      <c r="C71" s="11">
        <f t="shared" si="21"/>
        <v>0</v>
      </c>
      <c r="D71" s="11">
        <f t="shared" si="22"/>
        <v>0</v>
      </c>
      <c r="E71" s="20">
        <f t="shared" si="23"/>
        <v>9999</v>
      </c>
      <c r="G71" s="9" t="s">
        <v>41</v>
      </c>
      <c r="H71" s="11">
        <f t="shared" si="14"/>
        <v>0</v>
      </c>
      <c r="I71" s="11">
        <f t="shared" si="27"/>
        <v>0</v>
      </c>
      <c r="J71" s="20">
        <f t="shared" si="15"/>
        <v>9999</v>
      </c>
      <c r="L71" s="9" t="s">
        <v>41</v>
      </c>
      <c r="M71" s="11">
        <f t="shared" si="16"/>
        <v>0</v>
      </c>
      <c r="N71" s="11">
        <f t="shared" si="17"/>
        <v>0</v>
      </c>
      <c r="O71" s="20">
        <f t="shared" si="18"/>
        <v>9999</v>
      </c>
      <c r="P71" s="13"/>
      <c r="Q71" s="9" t="s">
        <v>41</v>
      </c>
      <c r="R71" s="11">
        <f t="shared" si="24"/>
        <v>0</v>
      </c>
      <c r="S71" s="11">
        <f t="shared" si="25"/>
        <v>0</v>
      </c>
      <c r="T71" s="20">
        <f t="shared" si="19"/>
        <v>9999</v>
      </c>
      <c r="V71" s="9" t="s">
        <v>41</v>
      </c>
      <c r="W71" s="20">
        <f t="shared" si="26"/>
        <v>9999</v>
      </c>
    </row>
    <row r="72" spans="1:25" x14ac:dyDescent="0.2">
      <c r="A72" s="9" t="s">
        <v>42</v>
      </c>
      <c r="B72" s="19">
        <f t="shared" si="20"/>
        <v>9999</v>
      </c>
      <c r="C72" s="11">
        <f t="shared" si="21"/>
        <v>0</v>
      </c>
      <c r="D72" s="11">
        <f t="shared" si="22"/>
        <v>0</v>
      </c>
      <c r="E72" s="20">
        <f t="shared" si="23"/>
        <v>9999</v>
      </c>
      <c r="G72" s="9" t="s">
        <v>42</v>
      </c>
      <c r="H72" s="11">
        <f t="shared" si="14"/>
        <v>0</v>
      </c>
      <c r="I72" s="11">
        <f t="shared" si="27"/>
        <v>0</v>
      </c>
      <c r="J72" s="20">
        <f t="shared" si="15"/>
        <v>9999</v>
      </c>
      <c r="L72" s="9" t="s">
        <v>42</v>
      </c>
      <c r="M72" s="11">
        <f t="shared" si="16"/>
        <v>0</v>
      </c>
      <c r="N72" s="11">
        <f t="shared" si="17"/>
        <v>0</v>
      </c>
      <c r="O72" s="20">
        <f t="shared" si="18"/>
        <v>9999</v>
      </c>
      <c r="P72" s="13"/>
      <c r="Q72" s="9" t="s">
        <v>42</v>
      </c>
      <c r="R72" s="11">
        <f t="shared" si="24"/>
        <v>0</v>
      </c>
      <c r="S72" s="11">
        <f t="shared" si="25"/>
        <v>0</v>
      </c>
      <c r="T72" s="20">
        <f t="shared" si="19"/>
        <v>9999</v>
      </c>
      <c r="V72" s="9" t="s">
        <v>42</v>
      </c>
      <c r="W72" s="20">
        <f t="shared" si="26"/>
        <v>9999</v>
      </c>
    </row>
    <row r="73" spans="1:25" x14ac:dyDescent="0.2">
      <c r="A73" s="9" t="s">
        <v>43</v>
      </c>
      <c r="B73" s="19">
        <f t="shared" si="20"/>
        <v>9999</v>
      </c>
      <c r="C73" s="11">
        <f t="shared" si="21"/>
        <v>0</v>
      </c>
      <c r="D73" s="11">
        <f t="shared" si="22"/>
        <v>0</v>
      </c>
      <c r="E73" s="20">
        <f t="shared" si="23"/>
        <v>9999</v>
      </c>
      <c r="G73" s="9" t="s">
        <v>43</v>
      </c>
      <c r="H73" s="11">
        <f t="shared" si="14"/>
        <v>0</v>
      </c>
      <c r="I73" s="11">
        <f t="shared" si="27"/>
        <v>0</v>
      </c>
      <c r="J73" s="20">
        <f t="shared" si="15"/>
        <v>9999</v>
      </c>
      <c r="L73" s="9" t="s">
        <v>43</v>
      </c>
      <c r="M73" s="11">
        <f t="shared" si="16"/>
        <v>0</v>
      </c>
      <c r="N73" s="11">
        <f t="shared" si="17"/>
        <v>0</v>
      </c>
      <c r="O73" s="20">
        <f t="shared" si="18"/>
        <v>9999</v>
      </c>
      <c r="P73" s="13"/>
      <c r="Q73" s="9" t="s">
        <v>43</v>
      </c>
      <c r="R73" s="11">
        <f t="shared" si="24"/>
        <v>0</v>
      </c>
      <c r="S73" s="11">
        <f t="shared" si="25"/>
        <v>0</v>
      </c>
      <c r="T73" s="20">
        <f t="shared" si="19"/>
        <v>9999</v>
      </c>
      <c r="V73" s="9" t="s">
        <v>43</v>
      </c>
      <c r="W73" s="20">
        <f t="shared" si="26"/>
        <v>9999</v>
      </c>
    </row>
    <row r="74" spans="1:25" x14ac:dyDescent="0.2">
      <c r="A74" s="10" t="s">
        <v>44</v>
      </c>
      <c r="B74" s="21">
        <f t="shared" si="20"/>
        <v>9999</v>
      </c>
      <c r="C74" s="12">
        <f t="shared" si="21"/>
        <v>0</v>
      </c>
      <c r="D74" s="12">
        <f t="shared" si="22"/>
        <v>0</v>
      </c>
      <c r="E74" s="22">
        <f t="shared" si="23"/>
        <v>9999</v>
      </c>
      <c r="G74" s="10" t="s">
        <v>44</v>
      </c>
      <c r="H74" s="12">
        <f t="shared" si="14"/>
        <v>0</v>
      </c>
      <c r="I74" s="12">
        <f t="shared" si="27"/>
        <v>0</v>
      </c>
      <c r="J74" s="22">
        <f t="shared" si="15"/>
        <v>9999</v>
      </c>
      <c r="L74" s="10" t="s">
        <v>44</v>
      </c>
      <c r="M74" s="12">
        <f t="shared" si="16"/>
        <v>0</v>
      </c>
      <c r="N74" s="12">
        <f t="shared" si="17"/>
        <v>0</v>
      </c>
      <c r="O74" s="22">
        <f t="shared" si="18"/>
        <v>9999</v>
      </c>
      <c r="P74" s="13"/>
      <c r="Q74" s="10" t="s">
        <v>44</v>
      </c>
      <c r="R74" s="12">
        <f t="shared" si="24"/>
        <v>0</v>
      </c>
      <c r="S74" s="12">
        <f t="shared" si="25"/>
        <v>0</v>
      </c>
      <c r="T74" s="22">
        <f t="shared" si="19"/>
        <v>9999</v>
      </c>
      <c r="V74" s="10" t="s">
        <v>44</v>
      </c>
      <c r="W74" s="22">
        <f t="shared" si="26"/>
        <v>9999</v>
      </c>
    </row>
    <row r="75" spans="1:25" x14ac:dyDescent="0.2">
      <c r="P75" s="13"/>
    </row>
    <row r="76" spans="1:25" x14ac:dyDescent="0.2">
      <c r="A76" s="18" t="s">
        <v>8</v>
      </c>
      <c r="P76" s="13"/>
    </row>
    <row r="77" spans="1:25" x14ac:dyDescent="0.2">
      <c r="A77" s="36" t="s">
        <v>74</v>
      </c>
      <c r="B77" s="2"/>
      <c r="C77" s="2"/>
      <c r="D77" s="2"/>
      <c r="E77" s="3"/>
      <c r="G77" s="35" t="s">
        <v>73</v>
      </c>
      <c r="H77" s="2"/>
      <c r="I77" s="2"/>
      <c r="J77" s="3"/>
      <c r="L77" s="1" t="s">
        <v>2</v>
      </c>
      <c r="M77" s="2"/>
      <c r="N77" s="2"/>
      <c r="O77" s="3"/>
      <c r="P77" s="11"/>
      <c r="Q77" s="36" t="s">
        <v>76</v>
      </c>
      <c r="R77" s="2"/>
      <c r="S77" s="2"/>
      <c r="T77" s="3"/>
      <c r="V77" s="36" t="s">
        <v>757</v>
      </c>
      <c r="W77" s="50"/>
    </row>
    <row r="78" spans="1:25" x14ac:dyDescent="0.2">
      <c r="A78" s="4"/>
      <c r="B78" s="5"/>
      <c r="C78" s="5"/>
      <c r="D78" s="5"/>
      <c r="E78" s="6"/>
      <c r="G78" s="4"/>
      <c r="H78" s="5"/>
      <c r="I78" s="5"/>
      <c r="J78" s="6"/>
      <c r="L78" s="4"/>
      <c r="M78" s="5"/>
      <c r="N78" s="5"/>
      <c r="O78" s="6"/>
      <c r="P78" s="11"/>
      <c r="Q78" s="4"/>
      <c r="R78" s="5"/>
      <c r="S78" s="5"/>
      <c r="T78" s="6"/>
      <c r="V78" s="4"/>
      <c r="W78" s="6"/>
      <c r="Y78" s="37"/>
    </row>
    <row r="79" spans="1:25" x14ac:dyDescent="0.2">
      <c r="A79" s="4"/>
      <c r="B79" s="19" t="s">
        <v>3</v>
      </c>
      <c r="C79" s="5"/>
      <c r="D79" s="5"/>
      <c r="E79" s="20" t="s">
        <v>4</v>
      </c>
      <c r="G79" s="4"/>
      <c r="H79" s="5"/>
      <c r="I79" s="5"/>
      <c r="J79" s="20" t="s">
        <v>5</v>
      </c>
      <c r="L79" s="4"/>
      <c r="M79" s="5"/>
      <c r="N79" s="5"/>
      <c r="O79" s="20" t="s">
        <v>5</v>
      </c>
      <c r="P79" s="11"/>
      <c r="Q79" s="4"/>
      <c r="R79" s="5"/>
      <c r="S79" s="5"/>
      <c r="T79" s="20" t="s">
        <v>5</v>
      </c>
      <c r="V79" s="4"/>
      <c r="W79" s="6"/>
    </row>
    <row r="80" spans="1:25" x14ac:dyDescent="0.2">
      <c r="A80" s="4" t="s">
        <v>25</v>
      </c>
      <c r="B80" s="19">
        <f>IF(F5="",9999,F5)</f>
        <v>9999</v>
      </c>
      <c r="C80" s="11">
        <f>IF(I5="na","na",IF(I5&gt;L5,I5/10,IF(L5="na","na",L5/10)))</f>
        <v>0</v>
      </c>
      <c r="D80" s="11">
        <f>IF(L5="na","na",IF(I5&gt;L5,L5/10,IF(I5="na","na",I5/10)))</f>
        <v>0</v>
      </c>
      <c r="E80" s="20">
        <f>IF(ISERROR(C80-D80),9999,IF(OR(C80=0,D80=0),9999,IF(SUM(C80-D80)&lt;=0,9999,SUM(C80-D80))))</f>
        <v>9999</v>
      </c>
      <c r="G80" s="4" t="s">
        <v>25</v>
      </c>
      <c r="H80" s="11">
        <f>H5</f>
        <v>0</v>
      </c>
      <c r="I80" s="11">
        <f>K5</f>
        <v>0</v>
      </c>
      <c r="J80" s="20">
        <f t="shared" ref="J80:J99" si="28">IF(ISERROR(I80-H80),9999,IF(OR(H80=0,I80=0),9999,IF(SUM(I80-H80)&lt;=0,9999,SUM(I80-H80))))</f>
        <v>9999</v>
      </c>
      <c r="L80" s="4" t="s">
        <v>25</v>
      </c>
      <c r="M80" s="11">
        <f>M5</f>
        <v>0</v>
      </c>
      <c r="N80" s="11">
        <f t="shared" ref="N80:N99" si="29">K5</f>
        <v>0</v>
      </c>
      <c r="O80" s="20">
        <f t="shared" ref="O80:O99" si="30">IF(ISERROR(M80-N80),9999,IF(OR(M80=0,N80=0),9999,IF(SUM(M80-N80)&lt;=0,9999,SUM(M80-N80))))</f>
        <v>9999</v>
      </c>
      <c r="P80" s="13"/>
      <c r="Q80" s="4" t="s">
        <v>25</v>
      </c>
      <c r="R80" s="11">
        <f>M5</f>
        <v>0</v>
      </c>
      <c r="S80" s="11">
        <f>H5</f>
        <v>0</v>
      </c>
      <c r="T80" s="20">
        <f t="shared" ref="T80:T99" si="31">IF(ISERROR(R80-S80),9999,IF(OR(R80=0,S80=0),9999,IF(SUM(R80-S80)&lt;=0,9999,SUM(R80-S80))))</f>
        <v>9999</v>
      </c>
      <c r="V80" s="4" t="s">
        <v>25</v>
      </c>
      <c r="W80" s="20">
        <f>IF(N5="",9999,N5)</f>
        <v>9999</v>
      </c>
    </row>
    <row r="81" spans="1:23" x14ac:dyDescent="0.2">
      <c r="A81" s="4" t="s">
        <v>26</v>
      </c>
      <c r="B81" s="19">
        <f t="shared" ref="B81:B99" si="32">IF(F6="",9999,F6)</f>
        <v>9999</v>
      </c>
      <c r="C81" s="11">
        <f t="shared" ref="C81:C99" si="33">IF(I6="na","na",IF(I6&gt;L6,I6/10,IF(L6="na","na",L6/10)))</f>
        <v>0</v>
      </c>
      <c r="D81" s="11">
        <f t="shared" ref="D81:D99" si="34">IF(L6="na","na",IF(I6&gt;L6,L6/10,IF(I6="na","na",I6/10)))</f>
        <v>0</v>
      </c>
      <c r="E81" s="20">
        <f t="shared" ref="E81:E99" si="35">IF(ISERROR(C81-D81),9999,IF(OR(C81=0,D81=0),9999,IF(SUM(C81-D81)&lt;=0,9999,SUM(C81-D81))))</f>
        <v>9999</v>
      </c>
      <c r="G81" s="4" t="s">
        <v>26</v>
      </c>
      <c r="H81" s="11">
        <f>H6</f>
        <v>0</v>
      </c>
      <c r="I81" s="11">
        <f>K6</f>
        <v>0</v>
      </c>
      <c r="J81" s="20">
        <f t="shared" si="28"/>
        <v>9999</v>
      </c>
      <c r="L81" s="4" t="s">
        <v>26</v>
      </c>
      <c r="M81" s="11">
        <f>M6</f>
        <v>0</v>
      </c>
      <c r="N81" s="11">
        <f t="shared" si="29"/>
        <v>0</v>
      </c>
      <c r="O81" s="20">
        <f t="shared" si="30"/>
        <v>9999</v>
      </c>
      <c r="P81" s="13"/>
      <c r="Q81" s="4" t="s">
        <v>26</v>
      </c>
      <c r="R81" s="11">
        <f t="shared" ref="R81:R99" si="36">M6</f>
        <v>0</v>
      </c>
      <c r="S81" s="11">
        <f t="shared" ref="S81:S99" si="37">H6</f>
        <v>0</v>
      </c>
      <c r="T81" s="20">
        <f t="shared" si="31"/>
        <v>9999</v>
      </c>
      <c r="V81" s="4" t="s">
        <v>26</v>
      </c>
      <c r="W81" s="20">
        <f t="shared" ref="W81:W99" si="38">IF(N6="",9999,N6)</f>
        <v>9999</v>
      </c>
    </row>
    <row r="82" spans="1:23" x14ac:dyDescent="0.2">
      <c r="A82" s="4" t="s">
        <v>27</v>
      </c>
      <c r="B82" s="19">
        <f t="shared" si="32"/>
        <v>9999</v>
      </c>
      <c r="C82" s="11">
        <f t="shared" si="33"/>
        <v>0</v>
      </c>
      <c r="D82" s="11">
        <f t="shared" si="34"/>
        <v>0</v>
      </c>
      <c r="E82" s="20">
        <f t="shared" si="35"/>
        <v>9999</v>
      </c>
      <c r="G82" s="4" t="s">
        <v>27</v>
      </c>
      <c r="H82" s="11">
        <f t="shared" ref="H82:H99" si="39">H7</f>
        <v>0</v>
      </c>
      <c r="I82" s="11">
        <f t="shared" ref="I82:I99" si="40">K7</f>
        <v>0</v>
      </c>
      <c r="J82" s="20">
        <f t="shared" si="28"/>
        <v>9999</v>
      </c>
      <c r="L82" s="4" t="s">
        <v>27</v>
      </c>
      <c r="M82" s="11">
        <f t="shared" ref="M82:M99" si="41">M7</f>
        <v>0</v>
      </c>
      <c r="N82" s="11">
        <f t="shared" si="29"/>
        <v>0</v>
      </c>
      <c r="O82" s="20">
        <f t="shared" si="30"/>
        <v>9999</v>
      </c>
      <c r="P82" s="13"/>
      <c r="Q82" s="4" t="s">
        <v>27</v>
      </c>
      <c r="R82" s="11">
        <f t="shared" si="36"/>
        <v>0</v>
      </c>
      <c r="S82" s="11">
        <f t="shared" si="37"/>
        <v>0</v>
      </c>
      <c r="T82" s="20">
        <f t="shared" si="31"/>
        <v>9999</v>
      </c>
      <c r="V82" s="4" t="s">
        <v>27</v>
      </c>
      <c r="W82" s="20">
        <f t="shared" si="38"/>
        <v>9999</v>
      </c>
    </row>
    <row r="83" spans="1:23" x14ac:dyDescent="0.2">
      <c r="A83" s="4" t="s">
        <v>28</v>
      </c>
      <c r="B83" s="19">
        <f t="shared" si="32"/>
        <v>9999</v>
      </c>
      <c r="C83" s="11">
        <f t="shared" si="33"/>
        <v>0</v>
      </c>
      <c r="D83" s="11">
        <f t="shared" si="34"/>
        <v>0</v>
      </c>
      <c r="E83" s="20">
        <f t="shared" si="35"/>
        <v>9999</v>
      </c>
      <c r="G83" s="4" t="s">
        <v>28</v>
      </c>
      <c r="H83" s="11">
        <f t="shared" si="39"/>
        <v>0</v>
      </c>
      <c r="I83" s="11">
        <f t="shared" si="40"/>
        <v>0</v>
      </c>
      <c r="J83" s="20">
        <f t="shared" si="28"/>
        <v>9999</v>
      </c>
      <c r="L83" s="4" t="s">
        <v>28</v>
      </c>
      <c r="M83" s="11">
        <f t="shared" si="41"/>
        <v>0</v>
      </c>
      <c r="N83" s="11">
        <f t="shared" si="29"/>
        <v>0</v>
      </c>
      <c r="O83" s="20">
        <f t="shared" si="30"/>
        <v>9999</v>
      </c>
      <c r="P83" s="13"/>
      <c r="Q83" s="4" t="s">
        <v>28</v>
      </c>
      <c r="R83" s="11">
        <f t="shared" si="36"/>
        <v>0</v>
      </c>
      <c r="S83" s="11">
        <f t="shared" si="37"/>
        <v>0</v>
      </c>
      <c r="T83" s="20">
        <f t="shared" si="31"/>
        <v>9999</v>
      </c>
      <c r="V83" s="4" t="s">
        <v>28</v>
      </c>
      <c r="W83" s="20">
        <f t="shared" si="38"/>
        <v>9999</v>
      </c>
    </row>
    <row r="84" spans="1:23" x14ac:dyDescent="0.2">
      <c r="A84" s="4" t="s">
        <v>29</v>
      </c>
      <c r="B84" s="19">
        <f t="shared" si="32"/>
        <v>9999</v>
      </c>
      <c r="C84" s="11">
        <f t="shared" si="33"/>
        <v>0</v>
      </c>
      <c r="D84" s="11">
        <f t="shared" si="34"/>
        <v>0</v>
      </c>
      <c r="E84" s="20">
        <f t="shared" si="35"/>
        <v>9999</v>
      </c>
      <c r="G84" s="4" t="s">
        <v>29</v>
      </c>
      <c r="H84" s="11">
        <f t="shared" si="39"/>
        <v>0</v>
      </c>
      <c r="I84" s="11">
        <f t="shared" si="40"/>
        <v>0</v>
      </c>
      <c r="J84" s="20">
        <f t="shared" si="28"/>
        <v>9999</v>
      </c>
      <c r="L84" s="4" t="s">
        <v>29</v>
      </c>
      <c r="M84" s="11">
        <f t="shared" si="41"/>
        <v>0</v>
      </c>
      <c r="N84" s="11">
        <f t="shared" si="29"/>
        <v>0</v>
      </c>
      <c r="O84" s="20">
        <f t="shared" si="30"/>
        <v>9999</v>
      </c>
      <c r="P84" s="13"/>
      <c r="Q84" s="4" t="s">
        <v>29</v>
      </c>
      <c r="R84" s="11">
        <f t="shared" si="36"/>
        <v>0</v>
      </c>
      <c r="S84" s="11">
        <f t="shared" si="37"/>
        <v>0</v>
      </c>
      <c r="T84" s="20">
        <f t="shared" si="31"/>
        <v>9999</v>
      </c>
      <c r="V84" s="4" t="s">
        <v>29</v>
      </c>
      <c r="W84" s="20">
        <f t="shared" si="38"/>
        <v>9999</v>
      </c>
    </row>
    <row r="85" spans="1:23" x14ac:dyDescent="0.2">
      <c r="A85" s="4" t="s">
        <v>30</v>
      </c>
      <c r="B85" s="19">
        <f t="shared" si="32"/>
        <v>9999</v>
      </c>
      <c r="C85" s="11">
        <f t="shared" si="33"/>
        <v>0</v>
      </c>
      <c r="D85" s="11">
        <f t="shared" si="34"/>
        <v>0</v>
      </c>
      <c r="E85" s="20">
        <f t="shared" si="35"/>
        <v>9999</v>
      </c>
      <c r="G85" s="4" t="s">
        <v>30</v>
      </c>
      <c r="H85" s="11">
        <f t="shared" si="39"/>
        <v>0</v>
      </c>
      <c r="I85" s="11">
        <f t="shared" si="40"/>
        <v>0</v>
      </c>
      <c r="J85" s="20">
        <f t="shared" si="28"/>
        <v>9999</v>
      </c>
      <c r="L85" s="4" t="s">
        <v>30</v>
      </c>
      <c r="M85" s="11">
        <f t="shared" si="41"/>
        <v>0</v>
      </c>
      <c r="N85" s="11">
        <f t="shared" si="29"/>
        <v>0</v>
      </c>
      <c r="O85" s="20">
        <f t="shared" si="30"/>
        <v>9999</v>
      </c>
      <c r="P85" s="13"/>
      <c r="Q85" s="4" t="s">
        <v>30</v>
      </c>
      <c r="R85" s="11">
        <f t="shared" si="36"/>
        <v>0</v>
      </c>
      <c r="S85" s="11">
        <f t="shared" si="37"/>
        <v>0</v>
      </c>
      <c r="T85" s="20">
        <f t="shared" si="31"/>
        <v>9999</v>
      </c>
      <c r="V85" s="4" t="s">
        <v>30</v>
      </c>
      <c r="W85" s="20">
        <f t="shared" si="38"/>
        <v>9999</v>
      </c>
    </row>
    <row r="86" spans="1:23" x14ac:dyDescent="0.2">
      <c r="A86" s="4" t="s">
        <v>31</v>
      </c>
      <c r="B86" s="19">
        <f t="shared" si="32"/>
        <v>9999</v>
      </c>
      <c r="C86" s="11">
        <f t="shared" si="33"/>
        <v>0</v>
      </c>
      <c r="D86" s="11">
        <f t="shared" si="34"/>
        <v>0</v>
      </c>
      <c r="E86" s="20">
        <f t="shared" si="35"/>
        <v>9999</v>
      </c>
      <c r="G86" s="4" t="s">
        <v>31</v>
      </c>
      <c r="H86" s="11">
        <f t="shared" si="39"/>
        <v>0</v>
      </c>
      <c r="I86" s="11">
        <f t="shared" si="40"/>
        <v>0</v>
      </c>
      <c r="J86" s="20">
        <f t="shared" si="28"/>
        <v>9999</v>
      </c>
      <c r="L86" s="4" t="s">
        <v>31</v>
      </c>
      <c r="M86" s="11">
        <f t="shared" si="41"/>
        <v>0</v>
      </c>
      <c r="N86" s="11">
        <f t="shared" si="29"/>
        <v>0</v>
      </c>
      <c r="O86" s="20">
        <f t="shared" si="30"/>
        <v>9999</v>
      </c>
      <c r="P86" s="13"/>
      <c r="Q86" s="4" t="s">
        <v>31</v>
      </c>
      <c r="R86" s="11">
        <f t="shared" si="36"/>
        <v>0</v>
      </c>
      <c r="S86" s="11">
        <f t="shared" si="37"/>
        <v>0</v>
      </c>
      <c r="T86" s="20">
        <f t="shared" si="31"/>
        <v>9999</v>
      </c>
      <c r="V86" s="4" t="s">
        <v>31</v>
      </c>
      <c r="W86" s="20">
        <f t="shared" si="38"/>
        <v>9999</v>
      </c>
    </row>
    <row r="87" spans="1:23" x14ac:dyDescent="0.2">
      <c r="A87" s="9" t="s">
        <v>32</v>
      </c>
      <c r="B87" s="19">
        <f t="shared" si="32"/>
        <v>9999</v>
      </c>
      <c r="C87" s="11">
        <f t="shared" si="33"/>
        <v>0</v>
      </c>
      <c r="D87" s="11">
        <f t="shared" si="34"/>
        <v>0</v>
      </c>
      <c r="E87" s="20">
        <f t="shared" si="35"/>
        <v>9999</v>
      </c>
      <c r="G87" s="9" t="s">
        <v>32</v>
      </c>
      <c r="H87" s="11">
        <f t="shared" si="39"/>
        <v>0</v>
      </c>
      <c r="I87" s="11">
        <f t="shared" si="40"/>
        <v>0</v>
      </c>
      <c r="J87" s="20">
        <f t="shared" si="28"/>
        <v>9999</v>
      </c>
      <c r="L87" s="9" t="s">
        <v>32</v>
      </c>
      <c r="M87" s="11">
        <f t="shared" si="41"/>
        <v>0</v>
      </c>
      <c r="N87" s="11">
        <f t="shared" si="29"/>
        <v>0</v>
      </c>
      <c r="O87" s="20">
        <f t="shared" si="30"/>
        <v>9999</v>
      </c>
      <c r="P87" s="13"/>
      <c r="Q87" s="9" t="s">
        <v>32</v>
      </c>
      <c r="R87" s="11">
        <f t="shared" si="36"/>
        <v>0</v>
      </c>
      <c r="S87" s="11">
        <f t="shared" si="37"/>
        <v>0</v>
      </c>
      <c r="T87" s="20">
        <f t="shared" si="31"/>
        <v>9999</v>
      </c>
      <c r="V87" s="9" t="s">
        <v>32</v>
      </c>
      <c r="W87" s="20">
        <f t="shared" si="38"/>
        <v>9999</v>
      </c>
    </row>
    <row r="88" spans="1:23" x14ac:dyDescent="0.2">
      <c r="A88" s="9" t="s">
        <v>33</v>
      </c>
      <c r="B88" s="19">
        <f t="shared" si="32"/>
        <v>9999</v>
      </c>
      <c r="C88" s="11">
        <f t="shared" si="33"/>
        <v>0</v>
      </c>
      <c r="D88" s="11">
        <f t="shared" si="34"/>
        <v>0</v>
      </c>
      <c r="E88" s="20">
        <f t="shared" si="35"/>
        <v>9999</v>
      </c>
      <c r="G88" s="9" t="s">
        <v>33</v>
      </c>
      <c r="H88" s="11">
        <f t="shared" si="39"/>
        <v>0</v>
      </c>
      <c r="I88" s="11">
        <f t="shared" si="40"/>
        <v>0</v>
      </c>
      <c r="J88" s="20">
        <f t="shared" si="28"/>
        <v>9999</v>
      </c>
      <c r="L88" s="9" t="s">
        <v>33</v>
      </c>
      <c r="M88" s="11">
        <f t="shared" si="41"/>
        <v>0</v>
      </c>
      <c r="N88" s="11">
        <f t="shared" si="29"/>
        <v>0</v>
      </c>
      <c r="O88" s="20">
        <f t="shared" si="30"/>
        <v>9999</v>
      </c>
      <c r="P88" s="13"/>
      <c r="Q88" s="9" t="s">
        <v>33</v>
      </c>
      <c r="R88" s="11">
        <f t="shared" si="36"/>
        <v>0</v>
      </c>
      <c r="S88" s="11">
        <f t="shared" si="37"/>
        <v>0</v>
      </c>
      <c r="T88" s="20">
        <f t="shared" si="31"/>
        <v>9999</v>
      </c>
      <c r="V88" s="9" t="s">
        <v>33</v>
      </c>
      <c r="W88" s="20">
        <f t="shared" si="38"/>
        <v>9999</v>
      </c>
    </row>
    <row r="89" spans="1:23" x14ac:dyDescent="0.2">
      <c r="A89" s="9" t="s">
        <v>34</v>
      </c>
      <c r="B89" s="19">
        <f t="shared" si="32"/>
        <v>9999</v>
      </c>
      <c r="C89" s="11">
        <f t="shared" si="33"/>
        <v>0</v>
      </c>
      <c r="D89" s="11">
        <f t="shared" si="34"/>
        <v>0</v>
      </c>
      <c r="E89" s="20">
        <f t="shared" si="35"/>
        <v>9999</v>
      </c>
      <c r="G89" s="9" t="s">
        <v>34</v>
      </c>
      <c r="H89" s="11">
        <f t="shared" si="39"/>
        <v>0</v>
      </c>
      <c r="I89" s="11">
        <f t="shared" si="40"/>
        <v>0</v>
      </c>
      <c r="J89" s="20">
        <f t="shared" si="28"/>
        <v>9999</v>
      </c>
      <c r="L89" s="9" t="s">
        <v>34</v>
      </c>
      <c r="M89" s="11">
        <f t="shared" si="41"/>
        <v>0</v>
      </c>
      <c r="N89" s="11">
        <f t="shared" si="29"/>
        <v>0</v>
      </c>
      <c r="O89" s="20">
        <f t="shared" si="30"/>
        <v>9999</v>
      </c>
      <c r="P89" s="13"/>
      <c r="Q89" s="9" t="s">
        <v>34</v>
      </c>
      <c r="R89" s="11">
        <f t="shared" si="36"/>
        <v>0</v>
      </c>
      <c r="S89" s="11">
        <f t="shared" si="37"/>
        <v>0</v>
      </c>
      <c r="T89" s="20">
        <f t="shared" si="31"/>
        <v>9999</v>
      </c>
      <c r="V89" s="9" t="s">
        <v>34</v>
      </c>
      <c r="W89" s="20">
        <f t="shared" si="38"/>
        <v>9999</v>
      </c>
    </row>
    <row r="90" spans="1:23" x14ac:dyDescent="0.2">
      <c r="A90" s="9" t="s">
        <v>35</v>
      </c>
      <c r="B90" s="19">
        <f t="shared" si="32"/>
        <v>9999</v>
      </c>
      <c r="C90" s="11">
        <f t="shared" si="33"/>
        <v>0</v>
      </c>
      <c r="D90" s="11">
        <f t="shared" si="34"/>
        <v>0</v>
      </c>
      <c r="E90" s="20">
        <f t="shared" si="35"/>
        <v>9999</v>
      </c>
      <c r="G90" s="9" t="s">
        <v>35</v>
      </c>
      <c r="H90" s="11">
        <f t="shared" si="39"/>
        <v>0</v>
      </c>
      <c r="I90" s="11">
        <f t="shared" si="40"/>
        <v>0</v>
      </c>
      <c r="J90" s="20">
        <f t="shared" si="28"/>
        <v>9999</v>
      </c>
      <c r="L90" s="9" t="s">
        <v>35</v>
      </c>
      <c r="M90" s="11">
        <f t="shared" si="41"/>
        <v>0</v>
      </c>
      <c r="N90" s="11">
        <f t="shared" si="29"/>
        <v>0</v>
      </c>
      <c r="O90" s="20">
        <f t="shared" si="30"/>
        <v>9999</v>
      </c>
      <c r="P90" s="13"/>
      <c r="Q90" s="9" t="s">
        <v>35</v>
      </c>
      <c r="R90" s="11">
        <f t="shared" si="36"/>
        <v>0</v>
      </c>
      <c r="S90" s="11">
        <f t="shared" si="37"/>
        <v>0</v>
      </c>
      <c r="T90" s="20">
        <f t="shared" si="31"/>
        <v>9999</v>
      </c>
      <c r="V90" s="9" t="s">
        <v>35</v>
      </c>
      <c r="W90" s="20">
        <f t="shared" si="38"/>
        <v>9999</v>
      </c>
    </row>
    <row r="91" spans="1:23" x14ac:dyDescent="0.2">
      <c r="A91" s="9" t="s">
        <v>36</v>
      </c>
      <c r="B91" s="19">
        <f t="shared" si="32"/>
        <v>9999</v>
      </c>
      <c r="C91" s="11">
        <f t="shared" si="33"/>
        <v>0</v>
      </c>
      <c r="D91" s="11">
        <f t="shared" si="34"/>
        <v>0</v>
      </c>
      <c r="E91" s="20">
        <f t="shared" si="35"/>
        <v>9999</v>
      </c>
      <c r="G91" s="9" t="s">
        <v>36</v>
      </c>
      <c r="H91" s="11">
        <f t="shared" si="39"/>
        <v>0</v>
      </c>
      <c r="I91" s="11">
        <f t="shared" si="40"/>
        <v>0</v>
      </c>
      <c r="J91" s="20">
        <f t="shared" si="28"/>
        <v>9999</v>
      </c>
      <c r="L91" s="9" t="s">
        <v>36</v>
      </c>
      <c r="M91" s="11">
        <f t="shared" si="41"/>
        <v>0</v>
      </c>
      <c r="N91" s="11">
        <f t="shared" si="29"/>
        <v>0</v>
      </c>
      <c r="O91" s="20">
        <f t="shared" si="30"/>
        <v>9999</v>
      </c>
      <c r="P91" s="13"/>
      <c r="Q91" s="9" t="s">
        <v>36</v>
      </c>
      <c r="R91" s="11">
        <f t="shared" si="36"/>
        <v>0</v>
      </c>
      <c r="S91" s="11">
        <f t="shared" si="37"/>
        <v>0</v>
      </c>
      <c r="T91" s="20">
        <f t="shared" si="31"/>
        <v>9999</v>
      </c>
      <c r="V91" s="9" t="s">
        <v>36</v>
      </c>
      <c r="W91" s="20">
        <f t="shared" si="38"/>
        <v>9999</v>
      </c>
    </row>
    <row r="92" spans="1:23" x14ac:dyDescent="0.2">
      <c r="A92" s="4" t="s">
        <v>37</v>
      </c>
      <c r="B92" s="19">
        <f t="shared" si="32"/>
        <v>9999</v>
      </c>
      <c r="C92" s="11">
        <f t="shared" si="33"/>
        <v>0</v>
      </c>
      <c r="D92" s="11">
        <f t="shared" si="34"/>
        <v>0</v>
      </c>
      <c r="E92" s="20">
        <f t="shared" si="35"/>
        <v>9999</v>
      </c>
      <c r="G92" s="4" t="s">
        <v>37</v>
      </c>
      <c r="H92" s="11">
        <f t="shared" si="39"/>
        <v>0</v>
      </c>
      <c r="I92" s="11">
        <f t="shared" si="40"/>
        <v>0</v>
      </c>
      <c r="J92" s="20">
        <f t="shared" si="28"/>
        <v>9999</v>
      </c>
      <c r="L92" s="4" t="s">
        <v>37</v>
      </c>
      <c r="M92" s="11">
        <f t="shared" si="41"/>
        <v>0</v>
      </c>
      <c r="N92" s="11">
        <f t="shared" si="29"/>
        <v>0</v>
      </c>
      <c r="O92" s="20">
        <f t="shared" si="30"/>
        <v>9999</v>
      </c>
      <c r="P92" s="13"/>
      <c r="Q92" s="4" t="s">
        <v>37</v>
      </c>
      <c r="R92" s="11">
        <f t="shared" si="36"/>
        <v>0</v>
      </c>
      <c r="S92" s="11">
        <f t="shared" si="37"/>
        <v>0</v>
      </c>
      <c r="T92" s="20">
        <f t="shared" si="31"/>
        <v>9999</v>
      </c>
      <c r="V92" s="4" t="s">
        <v>37</v>
      </c>
      <c r="W92" s="20">
        <f t="shared" si="38"/>
        <v>9999</v>
      </c>
    </row>
    <row r="93" spans="1:23" x14ac:dyDescent="0.2">
      <c r="A93" s="4" t="s">
        <v>38</v>
      </c>
      <c r="B93" s="19">
        <f t="shared" si="32"/>
        <v>9999</v>
      </c>
      <c r="C93" s="11">
        <f t="shared" si="33"/>
        <v>0</v>
      </c>
      <c r="D93" s="11">
        <f t="shared" si="34"/>
        <v>0</v>
      </c>
      <c r="E93" s="20">
        <f t="shared" si="35"/>
        <v>9999</v>
      </c>
      <c r="G93" s="4" t="s">
        <v>38</v>
      </c>
      <c r="H93" s="11">
        <f t="shared" si="39"/>
        <v>0</v>
      </c>
      <c r="I93" s="11">
        <f t="shared" si="40"/>
        <v>0</v>
      </c>
      <c r="J93" s="20">
        <f t="shared" si="28"/>
        <v>9999</v>
      </c>
      <c r="L93" s="4" t="s">
        <v>38</v>
      </c>
      <c r="M93" s="11">
        <f t="shared" si="41"/>
        <v>0</v>
      </c>
      <c r="N93" s="11">
        <f t="shared" si="29"/>
        <v>0</v>
      </c>
      <c r="O93" s="20">
        <f t="shared" si="30"/>
        <v>9999</v>
      </c>
      <c r="P93" s="13"/>
      <c r="Q93" s="4" t="s">
        <v>38</v>
      </c>
      <c r="R93" s="11">
        <f t="shared" si="36"/>
        <v>0</v>
      </c>
      <c r="S93" s="11">
        <f t="shared" si="37"/>
        <v>0</v>
      </c>
      <c r="T93" s="20">
        <f t="shared" si="31"/>
        <v>9999</v>
      </c>
      <c r="V93" s="4" t="s">
        <v>38</v>
      </c>
      <c r="W93" s="20">
        <f t="shared" si="38"/>
        <v>9999</v>
      </c>
    </row>
    <row r="94" spans="1:23" x14ac:dyDescent="0.2">
      <c r="A94" s="4" t="s">
        <v>39</v>
      </c>
      <c r="B94" s="19">
        <f t="shared" si="32"/>
        <v>9999</v>
      </c>
      <c r="C94" s="11">
        <f t="shared" si="33"/>
        <v>0</v>
      </c>
      <c r="D94" s="11">
        <f t="shared" si="34"/>
        <v>0</v>
      </c>
      <c r="E94" s="20">
        <f t="shared" si="35"/>
        <v>9999</v>
      </c>
      <c r="G94" s="4" t="s">
        <v>39</v>
      </c>
      <c r="H94" s="11">
        <f t="shared" si="39"/>
        <v>0</v>
      </c>
      <c r="I94" s="11">
        <f t="shared" si="40"/>
        <v>0</v>
      </c>
      <c r="J94" s="20">
        <f t="shared" si="28"/>
        <v>9999</v>
      </c>
      <c r="L94" s="4" t="s">
        <v>39</v>
      </c>
      <c r="M94" s="11">
        <f t="shared" si="41"/>
        <v>0</v>
      </c>
      <c r="N94" s="11">
        <f t="shared" si="29"/>
        <v>0</v>
      </c>
      <c r="O94" s="20">
        <f t="shared" si="30"/>
        <v>9999</v>
      </c>
      <c r="P94" s="13"/>
      <c r="Q94" s="4" t="s">
        <v>39</v>
      </c>
      <c r="R94" s="11">
        <f t="shared" si="36"/>
        <v>0</v>
      </c>
      <c r="S94" s="11">
        <f t="shared" si="37"/>
        <v>0</v>
      </c>
      <c r="T94" s="20">
        <f t="shared" si="31"/>
        <v>9999</v>
      </c>
      <c r="V94" s="4" t="s">
        <v>39</v>
      </c>
      <c r="W94" s="20">
        <f t="shared" si="38"/>
        <v>9999</v>
      </c>
    </row>
    <row r="95" spans="1:23" x14ac:dyDescent="0.2">
      <c r="A95" s="9" t="s">
        <v>40</v>
      </c>
      <c r="B95" s="19">
        <f t="shared" si="32"/>
        <v>9999</v>
      </c>
      <c r="C95" s="11">
        <f t="shared" si="33"/>
        <v>0</v>
      </c>
      <c r="D95" s="11">
        <f t="shared" si="34"/>
        <v>0</v>
      </c>
      <c r="E95" s="20">
        <f t="shared" si="35"/>
        <v>9999</v>
      </c>
      <c r="G95" s="9" t="s">
        <v>40</v>
      </c>
      <c r="H95" s="11">
        <f t="shared" si="39"/>
        <v>0</v>
      </c>
      <c r="I95" s="11">
        <f t="shared" si="40"/>
        <v>0</v>
      </c>
      <c r="J95" s="20">
        <f t="shared" si="28"/>
        <v>9999</v>
      </c>
      <c r="L95" s="9" t="s">
        <v>40</v>
      </c>
      <c r="M95" s="11">
        <f t="shared" si="41"/>
        <v>0</v>
      </c>
      <c r="N95" s="11">
        <f t="shared" si="29"/>
        <v>0</v>
      </c>
      <c r="O95" s="20">
        <f t="shared" si="30"/>
        <v>9999</v>
      </c>
      <c r="P95" s="13"/>
      <c r="Q95" s="9" t="s">
        <v>40</v>
      </c>
      <c r="R95" s="11">
        <f t="shared" si="36"/>
        <v>0</v>
      </c>
      <c r="S95" s="11">
        <f t="shared" si="37"/>
        <v>0</v>
      </c>
      <c r="T95" s="20">
        <f t="shared" si="31"/>
        <v>9999</v>
      </c>
      <c r="V95" s="9" t="s">
        <v>40</v>
      </c>
      <c r="W95" s="20">
        <f t="shared" si="38"/>
        <v>9999</v>
      </c>
    </row>
    <row r="96" spans="1:23" x14ac:dyDescent="0.2">
      <c r="A96" s="9" t="s">
        <v>41</v>
      </c>
      <c r="B96" s="19">
        <f t="shared" si="32"/>
        <v>9999</v>
      </c>
      <c r="C96" s="11">
        <f t="shared" si="33"/>
        <v>0</v>
      </c>
      <c r="D96" s="11">
        <f t="shared" si="34"/>
        <v>0</v>
      </c>
      <c r="E96" s="20">
        <f t="shared" si="35"/>
        <v>9999</v>
      </c>
      <c r="G96" s="9" t="s">
        <v>41</v>
      </c>
      <c r="H96" s="11">
        <f t="shared" si="39"/>
        <v>0</v>
      </c>
      <c r="I96" s="11">
        <f t="shared" si="40"/>
        <v>0</v>
      </c>
      <c r="J96" s="20">
        <f t="shared" si="28"/>
        <v>9999</v>
      </c>
      <c r="L96" s="9" t="s">
        <v>41</v>
      </c>
      <c r="M96" s="11">
        <f t="shared" si="41"/>
        <v>0</v>
      </c>
      <c r="N96" s="11">
        <f t="shared" si="29"/>
        <v>0</v>
      </c>
      <c r="O96" s="20">
        <f t="shared" si="30"/>
        <v>9999</v>
      </c>
      <c r="P96" s="13"/>
      <c r="Q96" s="9" t="s">
        <v>41</v>
      </c>
      <c r="R96" s="11">
        <f t="shared" si="36"/>
        <v>0</v>
      </c>
      <c r="S96" s="11">
        <f t="shared" si="37"/>
        <v>0</v>
      </c>
      <c r="T96" s="20">
        <f t="shared" si="31"/>
        <v>9999</v>
      </c>
      <c r="V96" s="9" t="s">
        <v>41</v>
      </c>
      <c r="W96" s="20">
        <f t="shared" si="38"/>
        <v>9999</v>
      </c>
    </row>
    <row r="97" spans="1:25" x14ac:dyDescent="0.2">
      <c r="A97" s="9" t="s">
        <v>42</v>
      </c>
      <c r="B97" s="19">
        <f t="shared" si="32"/>
        <v>9999</v>
      </c>
      <c r="C97" s="11">
        <f t="shared" si="33"/>
        <v>0</v>
      </c>
      <c r="D97" s="11">
        <f t="shared" si="34"/>
        <v>0</v>
      </c>
      <c r="E97" s="20">
        <f t="shared" si="35"/>
        <v>9999</v>
      </c>
      <c r="G97" s="9" t="s">
        <v>42</v>
      </c>
      <c r="H97" s="11">
        <f t="shared" si="39"/>
        <v>0</v>
      </c>
      <c r="I97" s="11">
        <f t="shared" si="40"/>
        <v>0</v>
      </c>
      <c r="J97" s="20">
        <f t="shared" si="28"/>
        <v>9999</v>
      </c>
      <c r="L97" s="9" t="s">
        <v>42</v>
      </c>
      <c r="M97" s="11">
        <f t="shared" si="41"/>
        <v>0</v>
      </c>
      <c r="N97" s="11">
        <f t="shared" si="29"/>
        <v>0</v>
      </c>
      <c r="O97" s="20">
        <f t="shared" si="30"/>
        <v>9999</v>
      </c>
      <c r="P97" s="13"/>
      <c r="Q97" s="9" t="s">
        <v>42</v>
      </c>
      <c r="R97" s="11">
        <f t="shared" si="36"/>
        <v>0</v>
      </c>
      <c r="S97" s="11">
        <f t="shared" si="37"/>
        <v>0</v>
      </c>
      <c r="T97" s="20">
        <f t="shared" si="31"/>
        <v>9999</v>
      </c>
      <c r="V97" s="9" t="s">
        <v>42</v>
      </c>
      <c r="W97" s="20">
        <f t="shared" si="38"/>
        <v>9999</v>
      </c>
    </row>
    <row r="98" spans="1:25" x14ac:dyDescent="0.2">
      <c r="A98" s="9" t="s">
        <v>43</v>
      </c>
      <c r="B98" s="19">
        <f t="shared" si="32"/>
        <v>9999</v>
      </c>
      <c r="C98" s="11">
        <f t="shared" si="33"/>
        <v>0</v>
      </c>
      <c r="D98" s="11">
        <f t="shared" si="34"/>
        <v>0</v>
      </c>
      <c r="E98" s="20">
        <f t="shared" si="35"/>
        <v>9999</v>
      </c>
      <c r="G98" s="9" t="s">
        <v>43</v>
      </c>
      <c r="H98" s="11">
        <f t="shared" si="39"/>
        <v>0</v>
      </c>
      <c r="I98" s="11">
        <f t="shared" si="40"/>
        <v>0</v>
      </c>
      <c r="J98" s="20">
        <f t="shared" si="28"/>
        <v>9999</v>
      </c>
      <c r="L98" s="9" t="s">
        <v>43</v>
      </c>
      <c r="M98" s="11">
        <f t="shared" si="41"/>
        <v>0</v>
      </c>
      <c r="N98" s="11">
        <f t="shared" si="29"/>
        <v>0</v>
      </c>
      <c r="O98" s="20">
        <f t="shared" si="30"/>
        <v>9999</v>
      </c>
      <c r="P98" s="13"/>
      <c r="Q98" s="9" t="s">
        <v>43</v>
      </c>
      <c r="R98" s="11">
        <f t="shared" si="36"/>
        <v>0</v>
      </c>
      <c r="S98" s="11">
        <f t="shared" si="37"/>
        <v>0</v>
      </c>
      <c r="T98" s="20">
        <f t="shared" si="31"/>
        <v>9999</v>
      </c>
      <c r="V98" s="9" t="s">
        <v>43</v>
      </c>
      <c r="W98" s="20">
        <f t="shared" si="38"/>
        <v>9999</v>
      </c>
    </row>
    <row r="99" spans="1:25" x14ac:dyDescent="0.2">
      <c r="A99" s="10" t="s">
        <v>44</v>
      </c>
      <c r="B99" s="21">
        <f t="shared" si="32"/>
        <v>9999</v>
      </c>
      <c r="C99" s="12">
        <f t="shared" si="33"/>
        <v>0</v>
      </c>
      <c r="D99" s="12">
        <f t="shared" si="34"/>
        <v>0</v>
      </c>
      <c r="E99" s="22">
        <f t="shared" si="35"/>
        <v>9999</v>
      </c>
      <c r="G99" s="10" t="s">
        <v>44</v>
      </c>
      <c r="H99" s="12">
        <f t="shared" si="39"/>
        <v>0</v>
      </c>
      <c r="I99" s="12">
        <f t="shared" si="40"/>
        <v>0</v>
      </c>
      <c r="J99" s="22">
        <f t="shared" si="28"/>
        <v>9999</v>
      </c>
      <c r="L99" s="10" t="s">
        <v>44</v>
      </c>
      <c r="M99" s="12">
        <f t="shared" si="41"/>
        <v>0</v>
      </c>
      <c r="N99" s="12">
        <f t="shared" si="29"/>
        <v>0</v>
      </c>
      <c r="O99" s="22">
        <f t="shared" si="30"/>
        <v>9999</v>
      </c>
      <c r="P99" s="13"/>
      <c r="Q99" s="10" t="s">
        <v>44</v>
      </c>
      <c r="R99" s="12">
        <f t="shared" si="36"/>
        <v>0</v>
      </c>
      <c r="S99" s="12">
        <f t="shared" si="37"/>
        <v>0</v>
      </c>
      <c r="T99" s="22">
        <f t="shared" si="31"/>
        <v>9999</v>
      </c>
      <c r="V99" s="10" t="s">
        <v>44</v>
      </c>
      <c r="W99" s="22">
        <f t="shared" si="38"/>
        <v>9999</v>
      </c>
    </row>
    <row r="100" spans="1:25" x14ac:dyDescent="0.2">
      <c r="A100" s="11"/>
      <c r="B100" s="14"/>
      <c r="C100" s="11"/>
      <c r="D100" s="11"/>
      <c r="E100" s="11"/>
      <c r="F100" s="13"/>
      <c r="G100" s="11"/>
      <c r="H100" s="11"/>
      <c r="I100" s="11"/>
      <c r="J100" s="11"/>
      <c r="K100" s="13"/>
      <c r="L100" s="11"/>
      <c r="M100" s="11"/>
      <c r="N100" s="11"/>
      <c r="O100" s="11"/>
      <c r="P100" s="11"/>
    </row>
    <row r="101" spans="1:25" x14ac:dyDescent="0.2">
      <c r="A101" s="18" t="s">
        <v>21</v>
      </c>
      <c r="P101" s="13"/>
    </row>
    <row r="102" spans="1:25" x14ac:dyDescent="0.2">
      <c r="A102" s="36" t="s">
        <v>75</v>
      </c>
      <c r="B102" s="2"/>
      <c r="C102" s="2"/>
      <c r="D102" s="2"/>
      <c r="E102" s="3"/>
      <c r="G102" s="1" t="s">
        <v>22</v>
      </c>
      <c r="H102" s="2"/>
      <c r="I102" s="2"/>
      <c r="J102" s="3"/>
      <c r="L102" s="35" t="s">
        <v>77</v>
      </c>
      <c r="M102" s="2"/>
      <c r="N102" s="2"/>
      <c r="O102" s="3"/>
      <c r="P102" s="11"/>
    </row>
    <row r="103" spans="1:25" x14ac:dyDescent="0.2">
      <c r="A103" s="4"/>
      <c r="B103" s="5"/>
      <c r="C103" s="5"/>
      <c r="D103" s="5"/>
      <c r="E103" s="6"/>
      <c r="G103" s="4"/>
      <c r="H103" s="5"/>
      <c r="I103" s="5"/>
      <c r="J103" s="6"/>
      <c r="L103" s="4"/>
      <c r="M103" s="5"/>
      <c r="N103" s="5"/>
      <c r="O103" s="6"/>
      <c r="P103" s="11"/>
      <c r="Y103" s="37"/>
    </row>
    <row r="104" spans="1:25" x14ac:dyDescent="0.2">
      <c r="A104" s="4"/>
      <c r="B104" s="19" t="s">
        <v>23</v>
      </c>
      <c r="C104" s="5"/>
      <c r="D104" s="5"/>
      <c r="E104" s="20" t="s">
        <v>4</v>
      </c>
      <c r="G104" s="4"/>
      <c r="H104" s="5"/>
      <c r="I104" s="5"/>
      <c r="J104" s="20" t="s">
        <v>5</v>
      </c>
      <c r="L104" s="4"/>
      <c r="M104" s="5"/>
      <c r="N104" s="5"/>
      <c r="O104" s="38" t="s">
        <v>5</v>
      </c>
      <c r="P104" s="11"/>
    </row>
    <row r="105" spans="1:25" x14ac:dyDescent="0.2">
      <c r="A105" s="4" t="s">
        <v>25</v>
      </c>
      <c r="B105" s="19">
        <f>IF(F5="",9999,IF(F5=0,1,0))</f>
        <v>9999</v>
      </c>
      <c r="C105" s="5">
        <f>IF(E30=9999,9999,E30)</f>
        <v>9999</v>
      </c>
      <c r="D105" s="5">
        <f>IF(E55=9999,9999,E55)</f>
        <v>9999</v>
      </c>
      <c r="E105" s="20">
        <f>IF(OR(C105=9999,D105=9999),9999,C105+D105)</f>
        <v>9999</v>
      </c>
      <c r="G105" s="4" t="s">
        <v>25</v>
      </c>
      <c r="H105" s="5">
        <f>B5</f>
        <v>0</v>
      </c>
      <c r="I105" s="5">
        <f>H5</f>
        <v>0</v>
      </c>
      <c r="J105" s="20">
        <f t="shared" ref="J105:J124" si="42">IF(ISERROR(I105-H105),9999,IF(OR(H105=0,I105=0),9999,IF(SUM(I105-H105)&lt;=0,9999,SUM(I105-H105))))</f>
        <v>9999</v>
      </c>
      <c r="L105" s="4" t="s">
        <v>25</v>
      </c>
      <c r="M105" s="5">
        <f>H5</f>
        <v>0</v>
      </c>
      <c r="N105" s="5">
        <f>G5</f>
        <v>0</v>
      </c>
      <c r="O105" s="20">
        <f>IF(ISERROR(M105-N105),9999,IF(OR(M105=0,N105=0),9999,IF(SUM(M105-N105)&lt;=0,9999,SUM(M105-N105))))</f>
        <v>9999</v>
      </c>
      <c r="P105" s="13"/>
    </row>
    <row r="106" spans="1:25" x14ac:dyDescent="0.2">
      <c r="A106" s="4" t="s">
        <v>26</v>
      </c>
      <c r="B106" s="19">
        <f t="shared" ref="B106:B124" si="43">IF(F6="",9999,IF(F6=0,1,0))</f>
        <v>9999</v>
      </c>
      <c r="C106" s="5">
        <f t="shared" ref="C106:C124" si="44">IF(E31=9999,9999,E31)</f>
        <v>9999</v>
      </c>
      <c r="D106" s="5">
        <f t="shared" ref="D106:D124" si="45">IF(E56=9999,9999,E56)</f>
        <v>9999</v>
      </c>
      <c r="E106" s="20">
        <f t="shared" ref="E106:E124" si="46">IF(OR(C106=9999,D106=9999),9999,C106+D106)</f>
        <v>9999</v>
      </c>
      <c r="G106" s="4" t="s">
        <v>26</v>
      </c>
      <c r="H106" s="5">
        <f t="shared" ref="H106:H124" si="47">B6</f>
        <v>0</v>
      </c>
      <c r="I106" s="5">
        <f>H6</f>
        <v>0</v>
      </c>
      <c r="J106" s="20">
        <f t="shared" si="42"/>
        <v>9999</v>
      </c>
      <c r="L106" s="4" t="s">
        <v>26</v>
      </c>
      <c r="M106" s="5">
        <f t="shared" ref="M106:M124" si="48">H6</f>
        <v>0</v>
      </c>
      <c r="N106" s="5">
        <f t="shared" ref="N106:N124" si="49">G6</f>
        <v>0</v>
      </c>
      <c r="O106" s="20">
        <f t="shared" ref="O106:O124" si="50">IF(ISERROR(M106-N106),9999,IF(OR(M106=0,N106=0),9999,IF(SUM(M106-N106)&lt;=0,9999,SUM(M106-N106))))</f>
        <v>9999</v>
      </c>
      <c r="P106" s="13"/>
    </row>
    <row r="107" spans="1:25" x14ac:dyDescent="0.2">
      <c r="A107" s="4" t="s">
        <v>27</v>
      </c>
      <c r="B107" s="19">
        <f t="shared" si="43"/>
        <v>9999</v>
      </c>
      <c r="C107" s="5">
        <f t="shared" si="44"/>
        <v>9999</v>
      </c>
      <c r="D107" s="5">
        <f t="shared" si="45"/>
        <v>9999</v>
      </c>
      <c r="E107" s="20">
        <f t="shared" si="46"/>
        <v>9999</v>
      </c>
      <c r="G107" s="4" t="s">
        <v>27</v>
      </c>
      <c r="H107" s="5">
        <f t="shared" si="47"/>
        <v>0</v>
      </c>
      <c r="I107" s="5">
        <f t="shared" ref="I107:I124" si="51">H7</f>
        <v>0</v>
      </c>
      <c r="J107" s="20">
        <f t="shared" si="42"/>
        <v>9999</v>
      </c>
      <c r="L107" s="4" t="s">
        <v>27</v>
      </c>
      <c r="M107" s="5">
        <f t="shared" si="48"/>
        <v>0</v>
      </c>
      <c r="N107" s="5">
        <f t="shared" si="49"/>
        <v>0</v>
      </c>
      <c r="O107" s="20">
        <f t="shared" si="50"/>
        <v>9999</v>
      </c>
      <c r="P107" s="13"/>
    </row>
    <row r="108" spans="1:25" x14ac:dyDescent="0.2">
      <c r="A108" s="4" t="s">
        <v>28</v>
      </c>
      <c r="B108" s="19">
        <f t="shared" si="43"/>
        <v>9999</v>
      </c>
      <c r="C108" s="5">
        <f t="shared" si="44"/>
        <v>9999</v>
      </c>
      <c r="D108" s="5">
        <f t="shared" si="45"/>
        <v>9999</v>
      </c>
      <c r="E108" s="20">
        <f t="shared" si="46"/>
        <v>9999</v>
      </c>
      <c r="G108" s="4" t="s">
        <v>28</v>
      </c>
      <c r="H108" s="5">
        <f t="shared" si="47"/>
        <v>0</v>
      </c>
      <c r="I108" s="5">
        <f t="shared" si="51"/>
        <v>0</v>
      </c>
      <c r="J108" s="20">
        <f t="shared" si="42"/>
        <v>9999</v>
      </c>
      <c r="L108" s="4" t="s">
        <v>28</v>
      </c>
      <c r="M108" s="5">
        <f t="shared" si="48"/>
        <v>0</v>
      </c>
      <c r="N108" s="5">
        <f t="shared" si="49"/>
        <v>0</v>
      </c>
      <c r="O108" s="20">
        <f t="shared" si="50"/>
        <v>9999</v>
      </c>
      <c r="P108" s="13"/>
    </row>
    <row r="109" spans="1:25" x14ac:dyDescent="0.2">
      <c r="A109" s="4" t="s">
        <v>29</v>
      </c>
      <c r="B109" s="19">
        <f t="shared" si="43"/>
        <v>9999</v>
      </c>
      <c r="C109" s="5">
        <f t="shared" si="44"/>
        <v>9999</v>
      </c>
      <c r="D109" s="5">
        <f t="shared" si="45"/>
        <v>9999</v>
      </c>
      <c r="E109" s="20">
        <f t="shared" si="46"/>
        <v>9999</v>
      </c>
      <c r="G109" s="4" t="s">
        <v>29</v>
      </c>
      <c r="H109" s="5">
        <f t="shared" si="47"/>
        <v>0</v>
      </c>
      <c r="I109" s="5">
        <f t="shared" si="51"/>
        <v>0</v>
      </c>
      <c r="J109" s="20">
        <f t="shared" si="42"/>
        <v>9999</v>
      </c>
      <c r="L109" s="4" t="s">
        <v>29</v>
      </c>
      <c r="M109" s="5">
        <f t="shared" si="48"/>
        <v>0</v>
      </c>
      <c r="N109" s="5">
        <f t="shared" si="49"/>
        <v>0</v>
      </c>
      <c r="O109" s="20">
        <f t="shared" si="50"/>
        <v>9999</v>
      </c>
      <c r="P109" s="13"/>
    </row>
    <row r="110" spans="1:25" x14ac:dyDescent="0.2">
      <c r="A110" s="4" t="s">
        <v>30</v>
      </c>
      <c r="B110" s="19">
        <f t="shared" si="43"/>
        <v>9999</v>
      </c>
      <c r="C110" s="5">
        <f t="shared" si="44"/>
        <v>9999</v>
      </c>
      <c r="D110" s="5">
        <f t="shared" si="45"/>
        <v>9999</v>
      </c>
      <c r="E110" s="20">
        <f t="shared" si="46"/>
        <v>9999</v>
      </c>
      <c r="G110" s="4" t="s">
        <v>30</v>
      </c>
      <c r="H110" s="5">
        <f t="shared" si="47"/>
        <v>0</v>
      </c>
      <c r="I110" s="5">
        <f t="shared" si="51"/>
        <v>0</v>
      </c>
      <c r="J110" s="20">
        <f t="shared" si="42"/>
        <v>9999</v>
      </c>
      <c r="L110" s="4" t="s">
        <v>30</v>
      </c>
      <c r="M110" s="5">
        <f t="shared" si="48"/>
        <v>0</v>
      </c>
      <c r="N110" s="5">
        <f t="shared" si="49"/>
        <v>0</v>
      </c>
      <c r="O110" s="20">
        <f t="shared" si="50"/>
        <v>9999</v>
      </c>
      <c r="P110" s="13"/>
    </row>
    <row r="111" spans="1:25" x14ac:dyDescent="0.2">
      <c r="A111" s="4" t="s">
        <v>31</v>
      </c>
      <c r="B111" s="19">
        <f t="shared" si="43"/>
        <v>9999</v>
      </c>
      <c r="C111" s="5">
        <f t="shared" si="44"/>
        <v>9999</v>
      </c>
      <c r="D111" s="5">
        <f t="shared" si="45"/>
        <v>9999</v>
      </c>
      <c r="E111" s="20">
        <f t="shared" si="46"/>
        <v>9999</v>
      </c>
      <c r="G111" s="4" t="s">
        <v>31</v>
      </c>
      <c r="H111" s="5">
        <f t="shared" si="47"/>
        <v>0</v>
      </c>
      <c r="I111" s="5">
        <f t="shared" si="51"/>
        <v>0</v>
      </c>
      <c r="J111" s="20">
        <f t="shared" si="42"/>
        <v>9999</v>
      </c>
      <c r="L111" s="4" t="s">
        <v>31</v>
      </c>
      <c r="M111" s="5">
        <f t="shared" si="48"/>
        <v>0</v>
      </c>
      <c r="N111" s="5">
        <f t="shared" si="49"/>
        <v>0</v>
      </c>
      <c r="O111" s="20">
        <f t="shared" si="50"/>
        <v>9999</v>
      </c>
      <c r="P111" s="13"/>
    </row>
    <row r="112" spans="1:25" x14ac:dyDescent="0.2">
      <c r="A112" s="9" t="s">
        <v>32</v>
      </c>
      <c r="B112" s="19">
        <f t="shared" si="43"/>
        <v>9999</v>
      </c>
      <c r="C112" s="5">
        <f t="shared" si="44"/>
        <v>9999</v>
      </c>
      <c r="D112" s="5">
        <f t="shared" si="45"/>
        <v>9999</v>
      </c>
      <c r="E112" s="20">
        <f t="shared" si="46"/>
        <v>9999</v>
      </c>
      <c r="G112" s="9" t="s">
        <v>32</v>
      </c>
      <c r="H112" s="5">
        <f t="shared" si="47"/>
        <v>0</v>
      </c>
      <c r="I112" s="5">
        <f t="shared" si="51"/>
        <v>0</v>
      </c>
      <c r="J112" s="20">
        <f t="shared" si="42"/>
        <v>9999</v>
      </c>
      <c r="L112" s="9" t="s">
        <v>32</v>
      </c>
      <c r="M112" s="5">
        <f t="shared" si="48"/>
        <v>0</v>
      </c>
      <c r="N112" s="5">
        <f t="shared" si="49"/>
        <v>0</v>
      </c>
      <c r="O112" s="20">
        <f t="shared" si="50"/>
        <v>9999</v>
      </c>
      <c r="P112" s="13"/>
    </row>
    <row r="113" spans="1:25" x14ac:dyDescent="0.2">
      <c r="A113" s="9" t="s">
        <v>33</v>
      </c>
      <c r="B113" s="19">
        <f t="shared" si="43"/>
        <v>9999</v>
      </c>
      <c r="C113" s="5">
        <f t="shared" si="44"/>
        <v>9999</v>
      </c>
      <c r="D113" s="5">
        <f t="shared" si="45"/>
        <v>9999</v>
      </c>
      <c r="E113" s="20">
        <f t="shared" si="46"/>
        <v>9999</v>
      </c>
      <c r="G113" s="9" t="s">
        <v>33</v>
      </c>
      <c r="H113" s="5">
        <f t="shared" si="47"/>
        <v>0</v>
      </c>
      <c r="I113" s="5">
        <f t="shared" si="51"/>
        <v>0</v>
      </c>
      <c r="J113" s="20">
        <f t="shared" si="42"/>
        <v>9999</v>
      </c>
      <c r="L113" s="9" t="s">
        <v>33</v>
      </c>
      <c r="M113" s="5">
        <f t="shared" si="48"/>
        <v>0</v>
      </c>
      <c r="N113" s="5">
        <f t="shared" si="49"/>
        <v>0</v>
      </c>
      <c r="O113" s="20">
        <f t="shared" si="50"/>
        <v>9999</v>
      </c>
      <c r="P113" s="13"/>
    </row>
    <row r="114" spans="1:25" x14ac:dyDescent="0.2">
      <c r="A114" s="9" t="s">
        <v>34</v>
      </c>
      <c r="B114" s="19">
        <f t="shared" si="43"/>
        <v>9999</v>
      </c>
      <c r="C114" s="5">
        <f t="shared" si="44"/>
        <v>9999</v>
      </c>
      <c r="D114" s="5">
        <f t="shared" si="45"/>
        <v>9999</v>
      </c>
      <c r="E114" s="20">
        <f t="shared" si="46"/>
        <v>9999</v>
      </c>
      <c r="G114" s="9" t="s">
        <v>34</v>
      </c>
      <c r="H114" s="5">
        <f t="shared" si="47"/>
        <v>0</v>
      </c>
      <c r="I114" s="5">
        <f t="shared" si="51"/>
        <v>0</v>
      </c>
      <c r="J114" s="20">
        <f t="shared" si="42"/>
        <v>9999</v>
      </c>
      <c r="L114" s="9" t="s">
        <v>34</v>
      </c>
      <c r="M114" s="5">
        <f t="shared" si="48"/>
        <v>0</v>
      </c>
      <c r="N114" s="5">
        <f t="shared" si="49"/>
        <v>0</v>
      </c>
      <c r="O114" s="20">
        <f t="shared" si="50"/>
        <v>9999</v>
      </c>
      <c r="P114" s="13"/>
    </row>
    <row r="115" spans="1:25" x14ac:dyDescent="0.2">
      <c r="A115" s="9" t="s">
        <v>35</v>
      </c>
      <c r="B115" s="19">
        <f t="shared" si="43"/>
        <v>9999</v>
      </c>
      <c r="C115" s="5">
        <f t="shared" si="44"/>
        <v>9999</v>
      </c>
      <c r="D115" s="5">
        <f t="shared" si="45"/>
        <v>9999</v>
      </c>
      <c r="E115" s="20">
        <f t="shared" si="46"/>
        <v>9999</v>
      </c>
      <c r="G115" s="9" t="s">
        <v>35</v>
      </c>
      <c r="H115" s="5">
        <f t="shared" si="47"/>
        <v>0</v>
      </c>
      <c r="I115" s="5">
        <f t="shared" si="51"/>
        <v>0</v>
      </c>
      <c r="J115" s="20">
        <f t="shared" si="42"/>
        <v>9999</v>
      </c>
      <c r="L115" s="9" t="s">
        <v>35</v>
      </c>
      <c r="M115" s="5">
        <f t="shared" si="48"/>
        <v>0</v>
      </c>
      <c r="N115" s="5">
        <f t="shared" si="49"/>
        <v>0</v>
      </c>
      <c r="O115" s="20">
        <f t="shared" si="50"/>
        <v>9999</v>
      </c>
      <c r="P115" s="13"/>
    </row>
    <row r="116" spans="1:25" x14ac:dyDescent="0.2">
      <c r="A116" s="9" t="s">
        <v>36</v>
      </c>
      <c r="B116" s="19">
        <f t="shared" si="43"/>
        <v>9999</v>
      </c>
      <c r="C116" s="5">
        <f t="shared" si="44"/>
        <v>9999</v>
      </c>
      <c r="D116" s="5">
        <f t="shared" si="45"/>
        <v>9999</v>
      </c>
      <c r="E116" s="20">
        <f t="shared" si="46"/>
        <v>9999</v>
      </c>
      <c r="G116" s="9" t="s">
        <v>36</v>
      </c>
      <c r="H116" s="5">
        <f t="shared" si="47"/>
        <v>0</v>
      </c>
      <c r="I116" s="5">
        <f t="shared" si="51"/>
        <v>0</v>
      </c>
      <c r="J116" s="20">
        <f t="shared" si="42"/>
        <v>9999</v>
      </c>
      <c r="L116" s="9" t="s">
        <v>36</v>
      </c>
      <c r="M116" s="5">
        <f t="shared" si="48"/>
        <v>0</v>
      </c>
      <c r="N116" s="5">
        <f t="shared" si="49"/>
        <v>0</v>
      </c>
      <c r="O116" s="20">
        <f t="shared" si="50"/>
        <v>9999</v>
      </c>
      <c r="P116" s="13"/>
    </row>
    <row r="117" spans="1:25" x14ac:dyDescent="0.2">
      <c r="A117" s="4" t="s">
        <v>37</v>
      </c>
      <c r="B117" s="19">
        <f t="shared" si="43"/>
        <v>9999</v>
      </c>
      <c r="C117" s="5">
        <f t="shared" si="44"/>
        <v>9999</v>
      </c>
      <c r="D117" s="5">
        <f t="shared" si="45"/>
        <v>9999</v>
      </c>
      <c r="E117" s="20">
        <f t="shared" si="46"/>
        <v>9999</v>
      </c>
      <c r="G117" s="4" t="s">
        <v>37</v>
      </c>
      <c r="H117" s="5">
        <f t="shared" si="47"/>
        <v>0</v>
      </c>
      <c r="I117" s="5">
        <f t="shared" si="51"/>
        <v>0</v>
      </c>
      <c r="J117" s="20">
        <f t="shared" si="42"/>
        <v>9999</v>
      </c>
      <c r="L117" s="4" t="s">
        <v>37</v>
      </c>
      <c r="M117" s="5">
        <f t="shared" si="48"/>
        <v>0</v>
      </c>
      <c r="N117" s="5">
        <f t="shared" si="49"/>
        <v>0</v>
      </c>
      <c r="O117" s="20">
        <f t="shared" si="50"/>
        <v>9999</v>
      </c>
      <c r="P117" s="13"/>
    </row>
    <row r="118" spans="1:25" x14ac:dyDescent="0.2">
      <c r="A118" s="4" t="s">
        <v>38</v>
      </c>
      <c r="B118" s="19">
        <f t="shared" si="43"/>
        <v>9999</v>
      </c>
      <c r="C118" s="5">
        <f t="shared" si="44"/>
        <v>9999</v>
      </c>
      <c r="D118" s="5">
        <f t="shared" si="45"/>
        <v>9999</v>
      </c>
      <c r="E118" s="20">
        <f t="shared" si="46"/>
        <v>9999</v>
      </c>
      <c r="G118" s="4" t="s">
        <v>38</v>
      </c>
      <c r="H118" s="5">
        <f t="shared" si="47"/>
        <v>0</v>
      </c>
      <c r="I118" s="5">
        <f t="shared" si="51"/>
        <v>0</v>
      </c>
      <c r="J118" s="20">
        <f t="shared" si="42"/>
        <v>9999</v>
      </c>
      <c r="L118" s="4" t="s">
        <v>38</v>
      </c>
      <c r="M118" s="5">
        <f t="shared" si="48"/>
        <v>0</v>
      </c>
      <c r="N118" s="5">
        <f t="shared" si="49"/>
        <v>0</v>
      </c>
      <c r="O118" s="20">
        <f t="shared" si="50"/>
        <v>9999</v>
      </c>
      <c r="P118" s="13"/>
    </row>
    <row r="119" spans="1:25" x14ac:dyDescent="0.2">
      <c r="A119" s="4" t="s">
        <v>39</v>
      </c>
      <c r="B119" s="19">
        <f t="shared" si="43"/>
        <v>9999</v>
      </c>
      <c r="C119" s="5">
        <f t="shared" si="44"/>
        <v>9999</v>
      </c>
      <c r="D119" s="5">
        <f t="shared" si="45"/>
        <v>9999</v>
      </c>
      <c r="E119" s="20">
        <f t="shared" si="46"/>
        <v>9999</v>
      </c>
      <c r="G119" s="4" t="s">
        <v>39</v>
      </c>
      <c r="H119" s="5">
        <f t="shared" si="47"/>
        <v>0</v>
      </c>
      <c r="I119" s="5">
        <f t="shared" si="51"/>
        <v>0</v>
      </c>
      <c r="J119" s="20">
        <f t="shared" si="42"/>
        <v>9999</v>
      </c>
      <c r="L119" s="4" t="s">
        <v>39</v>
      </c>
      <c r="M119" s="5">
        <f t="shared" si="48"/>
        <v>0</v>
      </c>
      <c r="N119" s="5">
        <f t="shared" si="49"/>
        <v>0</v>
      </c>
      <c r="O119" s="20">
        <f t="shared" si="50"/>
        <v>9999</v>
      </c>
      <c r="P119" s="13"/>
    </row>
    <row r="120" spans="1:25" x14ac:dyDescent="0.2">
      <c r="A120" s="9" t="s">
        <v>40</v>
      </c>
      <c r="B120" s="19">
        <f t="shared" si="43"/>
        <v>9999</v>
      </c>
      <c r="C120" s="5">
        <f t="shared" si="44"/>
        <v>9999</v>
      </c>
      <c r="D120" s="5">
        <f t="shared" si="45"/>
        <v>9999</v>
      </c>
      <c r="E120" s="20">
        <f t="shared" si="46"/>
        <v>9999</v>
      </c>
      <c r="G120" s="9" t="s">
        <v>40</v>
      </c>
      <c r="H120" s="5">
        <f t="shared" si="47"/>
        <v>0</v>
      </c>
      <c r="I120" s="5">
        <f t="shared" si="51"/>
        <v>0</v>
      </c>
      <c r="J120" s="20">
        <f t="shared" si="42"/>
        <v>9999</v>
      </c>
      <c r="L120" s="9" t="s">
        <v>40</v>
      </c>
      <c r="M120" s="5">
        <f t="shared" si="48"/>
        <v>0</v>
      </c>
      <c r="N120" s="5">
        <f t="shared" si="49"/>
        <v>0</v>
      </c>
      <c r="O120" s="20">
        <f t="shared" si="50"/>
        <v>9999</v>
      </c>
      <c r="P120" s="13"/>
    </row>
    <row r="121" spans="1:25" x14ac:dyDescent="0.2">
      <c r="A121" s="9" t="s">
        <v>41</v>
      </c>
      <c r="B121" s="19">
        <f t="shared" si="43"/>
        <v>9999</v>
      </c>
      <c r="C121" s="5">
        <f t="shared" si="44"/>
        <v>9999</v>
      </c>
      <c r="D121" s="5">
        <f t="shared" si="45"/>
        <v>9999</v>
      </c>
      <c r="E121" s="20">
        <f t="shared" si="46"/>
        <v>9999</v>
      </c>
      <c r="G121" s="9" t="s">
        <v>41</v>
      </c>
      <c r="H121" s="5">
        <f t="shared" si="47"/>
        <v>0</v>
      </c>
      <c r="I121" s="5">
        <f t="shared" si="51"/>
        <v>0</v>
      </c>
      <c r="J121" s="20">
        <f t="shared" si="42"/>
        <v>9999</v>
      </c>
      <c r="L121" s="9" t="s">
        <v>41</v>
      </c>
      <c r="M121" s="5">
        <f t="shared" si="48"/>
        <v>0</v>
      </c>
      <c r="N121" s="5">
        <f t="shared" si="49"/>
        <v>0</v>
      </c>
      <c r="O121" s="20">
        <f t="shared" si="50"/>
        <v>9999</v>
      </c>
      <c r="P121" s="13"/>
    </row>
    <row r="122" spans="1:25" x14ac:dyDescent="0.2">
      <c r="A122" s="9" t="s">
        <v>42</v>
      </c>
      <c r="B122" s="19">
        <f t="shared" si="43"/>
        <v>9999</v>
      </c>
      <c r="C122" s="5">
        <f t="shared" si="44"/>
        <v>9999</v>
      </c>
      <c r="D122" s="5">
        <f t="shared" si="45"/>
        <v>9999</v>
      </c>
      <c r="E122" s="20">
        <f t="shared" si="46"/>
        <v>9999</v>
      </c>
      <c r="G122" s="9" t="s">
        <v>42</v>
      </c>
      <c r="H122" s="5">
        <f t="shared" si="47"/>
        <v>0</v>
      </c>
      <c r="I122" s="5">
        <f t="shared" si="51"/>
        <v>0</v>
      </c>
      <c r="J122" s="20">
        <f t="shared" si="42"/>
        <v>9999</v>
      </c>
      <c r="L122" s="9" t="s">
        <v>42</v>
      </c>
      <c r="M122" s="5">
        <f t="shared" si="48"/>
        <v>0</v>
      </c>
      <c r="N122" s="5">
        <f t="shared" si="49"/>
        <v>0</v>
      </c>
      <c r="O122" s="20">
        <f t="shared" si="50"/>
        <v>9999</v>
      </c>
      <c r="P122" s="13"/>
    </row>
    <row r="123" spans="1:25" x14ac:dyDescent="0.2">
      <c r="A123" s="9" t="s">
        <v>43</v>
      </c>
      <c r="B123" s="19">
        <f t="shared" si="43"/>
        <v>9999</v>
      </c>
      <c r="C123" s="5">
        <f t="shared" si="44"/>
        <v>9999</v>
      </c>
      <c r="D123" s="5">
        <f t="shared" si="45"/>
        <v>9999</v>
      </c>
      <c r="E123" s="20">
        <f t="shared" si="46"/>
        <v>9999</v>
      </c>
      <c r="G123" s="9" t="s">
        <v>43</v>
      </c>
      <c r="H123" s="5">
        <f t="shared" si="47"/>
        <v>0</v>
      </c>
      <c r="I123" s="5">
        <f t="shared" si="51"/>
        <v>0</v>
      </c>
      <c r="J123" s="20">
        <f t="shared" si="42"/>
        <v>9999</v>
      </c>
      <c r="L123" s="9" t="s">
        <v>43</v>
      </c>
      <c r="M123" s="5">
        <f t="shared" si="48"/>
        <v>0</v>
      </c>
      <c r="N123" s="5">
        <f t="shared" si="49"/>
        <v>0</v>
      </c>
      <c r="O123" s="20">
        <f t="shared" si="50"/>
        <v>9999</v>
      </c>
      <c r="P123" s="13"/>
    </row>
    <row r="124" spans="1:25" x14ac:dyDescent="0.2">
      <c r="A124" s="10" t="s">
        <v>44</v>
      </c>
      <c r="B124" s="21">
        <f t="shared" si="43"/>
        <v>9999</v>
      </c>
      <c r="C124" s="8">
        <f t="shared" si="44"/>
        <v>9999</v>
      </c>
      <c r="D124" s="8">
        <f t="shared" si="45"/>
        <v>9999</v>
      </c>
      <c r="E124" s="22">
        <f t="shared" si="46"/>
        <v>9999</v>
      </c>
      <c r="G124" s="10" t="s">
        <v>44</v>
      </c>
      <c r="H124" s="8">
        <f t="shared" si="47"/>
        <v>0</v>
      </c>
      <c r="I124" s="8">
        <f t="shared" si="51"/>
        <v>0</v>
      </c>
      <c r="J124" s="22">
        <f t="shared" si="42"/>
        <v>9999</v>
      </c>
      <c r="L124" s="10" t="s">
        <v>44</v>
      </c>
      <c r="M124" s="8">
        <f t="shared" si="48"/>
        <v>0</v>
      </c>
      <c r="N124" s="8">
        <f t="shared" si="49"/>
        <v>0</v>
      </c>
      <c r="O124" s="22">
        <f t="shared" si="50"/>
        <v>9999</v>
      </c>
      <c r="P124" s="13"/>
    </row>
    <row r="125" spans="1:25" x14ac:dyDescent="0.2">
      <c r="P125" s="13"/>
    </row>
    <row r="126" spans="1:25" x14ac:dyDescent="0.2">
      <c r="A126" s="18" t="s">
        <v>24</v>
      </c>
      <c r="P126" s="13"/>
    </row>
    <row r="127" spans="1:25" x14ac:dyDescent="0.2">
      <c r="A127" s="36" t="s">
        <v>75</v>
      </c>
      <c r="B127" s="2"/>
      <c r="C127" s="2"/>
      <c r="D127" s="2"/>
      <c r="E127" s="3"/>
      <c r="G127" s="1" t="s">
        <v>22</v>
      </c>
      <c r="H127" s="2"/>
      <c r="I127" s="2"/>
      <c r="J127" s="3"/>
      <c r="L127" s="35" t="s">
        <v>77</v>
      </c>
      <c r="M127" s="2"/>
      <c r="N127" s="2"/>
      <c r="O127" s="3"/>
      <c r="P127" s="11"/>
    </row>
    <row r="128" spans="1:25" x14ac:dyDescent="0.2">
      <c r="A128" s="4"/>
      <c r="B128" s="5"/>
      <c r="C128" s="5"/>
      <c r="D128" s="5"/>
      <c r="E128" s="6"/>
      <c r="G128" s="4"/>
      <c r="H128" s="5"/>
      <c r="I128" s="5"/>
      <c r="J128" s="6"/>
      <c r="L128" s="4"/>
      <c r="M128" s="5"/>
      <c r="N128" s="5"/>
      <c r="O128" s="6"/>
      <c r="P128" s="11"/>
      <c r="Y128" s="37"/>
    </row>
    <row r="129" spans="1:16" x14ac:dyDescent="0.2">
      <c r="A129" s="4"/>
      <c r="B129" s="19" t="s">
        <v>23</v>
      </c>
      <c r="C129" s="5"/>
      <c r="D129" s="5"/>
      <c r="E129" s="20" t="s">
        <v>4</v>
      </c>
      <c r="G129" s="4"/>
      <c r="H129" s="5"/>
      <c r="I129" s="5"/>
      <c r="J129" s="20" t="s">
        <v>5</v>
      </c>
      <c r="L129" s="4"/>
      <c r="M129" s="5"/>
      <c r="N129" s="5"/>
      <c r="O129" s="38" t="s">
        <v>5</v>
      </c>
      <c r="P129" s="11"/>
    </row>
    <row r="130" spans="1:16" x14ac:dyDescent="0.2">
      <c r="A130" s="4" t="s">
        <v>25</v>
      </c>
      <c r="B130" s="19">
        <f>IF(F5="",9999,F5)</f>
        <v>9999</v>
      </c>
      <c r="C130" s="5">
        <f>IF(E55=9999,9999,E55)</f>
        <v>9999</v>
      </c>
      <c r="D130" s="5">
        <f>IF(E80=9999,9999,E80)</f>
        <v>9999</v>
      </c>
      <c r="E130" s="20">
        <f>IF(OR(C130=9999,D130=9999),9999,C130+D130)</f>
        <v>9999</v>
      </c>
      <c r="G130" s="4" t="s">
        <v>25</v>
      </c>
      <c r="H130" s="5">
        <f t="shared" ref="H130:H149" si="52">D5</f>
        <v>0</v>
      </c>
      <c r="I130" s="5">
        <f>K5</f>
        <v>0</v>
      </c>
      <c r="J130" s="20">
        <f t="shared" ref="J130:J149" si="53">IF(ISERROR(I130-H130),9999,IF(OR(H130=0,I130=0),9999,IF(SUM(I130-H130)&lt;=0,9999,SUM(I130-H130))))</f>
        <v>9999</v>
      </c>
      <c r="L130" s="4" t="s">
        <v>25</v>
      </c>
      <c r="M130" s="5">
        <f>K5</f>
        <v>0</v>
      </c>
      <c r="N130" s="5">
        <f>J5</f>
        <v>0</v>
      </c>
      <c r="O130" s="20">
        <f>IF(ISERROR(M130-N130),9999,IF(OR(M130=0,N130=0),9999,IF(SUM(M130-N130)&lt;=0,9999,SUM(M130-N130))))</f>
        <v>9999</v>
      </c>
      <c r="P130" s="13"/>
    </row>
    <row r="131" spans="1:16" x14ac:dyDescent="0.2">
      <c r="A131" s="4" t="s">
        <v>26</v>
      </c>
      <c r="B131" s="19">
        <f t="shared" ref="B131:B149" si="54">IF(F6="",9999,F6)</f>
        <v>9999</v>
      </c>
      <c r="C131" s="5">
        <f t="shared" ref="C131:C149" si="55">IF(E56=9999,9999,E56)</f>
        <v>9999</v>
      </c>
      <c r="D131" s="5">
        <f t="shared" ref="D131:D149" si="56">IF(E81=9999,9999,E81)</f>
        <v>9999</v>
      </c>
      <c r="E131" s="20">
        <f t="shared" ref="E131:E149" si="57">IF(OR(C131=9999,D131=9999),9999,C131+D131)</f>
        <v>9999</v>
      </c>
      <c r="G131" s="4" t="s">
        <v>26</v>
      </c>
      <c r="H131" s="5">
        <f t="shared" si="52"/>
        <v>0</v>
      </c>
      <c r="I131" s="5">
        <f>K6</f>
        <v>0</v>
      </c>
      <c r="J131" s="20">
        <f t="shared" si="53"/>
        <v>9999</v>
      </c>
      <c r="L131" s="4" t="s">
        <v>26</v>
      </c>
      <c r="M131" s="5">
        <f t="shared" ref="M131:M149" si="58">K6</f>
        <v>0</v>
      </c>
      <c r="N131" s="5">
        <f t="shared" ref="N131:N149" si="59">J6</f>
        <v>0</v>
      </c>
      <c r="O131" s="20">
        <f t="shared" ref="O131:O149" si="60">IF(ISERROR(M131-N131),9999,IF(OR(M131=0,N131=0),9999,IF(SUM(M131-N131)&lt;=0,9999,SUM(M131-N131))))</f>
        <v>9999</v>
      </c>
      <c r="P131" s="13"/>
    </row>
    <row r="132" spans="1:16" x14ac:dyDescent="0.2">
      <c r="A132" s="4" t="s">
        <v>27</v>
      </c>
      <c r="B132" s="19">
        <f t="shared" si="54"/>
        <v>9999</v>
      </c>
      <c r="C132" s="5">
        <f t="shared" si="55"/>
        <v>9999</v>
      </c>
      <c r="D132" s="5">
        <f t="shared" si="56"/>
        <v>9999</v>
      </c>
      <c r="E132" s="20">
        <f t="shared" si="57"/>
        <v>9999</v>
      </c>
      <c r="G132" s="4" t="s">
        <v>27</v>
      </c>
      <c r="H132" s="5">
        <f t="shared" si="52"/>
        <v>0</v>
      </c>
      <c r="I132" s="5">
        <f t="shared" ref="I132:I149" si="61">K7</f>
        <v>0</v>
      </c>
      <c r="J132" s="20">
        <f t="shared" si="53"/>
        <v>9999</v>
      </c>
      <c r="L132" s="4" t="s">
        <v>27</v>
      </c>
      <c r="M132" s="5">
        <f t="shared" si="58"/>
        <v>0</v>
      </c>
      <c r="N132" s="5">
        <f t="shared" si="59"/>
        <v>0</v>
      </c>
      <c r="O132" s="20">
        <f t="shared" si="60"/>
        <v>9999</v>
      </c>
      <c r="P132" s="13"/>
    </row>
    <row r="133" spans="1:16" x14ac:dyDescent="0.2">
      <c r="A133" s="4" t="s">
        <v>28</v>
      </c>
      <c r="B133" s="19">
        <f t="shared" si="54"/>
        <v>9999</v>
      </c>
      <c r="C133" s="5">
        <f t="shared" si="55"/>
        <v>9999</v>
      </c>
      <c r="D133" s="5">
        <f t="shared" si="56"/>
        <v>9999</v>
      </c>
      <c r="E133" s="20">
        <f t="shared" si="57"/>
        <v>9999</v>
      </c>
      <c r="G133" s="4" t="s">
        <v>28</v>
      </c>
      <c r="H133" s="5">
        <f t="shared" si="52"/>
        <v>0</v>
      </c>
      <c r="I133" s="5">
        <f t="shared" si="61"/>
        <v>0</v>
      </c>
      <c r="J133" s="20">
        <f t="shared" si="53"/>
        <v>9999</v>
      </c>
      <c r="L133" s="4" t="s">
        <v>28</v>
      </c>
      <c r="M133" s="5">
        <f t="shared" si="58"/>
        <v>0</v>
      </c>
      <c r="N133" s="5">
        <f t="shared" si="59"/>
        <v>0</v>
      </c>
      <c r="O133" s="20">
        <f t="shared" si="60"/>
        <v>9999</v>
      </c>
    </row>
    <row r="134" spans="1:16" x14ac:dyDescent="0.2">
      <c r="A134" s="4" t="s">
        <v>29</v>
      </c>
      <c r="B134" s="19">
        <f t="shared" si="54"/>
        <v>9999</v>
      </c>
      <c r="C134" s="5">
        <f t="shared" si="55"/>
        <v>9999</v>
      </c>
      <c r="D134" s="5">
        <f t="shared" si="56"/>
        <v>9999</v>
      </c>
      <c r="E134" s="20">
        <f t="shared" si="57"/>
        <v>9999</v>
      </c>
      <c r="G134" s="4" t="s">
        <v>29</v>
      </c>
      <c r="H134" s="5">
        <f t="shared" si="52"/>
        <v>0</v>
      </c>
      <c r="I134" s="5">
        <f t="shared" si="61"/>
        <v>0</v>
      </c>
      <c r="J134" s="20">
        <f t="shared" si="53"/>
        <v>9999</v>
      </c>
      <c r="L134" s="4" t="s">
        <v>29</v>
      </c>
      <c r="M134" s="5">
        <f t="shared" si="58"/>
        <v>0</v>
      </c>
      <c r="N134" s="5">
        <f t="shared" si="59"/>
        <v>0</v>
      </c>
      <c r="O134" s="20">
        <f t="shared" si="60"/>
        <v>9999</v>
      </c>
    </row>
    <row r="135" spans="1:16" x14ac:dyDescent="0.2">
      <c r="A135" s="4" t="s">
        <v>30</v>
      </c>
      <c r="B135" s="19">
        <f t="shared" si="54"/>
        <v>9999</v>
      </c>
      <c r="C135" s="5">
        <f t="shared" si="55"/>
        <v>9999</v>
      </c>
      <c r="D135" s="5">
        <f t="shared" si="56"/>
        <v>9999</v>
      </c>
      <c r="E135" s="20">
        <f t="shared" si="57"/>
        <v>9999</v>
      </c>
      <c r="G135" s="4" t="s">
        <v>30</v>
      </c>
      <c r="H135" s="5">
        <f t="shared" si="52"/>
        <v>0</v>
      </c>
      <c r="I135" s="5">
        <f t="shared" si="61"/>
        <v>0</v>
      </c>
      <c r="J135" s="20">
        <f t="shared" si="53"/>
        <v>9999</v>
      </c>
      <c r="L135" s="4" t="s">
        <v>30</v>
      </c>
      <c r="M135" s="5">
        <f t="shared" si="58"/>
        <v>0</v>
      </c>
      <c r="N135" s="5">
        <f t="shared" si="59"/>
        <v>0</v>
      </c>
      <c r="O135" s="20">
        <f t="shared" si="60"/>
        <v>9999</v>
      </c>
    </row>
    <row r="136" spans="1:16" x14ac:dyDescent="0.2">
      <c r="A136" s="4" t="s">
        <v>31</v>
      </c>
      <c r="B136" s="19">
        <f t="shared" si="54"/>
        <v>9999</v>
      </c>
      <c r="C136" s="5">
        <f t="shared" si="55"/>
        <v>9999</v>
      </c>
      <c r="D136" s="5">
        <f t="shared" si="56"/>
        <v>9999</v>
      </c>
      <c r="E136" s="20">
        <f t="shared" si="57"/>
        <v>9999</v>
      </c>
      <c r="G136" s="4" t="s">
        <v>31</v>
      </c>
      <c r="H136" s="5">
        <f t="shared" si="52"/>
        <v>0</v>
      </c>
      <c r="I136" s="5">
        <f t="shared" si="61"/>
        <v>0</v>
      </c>
      <c r="J136" s="20">
        <f t="shared" si="53"/>
        <v>9999</v>
      </c>
      <c r="L136" s="4" t="s">
        <v>31</v>
      </c>
      <c r="M136" s="5">
        <f t="shared" si="58"/>
        <v>0</v>
      </c>
      <c r="N136" s="5">
        <f t="shared" si="59"/>
        <v>0</v>
      </c>
      <c r="O136" s="20">
        <f t="shared" si="60"/>
        <v>9999</v>
      </c>
    </row>
    <row r="137" spans="1:16" x14ac:dyDescent="0.2">
      <c r="A137" s="9" t="s">
        <v>32</v>
      </c>
      <c r="B137" s="19">
        <f t="shared" si="54"/>
        <v>9999</v>
      </c>
      <c r="C137" s="5">
        <f t="shared" si="55"/>
        <v>9999</v>
      </c>
      <c r="D137" s="5">
        <f t="shared" si="56"/>
        <v>9999</v>
      </c>
      <c r="E137" s="20">
        <f t="shared" si="57"/>
        <v>9999</v>
      </c>
      <c r="G137" s="9" t="s">
        <v>32</v>
      </c>
      <c r="H137" s="5">
        <f t="shared" si="52"/>
        <v>0</v>
      </c>
      <c r="I137" s="5">
        <f t="shared" si="61"/>
        <v>0</v>
      </c>
      <c r="J137" s="20">
        <f t="shared" si="53"/>
        <v>9999</v>
      </c>
      <c r="L137" s="9" t="s">
        <v>32</v>
      </c>
      <c r="M137" s="5">
        <f t="shared" si="58"/>
        <v>0</v>
      </c>
      <c r="N137" s="5">
        <f t="shared" si="59"/>
        <v>0</v>
      </c>
      <c r="O137" s="20">
        <f t="shared" si="60"/>
        <v>9999</v>
      </c>
    </row>
    <row r="138" spans="1:16" x14ac:dyDescent="0.2">
      <c r="A138" s="9" t="s">
        <v>33</v>
      </c>
      <c r="B138" s="19">
        <f t="shared" si="54"/>
        <v>9999</v>
      </c>
      <c r="C138" s="5">
        <f t="shared" si="55"/>
        <v>9999</v>
      </c>
      <c r="D138" s="5">
        <f t="shared" si="56"/>
        <v>9999</v>
      </c>
      <c r="E138" s="20">
        <f t="shared" si="57"/>
        <v>9999</v>
      </c>
      <c r="G138" s="9" t="s">
        <v>33</v>
      </c>
      <c r="H138" s="5">
        <f t="shared" si="52"/>
        <v>0</v>
      </c>
      <c r="I138" s="5">
        <f t="shared" si="61"/>
        <v>0</v>
      </c>
      <c r="J138" s="20">
        <f t="shared" si="53"/>
        <v>9999</v>
      </c>
      <c r="L138" s="9" t="s">
        <v>33</v>
      </c>
      <c r="M138" s="5">
        <f t="shared" si="58"/>
        <v>0</v>
      </c>
      <c r="N138" s="5">
        <f t="shared" si="59"/>
        <v>0</v>
      </c>
      <c r="O138" s="20">
        <f t="shared" si="60"/>
        <v>9999</v>
      </c>
    </row>
    <row r="139" spans="1:16" x14ac:dyDescent="0.2">
      <c r="A139" s="9" t="s">
        <v>34</v>
      </c>
      <c r="B139" s="19">
        <f t="shared" si="54"/>
        <v>9999</v>
      </c>
      <c r="C139" s="5">
        <f t="shared" si="55"/>
        <v>9999</v>
      </c>
      <c r="D139" s="5">
        <f t="shared" si="56"/>
        <v>9999</v>
      </c>
      <c r="E139" s="20">
        <f t="shared" si="57"/>
        <v>9999</v>
      </c>
      <c r="G139" s="9" t="s">
        <v>34</v>
      </c>
      <c r="H139" s="5">
        <f t="shared" si="52"/>
        <v>0</v>
      </c>
      <c r="I139" s="5">
        <f t="shared" si="61"/>
        <v>0</v>
      </c>
      <c r="J139" s="20">
        <f t="shared" si="53"/>
        <v>9999</v>
      </c>
      <c r="L139" s="9" t="s">
        <v>34</v>
      </c>
      <c r="M139" s="5">
        <f t="shared" si="58"/>
        <v>0</v>
      </c>
      <c r="N139" s="5">
        <f t="shared" si="59"/>
        <v>0</v>
      </c>
      <c r="O139" s="20">
        <f t="shared" si="60"/>
        <v>9999</v>
      </c>
    </row>
    <row r="140" spans="1:16" x14ac:dyDescent="0.2">
      <c r="A140" s="9" t="s">
        <v>35</v>
      </c>
      <c r="B140" s="19">
        <f t="shared" si="54"/>
        <v>9999</v>
      </c>
      <c r="C140" s="5">
        <f t="shared" si="55"/>
        <v>9999</v>
      </c>
      <c r="D140" s="5">
        <f t="shared" si="56"/>
        <v>9999</v>
      </c>
      <c r="E140" s="20">
        <f t="shared" si="57"/>
        <v>9999</v>
      </c>
      <c r="G140" s="9" t="s">
        <v>35</v>
      </c>
      <c r="H140" s="5">
        <f t="shared" si="52"/>
        <v>0</v>
      </c>
      <c r="I140" s="5">
        <f t="shared" si="61"/>
        <v>0</v>
      </c>
      <c r="J140" s="20">
        <f t="shared" si="53"/>
        <v>9999</v>
      </c>
      <c r="L140" s="9" t="s">
        <v>35</v>
      </c>
      <c r="M140" s="5">
        <f t="shared" si="58"/>
        <v>0</v>
      </c>
      <c r="N140" s="5">
        <f t="shared" si="59"/>
        <v>0</v>
      </c>
      <c r="O140" s="20">
        <f t="shared" si="60"/>
        <v>9999</v>
      </c>
    </row>
    <row r="141" spans="1:16" x14ac:dyDescent="0.2">
      <c r="A141" s="9" t="s">
        <v>36</v>
      </c>
      <c r="B141" s="19">
        <f t="shared" si="54"/>
        <v>9999</v>
      </c>
      <c r="C141" s="5">
        <f t="shared" si="55"/>
        <v>9999</v>
      </c>
      <c r="D141" s="5">
        <f t="shared" si="56"/>
        <v>9999</v>
      </c>
      <c r="E141" s="20">
        <f t="shared" si="57"/>
        <v>9999</v>
      </c>
      <c r="G141" s="9" t="s">
        <v>36</v>
      </c>
      <c r="H141" s="5">
        <f t="shared" si="52"/>
        <v>0</v>
      </c>
      <c r="I141" s="5">
        <f t="shared" si="61"/>
        <v>0</v>
      </c>
      <c r="J141" s="20">
        <f t="shared" si="53"/>
        <v>9999</v>
      </c>
      <c r="L141" s="9" t="s">
        <v>36</v>
      </c>
      <c r="M141" s="5">
        <f t="shared" si="58"/>
        <v>0</v>
      </c>
      <c r="N141" s="5">
        <f t="shared" si="59"/>
        <v>0</v>
      </c>
      <c r="O141" s="20">
        <f t="shared" si="60"/>
        <v>9999</v>
      </c>
    </row>
    <row r="142" spans="1:16" x14ac:dyDescent="0.2">
      <c r="A142" s="4" t="s">
        <v>37</v>
      </c>
      <c r="B142" s="19">
        <f t="shared" si="54"/>
        <v>9999</v>
      </c>
      <c r="C142" s="5">
        <f t="shared" si="55"/>
        <v>9999</v>
      </c>
      <c r="D142" s="5">
        <f t="shared" si="56"/>
        <v>9999</v>
      </c>
      <c r="E142" s="20">
        <f t="shared" si="57"/>
        <v>9999</v>
      </c>
      <c r="G142" s="4" t="s">
        <v>37</v>
      </c>
      <c r="H142" s="5">
        <f t="shared" si="52"/>
        <v>0</v>
      </c>
      <c r="I142" s="5">
        <f t="shared" si="61"/>
        <v>0</v>
      </c>
      <c r="J142" s="20">
        <f t="shared" si="53"/>
        <v>9999</v>
      </c>
      <c r="L142" s="4" t="s">
        <v>37</v>
      </c>
      <c r="M142" s="5">
        <f t="shared" si="58"/>
        <v>0</v>
      </c>
      <c r="N142" s="5">
        <f t="shared" si="59"/>
        <v>0</v>
      </c>
      <c r="O142" s="20">
        <f t="shared" si="60"/>
        <v>9999</v>
      </c>
    </row>
    <row r="143" spans="1:16" x14ac:dyDescent="0.2">
      <c r="A143" s="4" t="s">
        <v>38</v>
      </c>
      <c r="B143" s="19">
        <f t="shared" si="54"/>
        <v>9999</v>
      </c>
      <c r="C143" s="5">
        <f t="shared" si="55"/>
        <v>9999</v>
      </c>
      <c r="D143" s="5">
        <f t="shared" si="56"/>
        <v>9999</v>
      </c>
      <c r="E143" s="20">
        <f t="shared" si="57"/>
        <v>9999</v>
      </c>
      <c r="G143" s="4" t="s">
        <v>38</v>
      </c>
      <c r="H143" s="5">
        <f t="shared" si="52"/>
        <v>0</v>
      </c>
      <c r="I143" s="5">
        <f t="shared" si="61"/>
        <v>0</v>
      </c>
      <c r="J143" s="20">
        <f t="shared" si="53"/>
        <v>9999</v>
      </c>
      <c r="L143" s="4" t="s">
        <v>38</v>
      </c>
      <c r="M143" s="5">
        <f t="shared" si="58"/>
        <v>0</v>
      </c>
      <c r="N143" s="5">
        <f t="shared" si="59"/>
        <v>0</v>
      </c>
      <c r="O143" s="20">
        <f t="shared" si="60"/>
        <v>9999</v>
      </c>
    </row>
    <row r="144" spans="1:16" x14ac:dyDescent="0.2">
      <c r="A144" s="4" t="s">
        <v>39</v>
      </c>
      <c r="B144" s="19">
        <f t="shared" si="54"/>
        <v>9999</v>
      </c>
      <c r="C144" s="5">
        <f t="shared" si="55"/>
        <v>9999</v>
      </c>
      <c r="D144" s="5">
        <f t="shared" si="56"/>
        <v>9999</v>
      </c>
      <c r="E144" s="20">
        <f t="shared" si="57"/>
        <v>9999</v>
      </c>
      <c r="G144" s="4" t="s">
        <v>39</v>
      </c>
      <c r="H144" s="5">
        <f t="shared" si="52"/>
        <v>0</v>
      </c>
      <c r="I144" s="5">
        <f t="shared" si="61"/>
        <v>0</v>
      </c>
      <c r="J144" s="20">
        <f t="shared" si="53"/>
        <v>9999</v>
      </c>
      <c r="L144" s="4" t="s">
        <v>39</v>
      </c>
      <c r="M144" s="5">
        <f t="shared" si="58"/>
        <v>0</v>
      </c>
      <c r="N144" s="5">
        <f t="shared" si="59"/>
        <v>0</v>
      </c>
      <c r="O144" s="20">
        <f t="shared" si="60"/>
        <v>9999</v>
      </c>
    </row>
    <row r="145" spans="1:15" x14ac:dyDescent="0.2">
      <c r="A145" s="9" t="s">
        <v>40</v>
      </c>
      <c r="B145" s="19">
        <f t="shared" si="54"/>
        <v>9999</v>
      </c>
      <c r="C145" s="5">
        <f t="shared" si="55"/>
        <v>9999</v>
      </c>
      <c r="D145" s="5">
        <f t="shared" si="56"/>
        <v>9999</v>
      </c>
      <c r="E145" s="20">
        <f t="shared" si="57"/>
        <v>9999</v>
      </c>
      <c r="G145" s="9" t="s">
        <v>40</v>
      </c>
      <c r="H145" s="5">
        <f t="shared" si="52"/>
        <v>0</v>
      </c>
      <c r="I145" s="5">
        <f t="shared" si="61"/>
        <v>0</v>
      </c>
      <c r="J145" s="20">
        <f t="shared" si="53"/>
        <v>9999</v>
      </c>
      <c r="L145" s="9" t="s">
        <v>40</v>
      </c>
      <c r="M145" s="5">
        <f t="shared" si="58"/>
        <v>0</v>
      </c>
      <c r="N145" s="5">
        <f t="shared" si="59"/>
        <v>0</v>
      </c>
      <c r="O145" s="20">
        <f t="shared" si="60"/>
        <v>9999</v>
      </c>
    </row>
    <row r="146" spans="1:15" x14ac:dyDescent="0.2">
      <c r="A146" s="9" t="s">
        <v>41</v>
      </c>
      <c r="B146" s="19">
        <f t="shared" si="54"/>
        <v>9999</v>
      </c>
      <c r="C146" s="5">
        <f t="shared" si="55"/>
        <v>9999</v>
      </c>
      <c r="D146" s="5">
        <f t="shared" si="56"/>
        <v>9999</v>
      </c>
      <c r="E146" s="20">
        <f t="shared" si="57"/>
        <v>9999</v>
      </c>
      <c r="G146" s="9" t="s">
        <v>41</v>
      </c>
      <c r="H146" s="5">
        <f t="shared" si="52"/>
        <v>0</v>
      </c>
      <c r="I146" s="5">
        <f t="shared" si="61"/>
        <v>0</v>
      </c>
      <c r="J146" s="20">
        <f t="shared" si="53"/>
        <v>9999</v>
      </c>
      <c r="L146" s="9" t="s">
        <v>41</v>
      </c>
      <c r="M146" s="5">
        <f t="shared" si="58"/>
        <v>0</v>
      </c>
      <c r="N146" s="5">
        <f t="shared" si="59"/>
        <v>0</v>
      </c>
      <c r="O146" s="20">
        <f t="shared" si="60"/>
        <v>9999</v>
      </c>
    </row>
    <row r="147" spans="1:15" x14ac:dyDescent="0.2">
      <c r="A147" s="9" t="s">
        <v>42</v>
      </c>
      <c r="B147" s="19">
        <f t="shared" si="54"/>
        <v>9999</v>
      </c>
      <c r="C147" s="5">
        <f t="shared" si="55"/>
        <v>9999</v>
      </c>
      <c r="D147" s="5">
        <f t="shared" si="56"/>
        <v>9999</v>
      </c>
      <c r="E147" s="20">
        <f t="shared" si="57"/>
        <v>9999</v>
      </c>
      <c r="G147" s="9" t="s">
        <v>42</v>
      </c>
      <c r="H147" s="5">
        <f t="shared" si="52"/>
        <v>0</v>
      </c>
      <c r="I147" s="5">
        <f t="shared" si="61"/>
        <v>0</v>
      </c>
      <c r="J147" s="20">
        <f t="shared" si="53"/>
        <v>9999</v>
      </c>
      <c r="L147" s="9" t="s">
        <v>42</v>
      </c>
      <c r="M147" s="5">
        <f t="shared" si="58"/>
        <v>0</v>
      </c>
      <c r="N147" s="5">
        <f t="shared" si="59"/>
        <v>0</v>
      </c>
      <c r="O147" s="20">
        <f t="shared" si="60"/>
        <v>9999</v>
      </c>
    </row>
    <row r="148" spans="1:15" x14ac:dyDescent="0.2">
      <c r="A148" s="9" t="s">
        <v>43</v>
      </c>
      <c r="B148" s="19">
        <f t="shared" si="54"/>
        <v>9999</v>
      </c>
      <c r="C148" s="5">
        <f t="shared" si="55"/>
        <v>9999</v>
      </c>
      <c r="D148" s="5">
        <f t="shared" si="56"/>
        <v>9999</v>
      </c>
      <c r="E148" s="20">
        <f t="shared" si="57"/>
        <v>9999</v>
      </c>
      <c r="G148" s="9" t="s">
        <v>43</v>
      </c>
      <c r="H148" s="5">
        <f t="shared" si="52"/>
        <v>0</v>
      </c>
      <c r="I148" s="5">
        <f t="shared" si="61"/>
        <v>0</v>
      </c>
      <c r="J148" s="20">
        <f t="shared" si="53"/>
        <v>9999</v>
      </c>
      <c r="L148" s="9" t="s">
        <v>43</v>
      </c>
      <c r="M148" s="5">
        <f t="shared" si="58"/>
        <v>0</v>
      </c>
      <c r="N148" s="5">
        <f t="shared" si="59"/>
        <v>0</v>
      </c>
      <c r="O148" s="20">
        <f t="shared" si="60"/>
        <v>9999</v>
      </c>
    </row>
    <row r="149" spans="1:15" x14ac:dyDescent="0.2">
      <c r="A149" s="10" t="s">
        <v>44</v>
      </c>
      <c r="B149" s="21">
        <f t="shared" si="54"/>
        <v>9999</v>
      </c>
      <c r="C149" s="8">
        <f t="shared" si="55"/>
        <v>9999</v>
      </c>
      <c r="D149" s="8">
        <f t="shared" si="56"/>
        <v>9999</v>
      </c>
      <c r="E149" s="22">
        <f t="shared" si="57"/>
        <v>9999</v>
      </c>
      <c r="G149" s="10" t="s">
        <v>44</v>
      </c>
      <c r="H149" s="8">
        <f t="shared" si="52"/>
        <v>0</v>
      </c>
      <c r="I149" s="8">
        <f t="shared" si="61"/>
        <v>0</v>
      </c>
      <c r="J149" s="22">
        <f t="shared" si="53"/>
        <v>9999</v>
      </c>
      <c r="L149" s="10" t="s">
        <v>44</v>
      </c>
      <c r="M149" s="8">
        <f t="shared" si="58"/>
        <v>0</v>
      </c>
      <c r="N149" s="8">
        <f t="shared" si="59"/>
        <v>0</v>
      </c>
      <c r="O149" s="22">
        <f t="shared" si="60"/>
        <v>9999</v>
      </c>
    </row>
    <row r="153" spans="1:15" x14ac:dyDescent="0.2">
      <c r="A153" s="51" t="s">
        <v>1342</v>
      </c>
      <c r="B153" s="51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</row>
    <row r="154" spans="1:15" x14ac:dyDescent="0.2">
      <c r="A154" s="53" t="s">
        <v>1365</v>
      </c>
      <c r="B154" s="54" t="s">
        <v>1367</v>
      </c>
      <c r="C154" s="54" t="s">
        <v>1366</v>
      </c>
      <c r="D154" s="54" t="s">
        <v>1368</v>
      </c>
      <c r="E154" s="62" t="s">
        <v>1369</v>
      </c>
      <c r="F154" s="55" t="s">
        <v>1370</v>
      </c>
      <c r="G154" s="55" t="s">
        <v>1371</v>
      </c>
      <c r="H154" s="55" t="s">
        <v>1372</v>
      </c>
      <c r="I154" s="63" t="s">
        <v>1374</v>
      </c>
      <c r="J154" s="56" t="s">
        <v>1373</v>
      </c>
      <c r="K154" s="56" t="s">
        <v>1375</v>
      </c>
      <c r="L154" s="56" t="s">
        <v>1376</v>
      </c>
      <c r="M154" s="56" t="s">
        <v>1377</v>
      </c>
      <c r="N154" s="77" t="s">
        <v>1378</v>
      </c>
      <c r="O154" s="78" t="s">
        <v>1379</v>
      </c>
    </row>
    <row r="155" spans="1:15" x14ac:dyDescent="0.2">
      <c r="A155" s="57">
        <f>IFERROR(AVERAGEIFS(E30:E99,B30:B99,0,E30:E99,"&lt;&gt;9999"),9999)</f>
        <v>9999</v>
      </c>
      <c r="B155" s="58">
        <f>IFERROR(AVERAGEIFS(J30:J99,B30:B99,0,J30:J99,"&lt;&gt;9999"),9999)</f>
        <v>9999</v>
      </c>
      <c r="C155" s="58">
        <f>IFERROR(AVERAGEIFS(T30:T99,B30:B99,1,T30:T99,"&lt;&gt;9999"),9999)</f>
        <v>9999</v>
      </c>
      <c r="D155" s="58">
        <f>IFERROR(AVERAGEIFS(O30:O99,B30:B99,1,O30:O99,"&lt;&gt;9999"),9999)</f>
        <v>9999</v>
      </c>
      <c r="E155" s="61">
        <f>IFERROR(AVERAGEIFS(E30:E99,B30:B99,1,E30:E99,"&lt;&gt;9999"),9999)</f>
        <v>9999</v>
      </c>
      <c r="F155" s="59">
        <f>IFERROR(AVERAGEIFS(J30:J99,B30:B99,1,J30:J99,"&lt;&gt;9999"),9999)</f>
        <v>9999</v>
      </c>
      <c r="G155" s="59">
        <f>IFERROR(AVERAGEIFS(T30:T99,B30:B99,0,T30:T99,"&lt;&gt;9999"),9999)</f>
        <v>9999</v>
      </c>
      <c r="H155" s="59">
        <f>IFERROR(AVERAGEIFS(O30:O99,B30:B99,0,O30:O99,"&lt;&gt;9999"),9999)</f>
        <v>9999</v>
      </c>
      <c r="I155" s="64">
        <f>IFERROR(AVERAGEIFS(E105:E149,E105:E149,"&lt;&gt;9999"),9999)</f>
        <v>9999</v>
      </c>
      <c r="J155" s="60">
        <f>IFERROR(AVERAGEIFS(J105:J149,J105:J149,"&lt;&gt;9999"),9999)</f>
        <v>9999</v>
      </c>
      <c r="K155" s="60">
        <f>IFERROR(AVERAGEIFS(O105:O149,O105:O149,"&lt;&gt;9999"),9999)</f>
        <v>9999</v>
      </c>
      <c r="L155" s="60">
        <f>IF(OR(I155=9999,J155=9999),9999,IFERROR((I155/100)/J155,9999))</f>
        <v>9999</v>
      </c>
      <c r="M155" s="60">
        <f>IF(L155=9999,9999,L155*3.6)</f>
        <v>9999</v>
      </c>
      <c r="N155" s="75">
        <f>IFERROR(AVERAGEIFS(O105:O149,B105:B149,0,O105:O149,"&lt;&gt;9999"),9999)</f>
        <v>9999</v>
      </c>
      <c r="O155" s="76">
        <f>IFERROR(AVERAGEIFS(O105:O149,B105:B149,1,O105:O149,"&lt;&gt;9999"),9999)</f>
        <v>9999</v>
      </c>
    </row>
    <row r="156" spans="1:15" x14ac:dyDescent="0.2">
      <c r="A156" s="52"/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</row>
    <row r="157" spans="1:15" x14ac:dyDescent="0.2">
      <c r="A157" s="52" t="s">
        <v>1382</v>
      </c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</row>
    <row r="158" spans="1:15" x14ac:dyDescent="0.2">
      <c r="A158" s="53" t="s">
        <v>1365</v>
      </c>
      <c r="B158" s="54" t="s">
        <v>1367</v>
      </c>
      <c r="C158" s="54" t="s">
        <v>1366</v>
      </c>
      <c r="D158" s="54" t="s">
        <v>1368</v>
      </c>
      <c r="E158" s="62" t="s">
        <v>1369</v>
      </c>
      <c r="F158" s="55" t="s">
        <v>1370</v>
      </c>
      <c r="G158" s="55" t="s">
        <v>1371</v>
      </c>
      <c r="H158" s="55" t="s">
        <v>1372</v>
      </c>
      <c r="I158" s="63" t="s">
        <v>1374</v>
      </c>
      <c r="J158" s="56" t="s">
        <v>1373</v>
      </c>
      <c r="K158" s="83"/>
      <c r="L158" s="81"/>
      <c r="M158" s="81"/>
      <c r="N158" s="77" t="s">
        <v>1378</v>
      </c>
      <c r="O158" s="78" t="s">
        <v>1379</v>
      </c>
    </row>
    <row r="159" spans="1:15" x14ac:dyDescent="0.2">
      <c r="A159" s="57">
        <f t="array" ref="A159">IFERROR(_xlfn.STDEV.P(IF(((B30:B99)=0)*((E30:E99)&lt;&gt;9999)*((E30:E99)&lt;&gt;0),E30:E99,"")),9999)</f>
        <v>9999</v>
      </c>
      <c r="B159" s="58">
        <f t="array" ref="B159">IFERROR(_xlfn.STDEV.P(IF(((B30:B99)=0)*((J30:J99)&lt;&gt;9999)*((J30:J99)&lt;&gt;0),J30:J99,"")),9999)</f>
        <v>9999</v>
      </c>
      <c r="C159" s="58">
        <f t="array" ref="C159">IFERROR(_xlfn.STDEV.P(IF(((B30:B99)=1)*((T30:T99)&lt;&gt;9999)*((T30:T99)&lt;&gt;0),T30:T99,"")),9999)</f>
        <v>9999</v>
      </c>
      <c r="D159" s="58">
        <f t="array" ref="D159">IFERROR(_xlfn.STDEV.P(IF(((B30:B99)=1)*((O30:O99)&lt;&gt;9999)*((O30:O99)&lt;&gt;0),O30:O99,"")),9999)</f>
        <v>9999</v>
      </c>
      <c r="E159" s="61">
        <f t="array" ref="E159">IFERROR(_xlfn.STDEV.P(IF(((B30:B99)=1)*((E30:E99)&lt;&gt;9999)*((E30:E99)&lt;&gt;0),E30:E99,"")),9999)</f>
        <v>9999</v>
      </c>
      <c r="F159" s="59">
        <f t="array" ref="F159">IFERROR(_xlfn.STDEV.P(IF(((B30:B99)=1)*((J30:J99)&lt;&gt;9999)*((J30:J99)&lt;&gt;0),J30:J99,"")),9999)</f>
        <v>9999</v>
      </c>
      <c r="G159" s="59">
        <f t="array" ref="G159">IFERROR(_xlfn.STDEV.P(IF(((B30:B99)=0)*((T30:T99)&lt;&gt;9999)*((T30:T99)&lt;&gt;0),T30:T99,"")),9999)</f>
        <v>9999</v>
      </c>
      <c r="H159" s="59">
        <f t="array" ref="H159">IFERROR(_xlfn.STDEV.P(IF(((B30:B99)=0)*((O30:O99)&lt;&gt;9999)*((O30:O99)&lt;&gt;0),O30:O99,"")),9999)</f>
        <v>9999</v>
      </c>
      <c r="I159" s="64">
        <f t="array" ref="I159">IFERROR(_xlfn.STDEV.P(IF(((E105:E149)&lt;&gt;9999)*((E105:E149)&lt;&gt;0),E105:E149,"")),9999)</f>
        <v>9999</v>
      </c>
      <c r="J159" s="60">
        <f t="array" ref="J159">IFERROR(_xlfn.STDEV.P(IF(((J105:J149)&lt;&gt;9999)*((J105:J149)&lt;&gt;0),J105:J149,"")),9999)</f>
        <v>9999</v>
      </c>
      <c r="K159" s="84"/>
      <c r="L159" s="82"/>
      <c r="M159" s="82"/>
      <c r="N159" s="75">
        <f t="array" ref="N159">IFERROR(_xlfn.STDEV.P(IF(((B105:B149)=0)*((O105:O149)&lt;&gt;9999)*((O105:O149)&lt;&gt;0),O105:O149,"")),9999)</f>
        <v>9999</v>
      </c>
      <c r="O159" s="76">
        <f t="array" ref="O159">IFERROR(_xlfn.STDEV.P(IF(((B105:B149)=1)*((O105:O149)&lt;&gt;9999)*((O105:O149)&lt;&gt;0),O105:O149,"")),9999)</f>
        <v>9999</v>
      </c>
    </row>
  </sheetData>
  <sheetProtection selectLockedCells="1"/>
  <protectedRanges>
    <protectedRange password="C8CD" sqref="H8:M16 B17:M24" name="Bereik1_1" securityDescriptor="O:WDG:WDD:(A;;CC;;;BU)"/>
    <protectedRange sqref="H8:M16 B17:M24" name="Bereik2_1" securityDescriptor="O:WDG:WDD:(A;;CC;;;BU)"/>
    <protectedRange password="C8CD" sqref="B8:G16" name="Bereik1_1_1" securityDescriptor="O:WDG:WDD:(A;;CC;;;BU)"/>
    <protectedRange sqref="B8:G16" name="Bereik2_1_1" securityDescriptor="O:WDG:WDD:(A;;CC;;;BU)"/>
    <protectedRange password="C8CD" sqref="E2 C2" name="Bereik1_2" securityDescriptor="O:WDG:WDD:(A;;CC;;;BU)"/>
    <protectedRange sqref="E2 C2" name="Bereik2_2" securityDescriptor="O:WDG:WDD:(A;;CC;;;BU)"/>
    <protectedRange password="C8CD" sqref="B5:M7" name="Bereik1_2_1" securityDescriptor="O:WDG:WDD:(A;;CC;;;BU)"/>
    <protectedRange sqref="B5:M7" name="Bereik2_2_1" securityDescriptor="O:WDG:WDD:(A;;CC;;;BU)"/>
  </protectedRanges>
  <pageMargins left="0.75" right="0.75" top="1" bottom="1" header="0.5" footer="0.5"/>
  <pageSetup paperSize="9" orientation="portrait" horizont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TG15"/>
  <sheetViews>
    <sheetView zoomScale="80" zoomScaleNormal="80" workbookViewId="0">
      <pane xSplit="7" ySplit="4" topLeftCell="H5" activePane="bottomRight" state="frozen"/>
      <selection activeCell="H36" sqref="H36"/>
      <selection pane="topRight" activeCell="H36" sqref="H36"/>
      <selection pane="bottomLeft" activeCell="H36" sqref="H36"/>
      <selection pane="bottomRight" activeCell="A4" sqref="A4"/>
    </sheetView>
  </sheetViews>
  <sheetFormatPr defaultColWidth="9" defaultRowHeight="12.75" x14ac:dyDescent="0.2"/>
  <cols>
    <col min="1" max="1" width="10.28515625" style="31" bestFit="1" customWidth="1"/>
    <col min="3" max="3" width="12.140625" bestFit="1" customWidth="1"/>
    <col min="4" max="5" width="12.140625" customWidth="1"/>
    <col min="8" max="8" width="16.5703125" customWidth="1"/>
    <col min="9" max="9" width="14" customWidth="1"/>
  </cols>
  <sheetData>
    <row r="1" spans="1:527" s="31" customFormat="1" hidden="1" x14ac:dyDescent="0.2">
      <c r="A1" s="31" t="s">
        <v>72</v>
      </c>
      <c r="H1" s="31">
        <v>1</v>
      </c>
      <c r="I1" s="31">
        <v>1</v>
      </c>
      <c r="J1" s="31">
        <v>1</v>
      </c>
      <c r="K1" s="31">
        <v>1</v>
      </c>
      <c r="L1" s="31">
        <v>1</v>
      </c>
      <c r="M1" s="31">
        <v>1</v>
      </c>
      <c r="N1" s="31">
        <v>1</v>
      </c>
      <c r="O1" s="31">
        <v>1</v>
      </c>
      <c r="P1" s="31">
        <v>1</v>
      </c>
      <c r="Q1" s="31">
        <v>1</v>
      </c>
      <c r="R1" s="31">
        <v>1</v>
      </c>
      <c r="S1" s="31">
        <v>1</v>
      </c>
      <c r="T1" s="31">
        <v>1</v>
      </c>
      <c r="U1" s="31">
        <v>1</v>
      </c>
      <c r="V1" s="31">
        <v>1</v>
      </c>
      <c r="W1" s="31">
        <v>1</v>
      </c>
      <c r="X1" s="31">
        <v>1</v>
      </c>
      <c r="Y1" s="31">
        <v>1</v>
      </c>
      <c r="Z1" s="31">
        <v>1</v>
      </c>
      <c r="AA1" s="31">
        <v>1</v>
      </c>
      <c r="AB1" s="31">
        <v>1</v>
      </c>
      <c r="AC1" s="31">
        <v>1</v>
      </c>
      <c r="AD1" s="31">
        <v>1</v>
      </c>
      <c r="AE1" s="31">
        <v>2</v>
      </c>
      <c r="AF1" s="31">
        <v>2</v>
      </c>
      <c r="AG1" s="31">
        <v>2</v>
      </c>
      <c r="AH1" s="31">
        <v>2</v>
      </c>
      <c r="AI1" s="31">
        <v>2</v>
      </c>
      <c r="AJ1" s="31">
        <v>2</v>
      </c>
      <c r="AK1" s="31">
        <v>2</v>
      </c>
      <c r="AL1" s="31">
        <v>2</v>
      </c>
      <c r="AM1" s="31">
        <v>2</v>
      </c>
      <c r="AN1" s="31">
        <v>2</v>
      </c>
      <c r="AO1" s="31">
        <v>2</v>
      </c>
      <c r="AP1" s="31">
        <v>2</v>
      </c>
      <c r="AQ1" s="31">
        <v>2</v>
      </c>
      <c r="AR1" s="31">
        <v>2</v>
      </c>
      <c r="AS1" s="31">
        <v>2</v>
      </c>
      <c r="AT1" s="31">
        <v>2</v>
      </c>
      <c r="AU1" s="31">
        <v>2</v>
      </c>
      <c r="AV1" s="31">
        <v>2</v>
      </c>
      <c r="AW1" s="31">
        <v>2</v>
      </c>
      <c r="AX1" s="31">
        <v>2</v>
      </c>
      <c r="AY1" s="31">
        <v>2</v>
      </c>
      <c r="AZ1" s="31">
        <v>2</v>
      </c>
      <c r="BA1" s="31">
        <v>2</v>
      </c>
      <c r="BB1" s="31">
        <v>3</v>
      </c>
      <c r="BC1" s="31">
        <v>3</v>
      </c>
      <c r="BD1" s="31">
        <v>3</v>
      </c>
      <c r="BE1" s="31">
        <v>3</v>
      </c>
      <c r="BF1" s="31">
        <v>3</v>
      </c>
      <c r="BG1" s="31">
        <v>3</v>
      </c>
      <c r="BH1" s="31">
        <v>3</v>
      </c>
      <c r="BI1" s="31">
        <v>3</v>
      </c>
      <c r="BJ1" s="31">
        <v>3</v>
      </c>
      <c r="BK1" s="31">
        <v>3</v>
      </c>
      <c r="BL1" s="31">
        <v>3</v>
      </c>
      <c r="BM1" s="31">
        <v>3</v>
      </c>
      <c r="BN1" s="31">
        <v>3</v>
      </c>
      <c r="BO1" s="31">
        <v>3</v>
      </c>
      <c r="BP1" s="31">
        <v>3</v>
      </c>
      <c r="BQ1" s="31">
        <v>3</v>
      </c>
      <c r="BR1" s="31">
        <v>3</v>
      </c>
      <c r="BS1" s="31">
        <v>3</v>
      </c>
      <c r="BT1" s="31">
        <v>3</v>
      </c>
      <c r="BU1" s="31">
        <v>3</v>
      </c>
      <c r="BV1" s="31">
        <v>3</v>
      </c>
      <c r="BW1" s="31">
        <v>3</v>
      </c>
      <c r="BX1" s="31">
        <v>3</v>
      </c>
      <c r="BY1" s="31">
        <v>4</v>
      </c>
      <c r="BZ1" s="31">
        <v>4</v>
      </c>
      <c r="CA1" s="31">
        <v>4</v>
      </c>
      <c r="CB1" s="31">
        <v>4</v>
      </c>
      <c r="CC1" s="31">
        <v>4</v>
      </c>
      <c r="CD1" s="31">
        <v>4</v>
      </c>
      <c r="CE1" s="31">
        <v>4</v>
      </c>
      <c r="CF1" s="31">
        <v>4</v>
      </c>
      <c r="CG1" s="31">
        <v>4</v>
      </c>
      <c r="CH1" s="31">
        <v>4</v>
      </c>
      <c r="CI1" s="31">
        <v>4</v>
      </c>
      <c r="CJ1" s="31">
        <v>4</v>
      </c>
      <c r="CK1" s="31">
        <v>4</v>
      </c>
      <c r="CL1" s="31">
        <v>4</v>
      </c>
      <c r="CM1" s="31">
        <v>4</v>
      </c>
      <c r="CN1" s="31">
        <v>4</v>
      </c>
      <c r="CO1" s="31">
        <v>4</v>
      </c>
      <c r="CP1" s="31">
        <v>4</v>
      </c>
      <c r="CQ1" s="31">
        <v>4</v>
      </c>
      <c r="CR1" s="31">
        <v>4</v>
      </c>
      <c r="CS1" s="31">
        <v>4</v>
      </c>
      <c r="CT1" s="31">
        <v>4</v>
      </c>
      <c r="CU1" s="31">
        <v>4</v>
      </c>
      <c r="CV1" s="31">
        <v>5</v>
      </c>
      <c r="CW1" s="31">
        <v>5</v>
      </c>
      <c r="CX1" s="31">
        <v>5</v>
      </c>
      <c r="CY1" s="31">
        <v>5</v>
      </c>
      <c r="CZ1" s="31">
        <v>5</v>
      </c>
      <c r="DA1" s="31">
        <v>5</v>
      </c>
      <c r="DB1" s="31">
        <v>5</v>
      </c>
      <c r="DC1" s="31">
        <v>5</v>
      </c>
      <c r="DD1" s="31">
        <v>5</v>
      </c>
      <c r="DE1" s="31">
        <v>5</v>
      </c>
      <c r="DF1" s="31">
        <v>5</v>
      </c>
      <c r="DG1" s="31">
        <v>5</v>
      </c>
      <c r="DH1" s="31">
        <v>5</v>
      </c>
      <c r="DI1" s="31">
        <v>5</v>
      </c>
      <c r="DJ1" s="31">
        <v>5</v>
      </c>
      <c r="DK1" s="31">
        <v>5</v>
      </c>
      <c r="DL1" s="31">
        <v>5</v>
      </c>
      <c r="DM1" s="31">
        <v>5</v>
      </c>
      <c r="DN1" s="31">
        <v>5</v>
      </c>
      <c r="DO1" s="31">
        <v>5</v>
      </c>
      <c r="DP1" s="31">
        <v>5</v>
      </c>
      <c r="DQ1" s="31">
        <v>5</v>
      </c>
      <c r="DR1" s="31">
        <v>5</v>
      </c>
      <c r="DS1" s="31">
        <v>6</v>
      </c>
      <c r="DT1" s="31">
        <v>6</v>
      </c>
      <c r="DU1" s="31">
        <v>6</v>
      </c>
      <c r="DV1" s="31">
        <v>6</v>
      </c>
      <c r="DW1" s="31">
        <v>6</v>
      </c>
      <c r="DX1" s="31">
        <v>6</v>
      </c>
      <c r="DY1" s="31">
        <v>6</v>
      </c>
      <c r="DZ1" s="31">
        <v>6</v>
      </c>
      <c r="EA1" s="31">
        <v>6</v>
      </c>
      <c r="EB1" s="31">
        <v>6</v>
      </c>
      <c r="EC1" s="31">
        <v>6</v>
      </c>
      <c r="ED1" s="31">
        <v>6</v>
      </c>
      <c r="EE1" s="31">
        <v>6</v>
      </c>
      <c r="EF1" s="31">
        <v>6</v>
      </c>
      <c r="EG1" s="31">
        <v>6</v>
      </c>
      <c r="EH1" s="31">
        <v>6</v>
      </c>
      <c r="EI1" s="31">
        <v>6</v>
      </c>
      <c r="EJ1" s="31">
        <v>6</v>
      </c>
      <c r="EK1" s="31">
        <v>6</v>
      </c>
      <c r="EL1" s="31">
        <v>6</v>
      </c>
      <c r="EM1" s="31">
        <v>6</v>
      </c>
      <c r="EN1" s="31">
        <v>6</v>
      </c>
      <c r="EO1" s="31">
        <v>6</v>
      </c>
      <c r="EP1" s="31">
        <v>7</v>
      </c>
      <c r="EQ1" s="31">
        <v>7</v>
      </c>
      <c r="ER1" s="31">
        <v>7</v>
      </c>
      <c r="ES1" s="31">
        <v>7</v>
      </c>
      <c r="ET1" s="31">
        <v>7</v>
      </c>
      <c r="EU1" s="31">
        <v>7</v>
      </c>
      <c r="EV1" s="31">
        <v>7</v>
      </c>
      <c r="EW1" s="31">
        <v>7</v>
      </c>
      <c r="EX1" s="31">
        <v>7</v>
      </c>
      <c r="EY1" s="31">
        <v>7</v>
      </c>
      <c r="EZ1" s="31">
        <v>7</v>
      </c>
      <c r="FA1" s="31">
        <v>7</v>
      </c>
      <c r="FB1" s="31">
        <v>7</v>
      </c>
      <c r="FC1" s="31">
        <v>7</v>
      </c>
      <c r="FD1" s="31">
        <v>7</v>
      </c>
      <c r="FE1" s="31">
        <v>7</v>
      </c>
      <c r="FF1" s="31">
        <v>7</v>
      </c>
      <c r="FG1" s="31">
        <v>7</v>
      </c>
      <c r="FH1" s="31">
        <v>7</v>
      </c>
      <c r="FI1" s="31">
        <v>7</v>
      </c>
      <c r="FJ1" s="31">
        <v>7</v>
      </c>
      <c r="FK1" s="31">
        <v>7</v>
      </c>
      <c r="FL1" s="31">
        <v>7</v>
      </c>
      <c r="FM1" s="31">
        <v>8</v>
      </c>
      <c r="FN1" s="31">
        <v>8</v>
      </c>
      <c r="FO1" s="31">
        <v>8</v>
      </c>
      <c r="FP1" s="31">
        <v>8</v>
      </c>
      <c r="FQ1" s="31">
        <v>8</v>
      </c>
      <c r="FR1" s="31">
        <v>8</v>
      </c>
      <c r="FS1" s="31">
        <v>8</v>
      </c>
      <c r="FT1" s="31">
        <v>8</v>
      </c>
      <c r="FU1" s="31">
        <v>8</v>
      </c>
      <c r="FV1" s="31">
        <v>8</v>
      </c>
      <c r="FW1" s="31">
        <v>8</v>
      </c>
      <c r="FX1" s="31">
        <v>8</v>
      </c>
      <c r="FY1" s="31">
        <v>8</v>
      </c>
      <c r="FZ1" s="31">
        <v>8</v>
      </c>
      <c r="GA1" s="31">
        <v>8</v>
      </c>
      <c r="GB1" s="31">
        <v>8</v>
      </c>
      <c r="GC1" s="31">
        <v>8</v>
      </c>
      <c r="GD1" s="31">
        <v>8</v>
      </c>
      <c r="GE1" s="31">
        <v>8</v>
      </c>
      <c r="GF1" s="31">
        <v>8</v>
      </c>
      <c r="GG1" s="31">
        <v>8</v>
      </c>
      <c r="GH1" s="31">
        <v>8</v>
      </c>
      <c r="GI1" s="31">
        <v>8</v>
      </c>
      <c r="GJ1" s="31">
        <v>9</v>
      </c>
      <c r="GK1" s="31">
        <v>9</v>
      </c>
      <c r="GL1" s="31">
        <v>9</v>
      </c>
      <c r="GM1" s="31">
        <v>9</v>
      </c>
      <c r="GN1" s="31">
        <v>9</v>
      </c>
      <c r="GO1" s="31">
        <v>9</v>
      </c>
      <c r="GP1" s="31">
        <v>9</v>
      </c>
      <c r="GQ1" s="31">
        <v>9</v>
      </c>
      <c r="GR1" s="31">
        <v>9</v>
      </c>
      <c r="GS1" s="31">
        <v>9</v>
      </c>
      <c r="GT1" s="31">
        <v>9</v>
      </c>
      <c r="GU1" s="31">
        <v>9</v>
      </c>
      <c r="GV1" s="31">
        <v>9</v>
      </c>
      <c r="GW1" s="31">
        <v>9</v>
      </c>
      <c r="GX1" s="31">
        <v>9</v>
      </c>
      <c r="GY1" s="31">
        <v>9</v>
      </c>
      <c r="GZ1" s="31">
        <v>9</v>
      </c>
      <c r="HA1" s="31">
        <v>9</v>
      </c>
      <c r="HB1" s="31">
        <v>9</v>
      </c>
      <c r="HC1" s="31">
        <v>9</v>
      </c>
      <c r="HD1" s="31">
        <v>9</v>
      </c>
      <c r="HE1" s="31">
        <v>9</v>
      </c>
      <c r="HF1" s="31">
        <v>9</v>
      </c>
      <c r="HG1" s="31">
        <v>10</v>
      </c>
      <c r="HH1" s="31">
        <v>10</v>
      </c>
      <c r="HI1" s="31">
        <v>10</v>
      </c>
      <c r="HJ1" s="31">
        <v>10</v>
      </c>
      <c r="HK1" s="31">
        <v>10</v>
      </c>
      <c r="HL1" s="31">
        <v>10</v>
      </c>
      <c r="HM1" s="31">
        <v>10</v>
      </c>
      <c r="HN1" s="31">
        <v>10</v>
      </c>
      <c r="HO1" s="31">
        <v>10</v>
      </c>
      <c r="HP1" s="31">
        <v>10</v>
      </c>
      <c r="HQ1" s="31">
        <v>10</v>
      </c>
      <c r="HR1" s="31">
        <v>10</v>
      </c>
      <c r="HS1" s="31">
        <v>10</v>
      </c>
      <c r="HT1" s="31">
        <v>10</v>
      </c>
      <c r="HU1" s="31">
        <v>10</v>
      </c>
      <c r="HV1" s="31">
        <v>10</v>
      </c>
      <c r="HW1" s="31">
        <v>10</v>
      </c>
      <c r="HX1" s="31">
        <v>10</v>
      </c>
      <c r="HY1" s="31">
        <v>10</v>
      </c>
      <c r="HZ1" s="31">
        <v>10</v>
      </c>
      <c r="IA1" s="31">
        <v>10</v>
      </c>
      <c r="IB1" s="31">
        <v>10</v>
      </c>
      <c r="IC1" s="31">
        <v>10</v>
      </c>
      <c r="ID1" s="31">
        <v>11</v>
      </c>
      <c r="IE1" s="31">
        <v>11</v>
      </c>
      <c r="IF1" s="31">
        <v>11</v>
      </c>
      <c r="IG1" s="31">
        <v>11</v>
      </c>
      <c r="IH1" s="31">
        <v>11</v>
      </c>
      <c r="II1" s="31">
        <v>11</v>
      </c>
      <c r="IJ1" s="31">
        <v>11</v>
      </c>
      <c r="IK1" s="31">
        <v>11</v>
      </c>
      <c r="IL1" s="31">
        <v>11</v>
      </c>
      <c r="IM1" s="31">
        <v>11</v>
      </c>
      <c r="IN1" s="31">
        <v>11</v>
      </c>
      <c r="IO1" s="31">
        <v>11</v>
      </c>
      <c r="IP1" s="31">
        <v>11</v>
      </c>
      <c r="IQ1" s="31">
        <v>11</v>
      </c>
      <c r="IR1" s="31">
        <v>11</v>
      </c>
      <c r="IS1" s="31">
        <v>11</v>
      </c>
      <c r="IT1" s="31">
        <v>11</v>
      </c>
      <c r="IU1" s="31">
        <v>11</v>
      </c>
      <c r="IV1" s="31">
        <v>11</v>
      </c>
      <c r="IW1" s="31">
        <v>11</v>
      </c>
      <c r="IX1" s="31">
        <v>11</v>
      </c>
      <c r="IY1" s="31">
        <v>11</v>
      </c>
      <c r="IZ1" s="31">
        <v>11</v>
      </c>
      <c r="JA1" s="31">
        <v>12</v>
      </c>
      <c r="JB1" s="31">
        <v>12</v>
      </c>
      <c r="JC1" s="31">
        <v>12</v>
      </c>
      <c r="JD1" s="31">
        <v>12</v>
      </c>
      <c r="JE1" s="31">
        <v>12</v>
      </c>
      <c r="JF1" s="31">
        <v>12</v>
      </c>
      <c r="JG1" s="31">
        <v>12</v>
      </c>
      <c r="JH1" s="31">
        <v>12</v>
      </c>
      <c r="JI1" s="31">
        <v>12</v>
      </c>
      <c r="JJ1" s="31">
        <v>12</v>
      </c>
      <c r="JK1" s="31">
        <v>12</v>
      </c>
      <c r="JL1" s="31">
        <v>12</v>
      </c>
      <c r="JM1" s="31">
        <v>12</v>
      </c>
      <c r="JN1" s="31">
        <v>12</v>
      </c>
      <c r="JO1" s="31">
        <v>12</v>
      </c>
      <c r="JP1" s="31">
        <v>12</v>
      </c>
      <c r="JQ1" s="31">
        <v>12</v>
      </c>
      <c r="JR1" s="31">
        <v>12</v>
      </c>
      <c r="JS1" s="31">
        <v>12</v>
      </c>
      <c r="JT1" s="31">
        <v>12</v>
      </c>
      <c r="JU1" s="31">
        <v>12</v>
      </c>
      <c r="JV1" s="31">
        <v>12</v>
      </c>
      <c r="JW1" s="31">
        <v>12</v>
      </c>
      <c r="JX1" s="31">
        <v>13</v>
      </c>
      <c r="JY1" s="31">
        <v>13</v>
      </c>
      <c r="JZ1" s="31">
        <v>13</v>
      </c>
      <c r="KA1" s="31">
        <v>13</v>
      </c>
      <c r="KB1" s="31">
        <v>13</v>
      </c>
      <c r="KC1" s="31">
        <v>13</v>
      </c>
      <c r="KD1" s="31">
        <v>13</v>
      </c>
      <c r="KE1" s="31">
        <v>13</v>
      </c>
      <c r="KF1" s="31">
        <v>13</v>
      </c>
      <c r="KG1" s="31">
        <v>13</v>
      </c>
      <c r="KH1" s="31">
        <v>13</v>
      </c>
      <c r="KI1" s="31">
        <v>13</v>
      </c>
      <c r="KJ1" s="31">
        <v>13</v>
      </c>
      <c r="KK1" s="31">
        <v>13</v>
      </c>
      <c r="KL1" s="31">
        <v>13</v>
      </c>
      <c r="KM1" s="31">
        <v>13</v>
      </c>
      <c r="KN1" s="31">
        <v>13</v>
      </c>
      <c r="KO1" s="31">
        <v>13</v>
      </c>
      <c r="KP1" s="31">
        <v>13</v>
      </c>
      <c r="KQ1" s="31">
        <v>13</v>
      </c>
      <c r="KR1" s="31">
        <v>13</v>
      </c>
      <c r="KS1" s="31">
        <v>13</v>
      </c>
      <c r="KT1" s="31">
        <v>13</v>
      </c>
      <c r="KU1" s="31">
        <v>14</v>
      </c>
      <c r="KV1" s="31">
        <v>14</v>
      </c>
      <c r="KW1" s="31">
        <v>14</v>
      </c>
      <c r="KX1" s="31">
        <v>14</v>
      </c>
      <c r="KY1" s="31">
        <v>14</v>
      </c>
      <c r="KZ1" s="31">
        <v>14</v>
      </c>
      <c r="LA1" s="31">
        <v>14</v>
      </c>
      <c r="LB1" s="31">
        <v>14</v>
      </c>
      <c r="LC1" s="31">
        <v>14</v>
      </c>
      <c r="LD1" s="31">
        <v>14</v>
      </c>
      <c r="LE1" s="31">
        <v>14</v>
      </c>
      <c r="LF1" s="31">
        <v>14</v>
      </c>
      <c r="LG1" s="31">
        <v>14</v>
      </c>
      <c r="LH1" s="31">
        <v>14</v>
      </c>
      <c r="LI1" s="31">
        <v>14</v>
      </c>
      <c r="LJ1" s="31">
        <v>14</v>
      </c>
      <c r="LK1" s="31">
        <v>14</v>
      </c>
      <c r="LL1" s="31">
        <v>14</v>
      </c>
      <c r="LM1" s="31">
        <v>14</v>
      </c>
      <c r="LN1" s="31">
        <v>14</v>
      </c>
      <c r="LO1" s="31">
        <v>14</v>
      </c>
      <c r="LP1" s="31">
        <v>14</v>
      </c>
      <c r="LQ1" s="31">
        <v>14</v>
      </c>
      <c r="LR1" s="31">
        <v>15</v>
      </c>
      <c r="LS1" s="31">
        <v>15</v>
      </c>
      <c r="LT1" s="31">
        <v>15</v>
      </c>
      <c r="LU1" s="31">
        <v>15</v>
      </c>
      <c r="LV1" s="31">
        <v>15</v>
      </c>
      <c r="LW1" s="31">
        <v>15</v>
      </c>
      <c r="LX1" s="31">
        <v>15</v>
      </c>
      <c r="LY1" s="31">
        <v>15</v>
      </c>
      <c r="LZ1" s="31">
        <v>15</v>
      </c>
      <c r="MA1" s="31">
        <v>15</v>
      </c>
      <c r="MB1" s="31">
        <v>15</v>
      </c>
      <c r="MC1" s="31">
        <v>15</v>
      </c>
      <c r="MD1" s="31">
        <v>15</v>
      </c>
      <c r="ME1" s="31">
        <v>15</v>
      </c>
      <c r="MF1" s="31">
        <v>15</v>
      </c>
      <c r="MG1" s="31">
        <v>15</v>
      </c>
      <c r="MH1" s="31">
        <v>15</v>
      </c>
      <c r="MI1" s="31">
        <v>15</v>
      </c>
      <c r="MJ1" s="31">
        <v>15</v>
      </c>
      <c r="MK1" s="31">
        <v>15</v>
      </c>
      <c r="ML1" s="31">
        <v>15</v>
      </c>
      <c r="MM1" s="31">
        <v>15</v>
      </c>
      <c r="MN1" s="31">
        <v>15</v>
      </c>
      <c r="MO1" s="31">
        <v>16</v>
      </c>
      <c r="MP1" s="31">
        <v>16</v>
      </c>
      <c r="MQ1" s="31">
        <v>16</v>
      </c>
      <c r="MR1" s="31">
        <v>16</v>
      </c>
      <c r="MS1" s="31">
        <v>16</v>
      </c>
      <c r="MT1" s="31">
        <v>16</v>
      </c>
      <c r="MU1" s="31">
        <v>16</v>
      </c>
      <c r="MV1" s="31">
        <v>16</v>
      </c>
      <c r="MW1" s="31">
        <v>16</v>
      </c>
      <c r="MX1" s="31">
        <v>16</v>
      </c>
      <c r="MY1" s="31">
        <v>16</v>
      </c>
      <c r="MZ1" s="31">
        <v>16</v>
      </c>
      <c r="NA1" s="31">
        <v>16</v>
      </c>
      <c r="NB1" s="31">
        <v>16</v>
      </c>
      <c r="NC1" s="31">
        <v>16</v>
      </c>
      <c r="ND1" s="31">
        <v>16</v>
      </c>
      <c r="NE1" s="31">
        <v>16</v>
      </c>
      <c r="NF1" s="31">
        <v>16</v>
      </c>
      <c r="NG1" s="31">
        <v>16</v>
      </c>
      <c r="NH1" s="31">
        <v>16</v>
      </c>
      <c r="NI1" s="31">
        <v>16</v>
      </c>
      <c r="NJ1" s="31">
        <v>16</v>
      </c>
      <c r="NK1" s="31">
        <v>16</v>
      </c>
      <c r="NL1" s="31">
        <v>17</v>
      </c>
      <c r="NM1" s="31">
        <v>17</v>
      </c>
      <c r="NN1" s="31">
        <v>17</v>
      </c>
      <c r="NO1" s="31">
        <v>17</v>
      </c>
      <c r="NP1" s="31">
        <v>17</v>
      </c>
      <c r="NQ1" s="31">
        <v>17</v>
      </c>
      <c r="NR1" s="31">
        <v>17</v>
      </c>
      <c r="NS1" s="31">
        <v>17</v>
      </c>
      <c r="NT1" s="31">
        <v>17</v>
      </c>
      <c r="NU1" s="31">
        <v>17</v>
      </c>
      <c r="NV1" s="31">
        <v>17</v>
      </c>
      <c r="NW1" s="31">
        <v>17</v>
      </c>
      <c r="NX1" s="31">
        <v>17</v>
      </c>
      <c r="NY1" s="31">
        <v>17</v>
      </c>
      <c r="NZ1" s="31">
        <v>17</v>
      </c>
      <c r="OA1" s="31">
        <v>17</v>
      </c>
      <c r="OB1" s="31">
        <v>17</v>
      </c>
      <c r="OC1" s="31">
        <v>17</v>
      </c>
      <c r="OD1" s="31">
        <v>17</v>
      </c>
      <c r="OE1" s="31">
        <v>17</v>
      </c>
      <c r="OF1" s="31">
        <v>17</v>
      </c>
      <c r="OG1" s="31">
        <v>17</v>
      </c>
      <c r="OH1" s="31">
        <v>17</v>
      </c>
      <c r="OI1" s="31">
        <v>18</v>
      </c>
      <c r="OJ1" s="31">
        <v>18</v>
      </c>
      <c r="OK1" s="31">
        <v>18</v>
      </c>
      <c r="OL1" s="31">
        <v>18</v>
      </c>
      <c r="OM1" s="31">
        <v>18</v>
      </c>
      <c r="ON1" s="31">
        <v>18</v>
      </c>
      <c r="OO1" s="31">
        <v>18</v>
      </c>
      <c r="OP1" s="31">
        <v>18</v>
      </c>
      <c r="OQ1" s="31">
        <v>18</v>
      </c>
      <c r="OR1" s="31">
        <v>18</v>
      </c>
      <c r="OS1" s="31">
        <v>18</v>
      </c>
      <c r="OT1" s="31">
        <v>18</v>
      </c>
      <c r="OU1" s="31">
        <v>18</v>
      </c>
      <c r="OV1" s="31">
        <v>18</v>
      </c>
      <c r="OW1" s="31">
        <v>18</v>
      </c>
      <c r="OX1" s="31">
        <v>18</v>
      </c>
      <c r="OY1" s="31">
        <v>18</v>
      </c>
      <c r="OZ1" s="31">
        <v>18</v>
      </c>
      <c r="PA1" s="31">
        <v>18</v>
      </c>
      <c r="PB1" s="31">
        <v>18</v>
      </c>
      <c r="PC1" s="31">
        <v>18</v>
      </c>
      <c r="PD1" s="31">
        <v>18</v>
      </c>
      <c r="PE1" s="31">
        <v>18</v>
      </c>
      <c r="PF1" s="31">
        <v>19</v>
      </c>
      <c r="PG1" s="31">
        <v>19</v>
      </c>
      <c r="PH1" s="31">
        <v>19</v>
      </c>
      <c r="PI1" s="31">
        <v>19</v>
      </c>
      <c r="PJ1" s="31">
        <v>19</v>
      </c>
      <c r="PK1" s="31">
        <v>19</v>
      </c>
      <c r="PL1" s="31">
        <v>19</v>
      </c>
      <c r="PM1" s="31">
        <v>19</v>
      </c>
      <c r="PN1" s="31">
        <v>19</v>
      </c>
      <c r="PO1" s="31">
        <v>19</v>
      </c>
      <c r="PP1" s="31">
        <v>19</v>
      </c>
      <c r="PQ1" s="31">
        <v>19</v>
      </c>
      <c r="PR1" s="31">
        <v>19</v>
      </c>
      <c r="PS1" s="31">
        <v>19</v>
      </c>
      <c r="PT1" s="31">
        <v>19</v>
      </c>
      <c r="PU1" s="31">
        <v>19</v>
      </c>
      <c r="PV1" s="31">
        <v>19</v>
      </c>
      <c r="PW1" s="31">
        <v>19</v>
      </c>
      <c r="PX1" s="31">
        <v>19</v>
      </c>
      <c r="PY1" s="31">
        <v>19</v>
      </c>
      <c r="PZ1" s="31">
        <v>19</v>
      </c>
      <c r="QA1" s="31">
        <v>19</v>
      </c>
      <c r="QB1" s="31">
        <v>19</v>
      </c>
      <c r="QC1" s="31">
        <v>20</v>
      </c>
      <c r="QD1" s="31">
        <v>20</v>
      </c>
      <c r="QE1" s="31">
        <v>20</v>
      </c>
      <c r="QF1" s="31">
        <v>20</v>
      </c>
      <c r="QG1" s="31">
        <v>20</v>
      </c>
      <c r="QH1" s="31">
        <v>20</v>
      </c>
      <c r="QI1" s="31">
        <v>20</v>
      </c>
      <c r="QJ1" s="31">
        <v>20</v>
      </c>
      <c r="QK1" s="31">
        <v>20</v>
      </c>
      <c r="QL1" s="31">
        <v>20</v>
      </c>
      <c r="QM1" s="31">
        <v>20</v>
      </c>
      <c r="QN1" s="31">
        <v>20</v>
      </c>
      <c r="QO1" s="31">
        <v>20</v>
      </c>
      <c r="QP1" s="31">
        <v>20</v>
      </c>
      <c r="QQ1" s="31">
        <v>20</v>
      </c>
      <c r="QR1" s="31">
        <v>20</v>
      </c>
      <c r="QS1" s="31">
        <v>20</v>
      </c>
      <c r="QT1" s="31">
        <v>20</v>
      </c>
      <c r="QU1" s="31">
        <v>20</v>
      </c>
      <c r="QV1" s="31">
        <v>20</v>
      </c>
      <c r="QW1" s="31">
        <v>20</v>
      </c>
      <c r="QX1" s="31">
        <v>20</v>
      </c>
      <c r="QY1" s="31">
        <v>20</v>
      </c>
      <c r="QZ1" s="31">
        <v>1</v>
      </c>
      <c r="RA1" s="31">
        <v>2</v>
      </c>
      <c r="RB1" s="31">
        <v>3</v>
      </c>
      <c r="RC1" s="31">
        <v>4</v>
      </c>
      <c r="RD1" s="31">
        <v>5</v>
      </c>
      <c r="RE1" s="31">
        <v>6</v>
      </c>
      <c r="RF1" s="31">
        <v>7</v>
      </c>
      <c r="RG1" s="31">
        <v>8</v>
      </c>
      <c r="RH1" s="31">
        <v>9</v>
      </c>
      <c r="RI1" s="31">
        <v>10</v>
      </c>
      <c r="RJ1" s="31">
        <v>11</v>
      </c>
      <c r="RK1" s="31">
        <v>12</v>
      </c>
      <c r="RL1" s="31">
        <v>13</v>
      </c>
      <c r="RM1" s="31">
        <v>14</v>
      </c>
      <c r="RN1" s="31">
        <v>15</v>
      </c>
      <c r="RO1" s="31">
        <v>16</v>
      </c>
      <c r="RP1" s="31">
        <v>17</v>
      </c>
      <c r="RQ1" s="31">
        <v>18</v>
      </c>
      <c r="RR1" s="31">
        <v>19</v>
      </c>
      <c r="RS1" s="31">
        <v>20</v>
      </c>
      <c r="RT1" s="31">
        <v>1</v>
      </c>
      <c r="RU1" s="31">
        <v>2</v>
      </c>
      <c r="RV1" s="31">
        <v>3</v>
      </c>
      <c r="RW1" s="31">
        <v>4</v>
      </c>
      <c r="RX1" s="31">
        <v>5</v>
      </c>
      <c r="RY1" s="31">
        <v>6</v>
      </c>
      <c r="RZ1" s="31">
        <v>7</v>
      </c>
      <c r="SA1" s="31">
        <v>8</v>
      </c>
      <c r="SB1" s="31">
        <v>9</v>
      </c>
      <c r="SC1" s="31">
        <v>10</v>
      </c>
      <c r="SD1" s="31">
        <v>11</v>
      </c>
      <c r="SE1" s="31">
        <v>12</v>
      </c>
      <c r="SF1" s="31">
        <v>13</v>
      </c>
      <c r="SG1" s="31">
        <v>14</v>
      </c>
      <c r="SH1" s="31">
        <v>15</v>
      </c>
      <c r="SI1" s="31">
        <v>16</v>
      </c>
      <c r="SJ1" s="31">
        <v>17</v>
      </c>
      <c r="SK1" s="31">
        <v>18</v>
      </c>
      <c r="SL1" s="31">
        <v>19</v>
      </c>
      <c r="SM1" s="31">
        <v>20</v>
      </c>
      <c r="SN1" s="31">
        <v>1</v>
      </c>
      <c r="SO1" s="31">
        <v>2</v>
      </c>
      <c r="SP1" s="31">
        <v>3</v>
      </c>
      <c r="SQ1" s="31">
        <v>4</v>
      </c>
      <c r="SR1" s="31">
        <v>5</v>
      </c>
      <c r="SS1" s="31">
        <v>6</v>
      </c>
      <c r="ST1" s="31">
        <v>7</v>
      </c>
      <c r="SU1" s="31">
        <v>8</v>
      </c>
      <c r="SV1" s="31">
        <v>9</v>
      </c>
      <c r="SW1" s="31">
        <v>10</v>
      </c>
      <c r="SX1" s="31">
        <v>11</v>
      </c>
      <c r="SY1" s="31">
        <v>12</v>
      </c>
      <c r="SZ1" s="31">
        <v>13</v>
      </c>
      <c r="TA1" s="31">
        <v>14</v>
      </c>
      <c r="TB1" s="31">
        <v>15</v>
      </c>
      <c r="TC1" s="31">
        <v>16</v>
      </c>
      <c r="TD1" s="31">
        <v>17</v>
      </c>
      <c r="TE1" s="31">
        <v>18</v>
      </c>
      <c r="TF1" s="31">
        <v>19</v>
      </c>
      <c r="TG1" s="31">
        <v>20</v>
      </c>
    </row>
    <row r="2" spans="1:527" s="41" customFormat="1" hidden="1" x14ac:dyDescent="0.2">
      <c r="A2" s="41" t="s">
        <v>49</v>
      </c>
      <c r="B2" s="41" t="s">
        <v>78</v>
      </c>
      <c r="F2" s="41" t="s">
        <v>50</v>
      </c>
      <c r="G2" s="41" t="s">
        <v>51</v>
      </c>
      <c r="H2" s="41" t="s">
        <v>52</v>
      </c>
      <c r="I2" s="41" t="s">
        <v>53</v>
      </c>
      <c r="J2" s="41" t="s">
        <v>54</v>
      </c>
      <c r="K2" s="41" t="s">
        <v>55</v>
      </c>
      <c r="L2" s="41" t="s">
        <v>79</v>
      </c>
      <c r="M2" s="41" t="s">
        <v>56</v>
      </c>
      <c r="N2" s="41" t="s">
        <v>57</v>
      </c>
      <c r="O2" s="41" t="s">
        <v>58</v>
      </c>
      <c r="P2" s="41" t="s">
        <v>59</v>
      </c>
      <c r="Q2" s="41" t="s">
        <v>94</v>
      </c>
      <c r="R2" s="41" t="s">
        <v>60</v>
      </c>
      <c r="S2" s="41" t="s">
        <v>61</v>
      </c>
      <c r="T2" s="41" t="s">
        <v>62</v>
      </c>
      <c r="U2" s="41" t="s">
        <v>63</v>
      </c>
      <c r="V2" s="41" t="s">
        <v>95</v>
      </c>
      <c r="W2" s="41" t="s">
        <v>64</v>
      </c>
      <c r="X2" s="41" t="s">
        <v>65</v>
      </c>
      <c r="Y2" s="41" t="s">
        <v>66</v>
      </c>
      <c r="Z2" s="41" t="s">
        <v>67</v>
      </c>
      <c r="AA2" s="41" t="s">
        <v>68</v>
      </c>
      <c r="AB2" s="41" t="s">
        <v>69</v>
      </c>
      <c r="AC2" s="41" t="s">
        <v>70</v>
      </c>
      <c r="AD2" s="41" t="s">
        <v>71</v>
      </c>
      <c r="AE2" s="41" t="s">
        <v>52</v>
      </c>
      <c r="AF2" s="41" t="s">
        <v>53</v>
      </c>
      <c r="AG2" s="41" t="s">
        <v>54</v>
      </c>
      <c r="AH2" s="41" t="s">
        <v>55</v>
      </c>
      <c r="AI2" s="41" t="s">
        <v>79</v>
      </c>
      <c r="AJ2" s="41" t="s">
        <v>56</v>
      </c>
      <c r="AK2" s="41" t="s">
        <v>57</v>
      </c>
      <c r="AL2" s="41" t="s">
        <v>58</v>
      </c>
      <c r="AM2" s="41" t="s">
        <v>59</v>
      </c>
      <c r="AN2" s="41" t="s">
        <v>94</v>
      </c>
      <c r="AO2" s="41" t="s">
        <v>60</v>
      </c>
      <c r="AP2" s="41" t="s">
        <v>61</v>
      </c>
      <c r="AQ2" s="41" t="s">
        <v>62</v>
      </c>
      <c r="AR2" s="41" t="s">
        <v>63</v>
      </c>
      <c r="AS2" s="41" t="s">
        <v>95</v>
      </c>
      <c r="AT2" s="41" t="s">
        <v>64</v>
      </c>
      <c r="AU2" s="41" t="s">
        <v>65</v>
      </c>
      <c r="AV2" s="41" t="s">
        <v>66</v>
      </c>
      <c r="AW2" s="41" t="s">
        <v>67</v>
      </c>
      <c r="AX2" s="41" t="s">
        <v>68</v>
      </c>
      <c r="AY2" s="41" t="s">
        <v>69</v>
      </c>
      <c r="AZ2" s="41" t="s">
        <v>70</v>
      </c>
      <c r="BA2" s="41" t="s">
        <v>71</v>
      </c>
      <c r="BB2" s="41" t="s">
        <v>52</v>
      </c>
      <c r="BC2" s="41" t="s">
        <v>53</v>
      </c>
      <c r="BD2" s="41" t="s">
        <v>54</v>
      </c>
      <c r="BE2" s="41" t="s">
        <v>55</v>
      </c>
      <c r="BF2" s="41" t="s">
        <v>79</v>
      </c>
      <c r="BG2" s="41" t="s">
        <v>56</v>
      </c>
      <c r="BH2" s="41" t="s">
        <v>57</v>
      </c>
      <c r="BI2" s="41" t="s">
        <v>58</v>
      </c>
      <c r="BJ2" s="41" t="s">
        <v>59</v>
      </c>
      <c r="BK2" s="41" t="s">
        <v>94</v>
      </c>
      <c r="BL2" s="41" t="s">
        <v>60</v>
      </c>
      <c r="BM2" s="41" t="s">
        <v>61</v>
      </c>
      <c r="BN2" s="41" t="s">
        <v>62</v>
      </c>
      <c r="BO2" s="41" t="s">
        <v>63</v>
      </c>
      <c r="BP2" s="41" t="s">
        <v>95</v>
      </c>
      <c r="BQ2" s="41" t="s">
        <v>64</v>
      </c>
      <c r="BR2" s="41" t="s">
        <v>65</v>
      </c>
      <c r="BS2" s="41" t="s">
        <v>66</v>
      </c>
      <c r="BT2" s="41" t="s">
        <v>67</v>
      </c>
      <c r="BU2" s="41" t="s">
        <v>68</v>
      </c>
      <c r="BV2" s="41" t="s">
        <v>69</v>
      </c>
      <c r="BW2" s="41" t="s">
        <v>70</v>
      </c>
      <c r="BX2" s="41" t="s">
        <v>71</v>
      </c>
      <c r="BY2" s="41" t="s">
        <v>52</v>
      </c>
      <c r="BZ2" s="41" t="s">
        <v>53</v>
      </c>
      <c r="CA2" s="41" t="s">
        <v>54</v>
      </c>
      <c r="CB2" s="41" t="s">
        <v>55</v>
      </c>
      <c r="CC2" s="41" t="s">
        <v>79</v>
      </c>
      <c r="CD2" s="41" t="s">
        <v>56</v>
      </c>
      <c r="CE2" s="41" t="s">
        <v>57</v>
      </c>
      <c r="CF2" s="41" t="s">
        <v>58</v>
      </c>
      <c r="CG2" s="41" t="s">
        <v>59</v>
      </c>
      <c r="CH2" s="41" t="s">
        <v>94</v>
      </c>
      <c r="CI2" s="41" t="s">
        <v>60</v>
      </c>
      <c r="CJ2" s="41" t="s">
        <v>61</v>
      </c>
      <c r="CK2" s="41" t="s">
        <v>62</v>
      </c>
      <c r="CL2" s="41" t="s">
        <v>63</v>
      </c>
      <c r="CM2" s="41" t="s">
        <v>95</v>
      </c>
      <c r="CN2" s="41" t="s">
        <v>64</v>
      </c>
      <c r="CO2" s="41" t="s">
        <v>65</v>
      </c>
      <c r="CP2" s="41" t="s">
        <v>66</v>
      </c>
      <c r="CQ2" s="41" t="s">
        <v>67</v>
      </c>
      <c r="CR2" s="41" t="s">
        <v>68</v>
      </c>
      <c r="CS2" s="41" t="s">
        <v>69</v>
      </c>
      <c r="CT2" s="41" t="s">
        <v>70</v>
      </c>
      <c r="CU2" s="41" t="s">
        <v>71</v>
      </c>
      <c r="CV2" s="41" t="s">
        <v>52</v>
      </c>
      <c r="CW2" s="41" t="s">
        <v>53</v>
      </c>
      <c r="CX2" s="41" t="s">
        <v>54</v>
      </c>
      <c r="CY2" s="41" t="s">
        <v>55</v>
      </c>
      <c r="CZ2" s="41" t="s">
        <v>79</v>
      </c>
      <c r="DA2" s="41" t="s">
        <v>56</v>
      </c>
      <c r="DB2" s="41" t="s">
        <v>57</v>
      </c>
      <c r="DC2" s="41" t="s">
        <v>58</v>
      </c>
      <c r="DD2" s="41" t="s">
        <v>59</v>
      </c>
      <c r="DE2" s="41" t="s">
        <v>94</v>
      </c>
      <c r="DF2" s="41" t="s">
        <v>60</v>
      </c>
      <c r="DG2" s="41" t="s">
        <v>61</v>
      </c>
      <c r="DH2" s="41" t="s">
        <v>62</v>
      </c>
      <c r="DI2" s="41" t="s">
        <v>63</v>
      </c>
      <c r="DJ2" s="41" t="s">
        <v>95</v>
      </c>
      <c r="DK2" s="41" t="s">
        <v>64</v>
      </c>
      <c r="DL2" s="41" t="s">
        <v>65</v>
      </c>
      <c r="DM2" s="41" t="s">
        <v>66</v>
      </c>
      <c r="DN2" s="41" t="s">
        <v>67</v>
      </c>
      <c r="DO2" s="41" t="s">
        <v>68</v>
      </c>
      <c r="DP2" s="41" t="s">
        <v>69</v>
      </c>
      <c r="DQ2" s="41" t="s">
        <v>70</v>
      </c>
      <c r="DR2" s="41" t="s">
        <v>71</v>
      </c>
      <c r="DS2" s="41" t="s">
        <v>52</v>
      </c>
      <c r="DT2" s="41" t="s">
        <v>53</v>
      </c>
      <c r="DU2" s="41" t="s">
        <v>54</v>
      </c>
      <c r="DV2" s="41" t="s">
        <v>55</v>
      </c>
      <c r="DW2" s="41" t="s">
        <v>79</v>
      </c>
      <c r="DX2" s="41" t="s">
        <v>56</v>
      </c>
      <c r="DY2" s="41" t="s">
        <v>57</v>
      </c>
      <c r="DZ2" s="41" t="s">
        <v>58</v>
      </c>
      <c r="EA2" s="41" t="s">
        <v>59</v>
      </c>
      <c r="EB2" s="41" t="s">
        <v>94</v>
      </c>
      <c r="EC2" s="41" t="s">
        <v>60</v>
      </c>
      <c r="ED2" s="41" t="s">
        <v>61</v>
      </c>
      <c r="EE2" s="41" t="s">
        <v>62</v>
      </c>
      <c r="EF2" s="41" t="s">
        <v>63</v>
      </c>
      <c r="EG2" s="41" t="s">
        <v>95</v>
      </c>
      <c r="EH2" s="41" t="s">
        <v>64</v>
      </c>
      <c r="EI2" s="41" t="s">
        <v>65</v>
      </c>
      <c r="EJ2" s="41" t="s">
        <v>66</v>
      </c>
      <c r="EK2" s="41" t="s">
        <v>67</v>
      </c>
      <c r="EL2" s="41" t="s">
        <v>68</v>
      </c>
      <c r="EM2" s="41" t="s">
        <v>69</v>
      </c>
      <c r="EN2" s="41" t="s">
        <v>70</v>
      </c>
      <c r="EO2" s="41" t="s">
        <v>71</v>
      </c>
      <c r="EP2" s="41" t="s">
        <v>52</v>
      </c>
      <c r="EQ2" s="41" t="s">
        <v>53</v>
      </c>
      <c r="ER2" s="41" t="s">
        <v>54</v>
      </c>
      <c r="ES2" s="41" t="s">
        <v>55</v>
      </c>
      <c r="ET2" s="41" t="s">
        <v>79</v>
      </c>
      <c r="EU2" s="41" t="s">
        <v>56</v>
      </c>
      <c r="EV2" s="41" t="s">
        <v>57</v>
      </c>
      <c r="EW2" s="41" t="s">
        <v>58</v>
      </c>
      <c r="EX2" s="41" t="s">
        <v>59</v>
      </c>
      <c r="EY2" s="41" t="s">
        <v>94</v>
      </c>
      <c r="EZ2" s="41" t="s">
        <v>60</v>
      </c>
      <c r="FA2" s="41" t="s">
        <v>61</v>
      </c>
      <c r="FB2" s="41" t="s">
        <v>62</v>
      </c>
      <c r="FC2" s="41" t="s">
        <v>63</v>
      </c>
      <c r="FD2" s="41" t="s">
        <v>95</v>
      </c>
      <c r="FE2" s="41" t="s">
        <v>64</v>
      </c>
      <c r="FF2" s="41" t="s">
        <v>65</v>
      </c>
      <c r="FG2" s="41" t="s">
        <v>66</v>
      </c>
      <c r="FH2" s="41" t="s">
        <v>67</v>
      </c>
      <c r="FI2" s="41" t="s">
        <v>68</v>
      </c>
      <c r="FJ2" s="41" t="s">
        <v>69</v>
      </c>
      <c r="FK2" s="41" t="s">
        <v>70</v>
      </c>
      <c r="FL2" s="41" t="s">
        <v>71</v>
      </c>
      <c r="FM2" s="41" t="s">
        <v>52</v>
      </c>
      <c r="FN2" s="41" t="s">
        <v>53</v>
      </c>
      <c r="FO2" s="41" t="s">
        <v>54</v>
      </c>
      <c r="FP2" s="41" t="s">
        <v>55</v>
      </c>
      <c r="FQ2" s="41" t="s">
        <v>79</v>
      </c>
      <c r="FR2" s="41" t="s">
        <v>56</v>
      </c>
      <c r="FS2" s="41" t="s">
        <v>57</v>
      </c>
      <c r="FT2" s="41" t="s">
        <v>58</v>
      </c>
      <c r="FU2" s="41" t="s">
        <v>59</v>
      </c>
      <c r="FV2" s="41" t="s">
        <v>94</v>
      </c>
      <c r="FW2" s="41" t="s">
        <v>60</v>
      </c>
      <c r="FX2" s="41" t="s">
        <v>61</v>
      </c>
      <c r="FY2" s="41" t="s">
        <v>62</v>
      </c>
      <c r="FZ2" s="41" t="s">
        <v>63</v>
      </c>
      <c r="GA2" s="41" t="s">
        <v>95</v>
      </c>
      <c r="GB2" s="41" t="s">
        <v>64</v>
      </c>
      <c r="GC2" s="41" t="s">
        <v>65</v>
      </c>
      <c r="GD2" s="41" t="s">
        <v>66</v>
      </c>
      <c r="GE2" s="41" t="s">
        <v>67</v>
      </c>
      <c r="GF2" s="41" t="s">
        <v>68</v>
      </c>
      <c r="GG2" s="41" t="s">
        <v>69</v>
      </c>
      <c r="GH2" s="41" t="s">
        <v>70</v>
      </c>
      <c r="GI2" s="41" t="s">
        <v>71</v>
      </c>
      <c r="GJ2" s="41" t="s">
        <v>52</v>
      </c>
      <c r="GK2" s="41" t="s">
        <v>53</v>
      </c>
      <c r="GL2" s="41" t="s">
        <v>54</v>
      </c>
      <c r="GM2" s="41" t="s">
        <v>55</v>
      </c>
      <c r="GN2" s="41" t="s">
        <v>79</v>
      </c>
      <c r="GO2" s="41" t="s">
        <v>56</v>
      </c>
      <c r="GP2" s="41" t="s">
        <v>57</v>
      </c>
      <c r="GQ2" s="41" t="s">
        <v>58</v>
      </c>
      <c r="GR2" s="41" t="s">
        <v>59</v>
      </c>
      <c r="GS2" s="41" t="s">
        <v>94</v>
      </c>
      <c r="GT2" s="41" t="s">
        <v>60</v>
      </c>
      <c r="GU2" s="41" t="s">
        <v>61</v>
      </c>
      <c r="GV2" s="41" t="s">
        <v>62</v>
      </c>
      <c r="GW2" s="41" t="s">
        <v>63</v>
      </c>
      <c r="GX2" s="41" t="s">
        <v>95</v>
      </c>
      <c r="GY2" s="41" t="s">
        <v>64</v>
      </c>
      <c r="GZ2" s="41" t="s">
        <v>65</v>
      </c>
      <c r="HA2" s="41" t="s">
        <v>66</v>
      </c>
      <c r="HB2" s="41" t="s">
        <v>67</v>
      </c>
      <c r="HC2" s="41" t="s">
        <v>68</v>
      </c>
      <c r="HD2" s="41" t="s">
        <v>69</v>
      </c>
      <c r="HE2" s="41" t="s">
        <v>70</v>
      </c>
      <c r="HF2" s="41" t="s">
        <v>71</v>
      </c>
      <c r="HG2" s="41" t="s">
        <v>52</v>
      </c>
      <c r="HH2" s="41" t="s">
        <v>53</v>
      </c>
      <c r="HI2" s="41" t="s">
        <v>54</v>
      </c>
      <c r="HJ2" s="41" t="s">
        <v>55</v>
      </c>
      <c r="HK2" s="41" t="s">
        <v>79</v>
      </c>
      <c r="HL2" s="41" t="s">
        <v>56</v>
      </c>
      <c r="HM2" s="41" t="s">
        <v>57</v>
      </c>
      <c r="HN2" s="41" t="s">
        <v>58</v>
      </c>
      <c r="HO2" s="41" t="s">
        <v>59</v>
      </c>
      <c r="HP2" s="41" t="s">
        <v>94</v>
      </c>
      <c r="HQ2" s="41" t="s">
        <v>60</v>
      </c>
      <c r="HR2" s="41" t="s">
        <v>61</v>
      </c>
      <c r="HS2" s="41" t="s">
        <v>62</v>
      </c>
      <c r="HT2" s="41" t="s">
        <v>63</v>
      </c>
      <c r="HU2" s="41" t="s">
        <v>95</v>
      </c>
      <c r="HV2" s="41" t="s">
        <v>64</v>
      </c>
      <c r="HW2" s="41" t="s">
        <v>65</v>
      </c>
      <c r="HX2" s="41" t="s">
        <v>66</v>
      </c>
      <c r="HY2" s="41" t="s">
        <v>67</v>
      </c>
      <c r="HZ2" s="41" t="s">
        <v>68</v>
      </c>
      <c r="IA2" s="41" t="s">
        <v>69</v>
      </c>
      <c r="IB2" s="41" t="s">
        <v>70</v>
      </c>
      <c r="IC2" s="41" t="s">
        <v>71</v>
      </c>
      <c r="ID2" s="41" t="s">
        <v>52</v>
      </c>
      <c r="IE2" s="41" t="s">
        <v>53</v>
      </c>
      <c r="IF2" s="41" t="s">
        <v>54</v>
      </c>
      <c r="IG2" s="41" t="s">
        <v>55</v>
      </c>
      <c r="IH2" s="41" t="s">
        <v>79</v>
      </c>
      <c r="II2" s="41" t="s">
        <v>56</v>
      </c>
      <c r="IJ2" s="41" t="s">
        <v>57</v>
      </c>
      <c r="IK2" s="41" t="s">
        <v>58</v>
      </c>
      <c r="IL2" s="41" t="s">
        <v>59</v>
      </c>
      <c r="IM2" s="41" t="s">
        <v>94</v>
      </c>
      <c r="IN2" s="41" t="s">
        <v>60</v>
      </c>
      <c r="IO2" s="41" t="s">
        <v>61</v>
      </c>
      <c r="IP2" s="41" t="s">
        <v>62</v>
      </c>
      <c r="IQ2" s="41" t="s">
        <v>63</v>
      </c>
      <c r="IR2" s="41" t="s">
        <v>95</v>
      </c>
      <c r="IS2" s="41" t="s">
        <v>64</v>
      </c>
      <c r="IT2" s="41" t="s">
        <v>65</v>
      </c>
      <c r="IU2" s="41" t="s">
        <v>66</v>
      </c>
      <c r="IV2" s="41" t="s">
        <v>67</v>
      </c>
      <c r="IW2" s="41" t="s">
        <v>68</v>
      </c>
      <c r="IX2" s="41" t="s">
        <v>69</v>
      </c>
      <c r="IY2" s="41" t="s">
        <v>70</v>
      </c>
      <c r="IZ2" s="41" t="s">
        <v>71</v>
      </c>
      <c r="JA2" s="41" t="s">
        <v>52</v>
      </c>
      <c r="JB2" s="41" t="s">
        <v>53</v>
      </c>
      <c r="JC2" s="41" t="s">
        <v>54</v>
      </c>
      <c r="JD2" s="41" t="s">
        <v>55</v>
      </c>
      <c r="JE2" s="41" t="s">
        <v>79</v>
      </c>
      <c r="JF2" s="41" t="s">
        <v>56</v>
      </c>
      <c r="JG2" s="41" t="s">
        <v>57</v>
      </c>
      <c r="JH2" s="41" t="s">
        <v>58</v>
      </c>
      <c r="JI2" s="41" t="s">
        <v>59</v>
      </c>
      <c r="JJ2" s="41" t="s">
        <v>94</v>
      </c>
      <c r="JK2" s="41" t="s">
        <v>60</v>
      </c>
      <c r="JL2" s="41" t="s">
        <v>61</v>
      </c>
      <c r="JM2" s="41" t="s">
        <v>62</v>
      </c>
      <c r="JN2" s="41" t="s">
        <v>63</v>
      </c>
      <c r="JO2" s="41" t="s">
        <v>95</v>
      </c>
      <c r="JP2" s="41" t="s">
        <v>64</v>
      </c>
      <c r="JQ2" s="41" t="s">
        <v>65</v>
      </c>
      <c r="JR2" s="41" t="s">
        <v>66</v>
      </c>
      <c r="JS2" s="41" t="s">
        <v>67</v>
      </c>
      <c r="JT2" s="41" t="s">
        <v>68</v>
      </c>
      <c r="JU2" s="41" t="s">
        <v>69</v>
      </c>
      <c r="JV2" s="41" t="s">
        <v>70</v>
      </c>
      <c r="JW2" s="41" t="s">
        <v>71</v>
      </c>
      <c r="JX2" s="41" t="s">
        <v>52</v>
      </c>
      <c r="JY2" s="41" t="s">
        <v>53</v>
      </c>
      <c r="JZ2" s="41" t="s">
        <v>54</v>
      </c>
      <c r="KA2" s="41" t="s">
        <v>55</v>
      </c>
      <c r="KB2" s="41" t="s">
        <v>79</v>
      </c>
      <c r="KC2" s="41" t="s">
        <v>56</v>
      </c>
      <c r="KD2" s="41" t="s">
        <v>57</v>
      </c>
      <c r="KE2" s="41" t="s">
        <v>58</v>
      </c>
      <c r="KF2" s="41" t="s">
        <v>59</v>
      </c>
      <c r="KG2" s="41" t="s">
        <v>94</v>
      </c>
      <c r="KH2" s="41" t="s">
        <v>60</v>
      </c>
      <c r="KI2" s="41" t="s">
        <v>61</v>
      </c>
      <c r="KJ2" s="41" t="s">
        <v>62</v>
      </c>
      <c r="KK2" s="41" t="s">
        <v>63</v>
      </c>
      <c r="KL2" s="41" t="s">
        <v>95</v>
      </c>
      <c r="KM2" s="41" t="s">
        <v>64</v>
      </c>
      <c r="KN2" s="41" t="s">
        <v>65</v>
      </c>
      <c r="KO2" s="41" t="s">
        <v>66</v>
      </c>
      <c r="KP2" s="41" t="s">
        <v>67</v>
      </c>
      <c r="KQ2" s="41" t="s">
        <v>68</v>
      </c>
      <c r="KR2" s="41" t="s">
        <v>69</v>
      </c>
      <c r="KS2" s="41" t="s">
        <v>70</v>
      </c>
      <c r="KT2" s="41" t="s">
        <v>71</v>
      </c>
      <c r="KU2" s="41" t="s">
        <v>52</v>
      </c>
      <c r="KV2" s="41" t="s">
        <v>53</v>
      </c>
      <c r="KW2" s="41" t="s">
        <v>54</v>
      </c>
      <c r="KX2" s="41" t="s">
        <v>55</v>
      </c>
      <c r="KY2" s="41" t="s">
        <v>79</v>
      </c>
      <c r="KZ2" s="41" t="s">
        <v>56</v>
      </c>
      <c r="LA2" s="41" t="s">
        <v>57</v>
      </c>
      <c r="LB2" s="41" t="s">
        <v>58</v>
      </c>
      <c r="LC2" s="41" t="s">
        <v>59</v>
      </c>
      <c r="LD2" s="41" t="s">
        <v>94</v>
      </c>
      <c r="LE2" s="41" t="s">
        <v>60</v>
      </c>
      <c r="LF2" s="41" t="s">
        <v>61</v>
      </c>
      <c r="LG2" s="41" t="s">
        <v>62</v>
      </c>
      <c r="LH2" s="41" t="s">
        <v>63</v>
      </c>
      <c r="LI2" s="41" t="s">
        <v>95</v>
      </c>
      <c r="LJ2" s="41" t="s">
        <v>64</v>
      </c>
      <c r="LK2" s="41" t="s">
        <v>65</v>
      </c>
      <c r="LL2" s="41" t="s">
        <v>66</v>
      </c>
      <c r="LM2" s="41" t="s">
        <v>67</v>
      </c>
      <c r="LN2" s="41" t="s">
        <v>68</v>
      </c>
      <c r="LO2" s="41" t="s">
        <v>69</v>
      </c>
      <c r="LP2" s="41" t="s">
        <v>70</v>
      </c>
      <c r="LQ2" s="41" t="s">
        <v>71</v>
      </c>
      <c r="LR2" s="41" t="s">
        <v>52</v>
      </c>
      <c r="LS2" s="41" t="s">
        <v>53</v>
      </c>
      <c r="LT2" s="41" t="s">
        <v>54</v>
      </c>
      <c r="LU2" s="41" t="s">
        <v>55</v>
      </c>
      <c r="LV2" s="41" t="s">
        <v>79</v>
      </c>
      <c r="LW2" s="41" t="s">
        <v>56</v>
      </c>
      <c r="LX2" s="41" t="s">
        <v>57</v>
      </c>
      <c r="LY2" s="41" t="s">
        <v>58</v>
      </c>
      <c r="LZ2" s="41" t="s">
        <v>59</v>
      </c>
      <c r="MA2" s="41" t="s">
        <v>94</v>
      </c>
      <c r="MB2" s="41" t="s">
        <v>60</v>
      </c>
      <c r="MC2" s="41" t="s">
        <v>61</v>
      </c>
      <c r="MD2" s="41" t="s">
        <v>62</v>
      </c>
      <c r="ME2" s="41" t="s">
        <v>63</v>
      </c>
      <c r="MF2" s="41" t="s">
        <v>95</v>
      </c>
      <c r="MG2" s="41" t="s">
        <v>64</v>
      </c>
      <c r="MH2" s="41" t="s">
        <v>65</v>
      </c>
      <c r="MI2" s="41" t="s">
        <v>66</v>
      </c>
      <c r="MJ2" s="41" t="s">
        <v>67</v>
      </c>
      <c r="MK2" s="41" t="s">
        <v>68</v>
      </c>
      <c r="ML2" s="41" t="s">
        <v>69</v>
      </c>
      <c r="MM2" s="41" t="s">
        <v>70</v>
      </c>
      <c r="MN2" s="41" t="s">
        <v>71</v>
      </c>
      <c r="MO2" s="41" t="s">
        <v>52</v>
      </c>
      <c r="MP2" s="41" t="s">
        <v>53</v>
      </c>
      <c r="MQ2" s="41" t="s">
        <v>54</v>
      </c>
      <c r="MR2" s="41" t="s">
        <v>55</v>
      </c>
      <c r="MS2" s="41" t="s">
        <v>79</v>
      </c>
      <c r="MT2" s="41" t="s">
        <v>56</v>
      </c>
      <c r="MU2" s="41" t="s">
        <v>57</v>
      </c>
      <c r="MV2" s="41" t="s">
        <v>58</v>
      </c>
      <c r="MW2" s="41" t="s">
        <v>59</v>
      </c>
      <c r="MX2" s="41" t="s">
        <v>94</v>
      </c>
      <c r="MY2" s="41" t="s">
        <v>60</v>
      </c>
      <c r="MZ2" s="41" t="s">
        <v>61</v>
      </c>
      <c r="NA2" s="41" t="s">
        <v>62</v>
      </c>
      <c r="NB2" s="41" t="s">
        <v>63</v>
      </c>
      <c r="NC2" s="41" t="s">
        <v>95</v>
      </c>
      <c r="ND2" s="41" t="s">
        <v>64</v>
      </c>
      <c r="NE2" s="41" t="s">
        <v>65</v>
      </c>
      <c r="NF2" s="41" t="s">
        <v>66</v>
      </c>
      <c r="NG2" s="41" t="s">
        <v>67</v>
      </c>
      <c r="NH2" s="41" t="s">
        <v>68</v>
      </c>
      <c r="NI2" s="41" t="s">
        <v>69</v>
      </c>
      <c r="NJ2" s="41" t="s">
        <v>70</v>
      </c>
      <c r="NK2" s="41" t="s">
        <v>71</v>
      </c>
      <c r="NL2" s="41" t="s">
        <v>52</v>
      </c>
      <c r="NM2" s="41" t="s">
        <v>53</v>
      </c>
      <c r="NN2" s="41" t="s">
        <v>54</v>
      </c>
      <c r="NO2" s="41" t="s">
        <v>55</v>
      </c>
      <c r="NP2" s="41" t="s">
        <v>79</v>
      </c>
      <c r="NQ2" s="41" t="s">
        <v>56</v>
      </c>
      <c r="NR2" s="41" t="s">
        <v>57</v>
      </c>
      <c r="NS2" s="41" t="s">
        <v>58</v>
      </c>
      <c r="NT2" s="41" t="s">
        <v>59</v>
      </c>
      <c r="NU2" s="41" t="s">
        <v>94</v>
      </c>
      <c r="NV2" s="41" t="s">
        <v>60</v>
      </c>
      <c r="NW2" s="41" t="s">
        <v>61</v>
      </c>
      <c r="NX2" s="41" t="s">
        <v>62</v>
      </c>
      <c r="NY2" s="41" t="s">
        <v>63</v>
      </c>
      <c r="NZ2" s="41" t="s">
        <v>95</v>
      </c>
      <c r="OA2" s="41" t="s">
        <v>64</v>
      </c>
      <c r="OB2" s="41" t="s">
        <v>65</v>
      </c>
      <c r="OC2" s="41" t="s">
        <v>66</v>
      </c>
      <c r="OD2" s="41" t="s">
        <v>67</v>
      </c>
      <c r="OE2" s="41" t="s">
        <v>68</v>
      </c>
      <c r="OF2" s="41" t="s">
        <v>69</v>
      </c>
      <c r="OG2" s="41" t="s">
        <v>70</v>
      </c>
      <c r="OH2" s="41" t="s">
        <v>71</v>
      </c>
      <c r="OI2" s="41" t="s">
        <v>52</v>
      </c>
      <c r="OJ2" s="41" t="s">
        <v>53</v>
      </c>
      <c r="OK2" s="41" t="s">
        <v>54</v>
      </c>
      <c r="OL2" s="41" t="s">
        <v>55</v>
      </c>
      <c r="OM2" s="41" t="s">
        <v>79</v>
      </c>
      <c r="ON2" s="41" t="s">
        <v>56</v>
      </c>
      <c r="OO2" s="41" t="s">
        <v>57</v>
      </c>
      <c r="OP2" s="41" t="s">
        <v>58</v>
      </c>
      <c r="OQ2" s="41" t="s">
        <v>59</v>
      </c>
      <c r="OR2" s="41" t="s">
        <v>94</v>
      </c>
      <c r="OS2" s="41" t="s">
        <v>60</v>
      </c>
      <c r="OT2" s="41" t="s">
        <v>61</v>
      </c>
      <c r="OU2" s="41" t="s">
        <v>62</v>
      </c>
      <c r="OV2" s="41" t="s">
        <v>63</v>
      </c>
      <c r="OW2" s="41" t="s">
        <v>95</v>
      </c>
      <c r="OX2" s="41" t="s">
        <v>64</v>
      </c>
      <c r="OY2" s="41" t="s">
        <v>65</v>
      </c>
      <c r="OZ2" s="41" t="s">
        <v>66</v>
      </c>
      <c r="PA2" s="41" t="s">
        <v>67</v>
      </c>
      <c r="PB2" s="41" t="s">
        <v>68</v>
      </c>
      <c r="PC2" s="41" t="s">
        <v>69</v>
      </c>
      <c r="PD2" s="41" t="s">
        <v>70</v>
      </c>
      <c r="PE2" s="41" t="s">
        <v>71</v>
      </c>
      <c r="PF2" s="41" t="s">
        <v>52</v>
      </c>
      <c r="PG2" s="41" t="s">
        <v>53</v>
      </c>
      <c r="PH2" s="41" t="s">
        <v>54</v>
      </c>
      <c r="PI2" s="41" t="s">
        <v>55</v>
      </c>
      <c r="PJ2" s="41" t="s">
        <v>79</v>
      </c>
      <c r="PK2" s="41" t="s">
        <v>56</v>
      </c>
      <c r="PL2" s="41" t="s">
        <v>57</v>
      </c>
      <c r="PM2" s="41" t="s">
        <v>58</v>
      </c>
      <c r="PN2" s="41" t="s">
        <v>59</v>
      </c>
      <c r="PO2" s="41" t="s">
        <v>94</v>
      </c>
      <c r="PP2" s="41" t="s">
        <v>60</v>
      </c>
      <c r="PQ2" s="41" t="s">
        <v>61</v>
      </c>
      <c r="PR2" s="41" t="s">
        <v>62</v>
      </c>
      <c r="PS2" s="41" t="s">
        <v>63</v>
      </c>
      <c r="PT2" s="41" t="s">
        <v>95</v>
      </c>
      <c r="PU2" s="41" t="s">
        <v>64</v>
      </c>
      <c r="PV2" s="41" t="s">
        <v>65</v>
      </c>
      <c r="PW2" s="41" t="s">
        <v>66</v>
      </c>
      <c r="PX2" s="41" t="s">
        <v>67</v>
      </c>
      <c r="PY2" s="41" t="s">
        <v>68</v>
      </c>
      <c r="PZ2" s="41" t="s">
        <v>69</v>
      </c>
      <c r="QA2" s="41" t="s">
        <v>70</v>
      </c>
      <c r="QB2" s="41" t="s">
        <v>71</v>
      </c>
      <c r="QC2" s="41" t="s">
        <v>52</v>
      </c>
      <c r="QD2" s="41" t="s">
        <v>53</v>
      </c>
      <c r="QE2" s="41" t="s">
        <v>54</v>
      </c>
      <c r="QF2" s="41" t="s">
        <v>55</v>
      </c>
      <c r="QG2" s="41" t="s">
        <v>79</v>
      </c>
      <c r="QH2" s="41" t="s">
        <v>56</v>
      </c>
      <c r="QI2" s="41" t="s">
        <v>57</v>
      </c>
      <c r="QJ2" s="41" t="s">
        <v>58</v>
      </c>
      <c r="QK2" s="41" t="s">
        <v>59</v>
      </c>
      <c r="QL2" s="41" t="s">
        <v>94</v>
      </c>
      <c r="QM2" s="41" t="s">
        <v>60</v>
      </c>
      <c r="QN2" s="41" t="s">
        <v>61</v>
      </c>
      <c r="QO2" s="41" t="s">
        <v>62</v>
      </c>
      <c r="QP2" s="41" t="s">
        <v>63</v>
      </c>
      <c r="QQ2" s="41" t="s">
        <v>95</v>
      </c>
      <c r="QR2" s="41" t="s">
        <v>64</v>
      </c>
      <c r="QS2" s="41" t="s">
        <v>65</v>
      </c>
      <c r="QT2" s="41" t="s">
        <v>66</v>
      </c>
      <c r="QU2" s="41" t="s">
        <v>67</v>
      </c>
      <c r="QV2" s="41" t="s">
        <v>68</v>
      </c>
      <c r="QW2" s="41" t="s">
        <v>69</v>
      </c>
      <c r="QX2" s="41" t="s">
        <v>70</v>
      </c>
      <c r="QY2" s="41" t="s">
        <v>71</v>
      </c>
      <c r="QZ2" s="41" t="s">
        <v>819</v>
      </c>
      <c r="RA2" s="41" t="s">
        <v>819</v>
      </c>
      <c r="RB2" s="41" t="s">
        <v>819</v>
      </c>
      <c r="RC2" s="41" t="s">
        <v>819</v>
      </c>
      <c r="RD2" s="41" t="s">
        <v>819</v>
      </c>
      <c r="RE2" s="41" t="s">
        <v>819</v>
      </c>
      <c r="RF2" s="41" t="s">
        <v>819</v>
      </c>
      <c r="RG2" s="41" t="s">
        <v>819</v>
      </c>
      <c r="RH2" s="41" t="s">
        <v>819</v>
      </c>
      <c r="RI2" s="41" t="s">
        <v>819</v>
      </c>
      <c r="RJ2" s="41" t="s">
        <v>819</v>
      </c>
      <c r="RK2" s="41" t="s">
        <v>819</v>
      </c>
      <c r="RL2" s="41" t="s">
        <v>819</v>
      </c>
      <c r="RM2" s="41" t="s">
        <v>819</v>
      </c>
      <c r="RN2" s="41" t="s">
        <v>819</v>
      </c>
      <c r="RO2" s="41" t="s">
        <v>819</v>
      </c>
      <c r="RP2" s="41" t="s">
        <v>819</v>
      </c>
      <c r="RQ2" s="41" t="s">
        <v>819</v>
      </c>
      <c r="RR2" s="41" t="s">
        <v>819</v>
      </c>
      <c r="RS2" s="41" t="s">
        <v>819</v>
      </c>
      <c r="RT2" s="41" t="s">
        <v>820</v>
      </c>
      <c r="RU2" s="41" t="s">
        <v>820</v>
      </c>
      <c r="RV2" s="41" t="s">
        <v>820</v>
      </c>
      <c r="RW2" s="41" t="s">
        <v>820</v>
      </c>
      <c r="RX2" s="41" t="s">
        <v>820</v>
      </c>
      <c r="RY2" s="41" t="s">
        <v>820</v>
      </c>
      <c r="RZ2" s="41" t="s">
        <v>820</v>
      </c>
      <c r="SA2" s="41" t="s">
        <v>820</v>
      </c>
      <c r="SB2" s="41" t="s">
        <v>820</v>
      </c>
      <c r="SC2" s="41" t="s">
        <v>820</v>
      </c>
      <c r="SD2" s="41" t="s">
        <v>820</v>
      </c>
      <c r="SE2" s="41" t="s">
        <v>820</v>
      </c>
      <c r="SF2" s="41" t="s">
        <v>820</v>
      </c>
      <c r="SG2" s="41" t="s">
        <v>820</v>
      </c>
      <c r="SH2" s="41" t="s">
        <v>820</v>
      </c>
      <c r="SI2" s="41" t="s">
        <v>820</v>
      </c>
      <c r="SJ2" s="41" t="s">
        <v>820</v>
      </c>
      <c r="SK2" s="41" t="s">
        <v>820</v>
      </c>
      <c r="SL2" s="41" t="s">
        <v>820</v>
      </c>
      <c r="SM2" s="41" t="s">
        <v>820</v>
      </c>
      <c r="SN2" s="41" t="s">
        <v>821</v>
      </c>
      <c r="SO2" s="41" t="s">
        <v>821</v>
      </c>
      <c r="SP2" s="41" t="s">
        <v>821</v>
      </c>
      <c r="SQ2" s="41" t="s">
        <v>821</v>
      </c>
      <c r="SR2" s="41" t="s">
        <v>821</v>
      </c>
      <c r="SS2" s="41" t="s">
        <v>821</v>
      </c>
      <c r="ST2" s="41" t="s">
        <v>821</v>
      </c>
      <c r="SU2" s="41" t="s">
        <v>821</v>
      </c>
      <c r="SV2" s="41" t="s">
        <v>821</v>
      </c>
      <c r="SW2" s="41" t="s">
        <v>821</v>
      </c>
      <c r="SX2" s="41" t="s">
        <v>821</v>
      </c>
      <c r="SY2" s="41" t="s">
        <v>821</v>
      </c>
      <c r="SZ2" s="41" t="s">
        <v>821</v>
      </c>
      <c r="TA2" s="41" t="s">
        <v>821</v>
      </c>
      <c r="TB2" s="41" t="s">
        <v>821</v>
      </c>
      <c r="TC2" s="41" t="s">
        <v>821</v>
      </c>
      <c r="TD2" s="41" t="s">
        <v>821</v>
      </c>
      <c r="TE2" s="41" t="s">
        <v>821</v>
      </c>
      <c r="TF2" s="41" t="s">
        <v>821</v>
      </c>
      <c r="TG2" s="41" t="s">
        <v>821</v>
      </c>
    </row>
    <row r="3" spans="1:527" s="41" customFormat="1" ht="51" hidden="1" x14ac:dyDescent="0.2">
      <c r="F3" s="45" t="s">
        <v>46</v>
      </c>
      <c r="G3" s="45" t="s">
        <v>47</v>
      </c>
      <c r="H3" s="44" t="s">
        <v>616</v>
      </c>
      <c r="I3" s="44" t="s">
        <v>556</v>
      </c>
      <c r="J3" s="44" t="s">
        <v>98</v>
      </c>
      <c r="K3" s="44" t="s">
        <v>99</v>
      </c>
      <c r="L3" s="44" t="s">
        <v>100</v>
      </c>
      <c r="M3" s="44" t="s">
        <v>617</v>
      </c>
      <c r="N3" s="44" t="s">
        <v>557</v>
      </c>
      <c r="O3" s="44" t="s">
        <v>103</v>
      </c>
      <c r="P3" s="44" t="s">
        <v>104</v>
      </c>
      <c r="Q3" s="44" t="s">
        <v>105</v>
      </c>
      <c r="R3" s="44" t="s">
        <v>618</v>
      </c>
      <c r="S3" s="44" t="s">
        <v>558</v>
      </c>
      <c r="T3" s="44" t="s">
        <v>108</v>
      </c>
      <c r="U3" s="44" t="s">
        <v>109</v>
      </c>
      <c r="V3" s="44" t="s">
        <v>110</v>
      </c>
      <c r="W3" s="44" t="s">
        <v>676</v>
      </c>
      <c r="X3" s="44" t="s">
        <v>716</v>
      </c>
      <c r="Y3" s="44" t="s">
        <v>113</v>
      </c>
      <c r="Z3" s="44" t="s">
        <v>114</v>
      </c>
      <c r="AA3" s="44" t="s">
        <v>677</v>
      </c>
      <c r="AB3" s="44" t="s">
        <v>717</v>
      </c>
      <c r="AC3" s="44" t="s">
        <v>117</v>
      </c>
      <c r="AD3" s="44" t="s">
        <v>118</v>
      </c>
      <c r="AE3" s="44" t="s">
        <v>619</v>
      </c>
      <c r="AF3" s="44" t="s">
        <v>559</v>
      </c>
      <c r="AG3" s="44" t="s">
        <v>121</v>
      </c>
      <c r="AH3" s="44" t="s">
        <v>122</v>
      </c>
      <c r="AI3" s="44" t="s">
        <v>123</v>
      </c>
      <c r="AJ3" s="44" t="s">
        <v>620</v>
      </c>
      <c r="AK3" s="44" t="s">
        <v>560</v>
      </c>
      <c r="AL3" s="44" t="s">
        <v>126</v>
      </c>
      <c r="AM3" s="44" t="s">
        <v>127</v>
      </c>
      <c r="AN3" s="44" t="s">
        <v>128</v>
      </c>
      <c r="AO3" s="44" t="s">
        <v>621</v>
      </c>
      <c r="AP3" s="44" t="s">
        <v>561</v>
      </c>
      <c r="AQ3" s="44" t="s">
        <v>131</v>
      </c>
      <c r="AR3" s="44" t="s">
        <v>132</v>
      </c>
      <c r="AS3" s="44" t="s">
        <v>133</v>
      </c>
      <c r="AT3" s="44" t="s">
        <v>678</v>
      </c>
      <c r="AU3" s="44" t="s">
        <v>718</v>
      </c>
      <c r="AV3" s="44" t="s">
        <v>136</v>
      </c>
      <c r="AW3" s="44" t="s">
        <v>137</v>
      </c>
      <c r="AX3" s="44" t="s">
        <v>679</v>
      </c>
      <c r="AY3" s="44" t="s">
        <v>719</v>
      </c>
      <c r="AZ3" s="44" t="s">
        <v>140</v>
      </c>
      <c r="BA3" s="44" t="s">
        <v>141</v>
      </c>
      <c r="BB3" s="44" t="s">
        <v>622</v>
      </c>
      <c r="BC3" s="44" t="s">
        <v>562</v>
      </c>
      <c r="BD3" s="44" t="s">
        <v>144</v>
      </c>
      <c r="BE3" s="44" t="s">
        <v>145</v>
      </c>
      <c r="BF3" s="44" t="s">
        <v>146</v>
      </c>
      <c r="BG3" s="44" t="s">
        <v>623</v>
      </c>
      <c r="BH3" s="44" t="s">
        <v>563</v>
      </c>
      <c r="BI3" s="44" t="s">
        <v>149</v>
      </c>
      <c r="BJ3" s="44" t="s">
        <v>150</v>
      </c>
      <c r="BK3" s="44" t="s">
        <v>151</v>
      </c>
      <c r="BL3" s="44" t="s">
        <v>624</v>
      </c>
      <c r="BM3" s="44" t="s">
        <v>564</v>
      </c>
      <c r="BN3" s="44" t="s">
        <v>154</v>
      </c>
      <c r="BO3" s="44" t="s">
        <v>155</v>
      </c>
      <c r="BP3" s="44" t="s">
        <v>156</v>
      </c>
      <c r="BQ3" s="44" t="s">
        <v>680</v>
      </c>
      <c r="BR3" s="44" t="s">
        <v>720</v>
      </c>
      <c r="BS3" s="44" t="s">
        <v>159</v>
      </c>
      <c r="BT3" s="44" t="s">
        <v>160</v>
      </c>
      <c r="BU3" s="44" t="s">
        <v>681</v>
      </c>
      <c r="BV3" s="44" t="s">
        <v>721</v>
      </c>
      <c r="BW3" s="44" t="s">
        <v>163</v>
      </c>
      <c r="BX3" s="44" t="s">
        <v>164</v>
      </c>
      <c r="BY3" s="44" t="s">
        <v>625</v>
      </c>
      <c r="BZ3" s="44" t="s">
        <v>565</v>
      </c>
      <c r="CA3" s="44" t="s">
        <v>167</v>
      </c>
      <c r="CB3" s="44" t="s">
        <v>168</v>
      </c>
      <c r="CC3" s="44" t="s">
        <v>169</v>
      </c>
      <c r="CD3" s="44" t="s">
        <v>626</v>
      </c>
      <c r="CE3" s="44" t="s">
        <v>566</v>
      </c>
      <c r="CF3" s="44" t="s">
        <v>172</v>
      </c>
      <c r="CG3" s="44" t="s">
        <v>173</v>
      </c>
      <c r="CH3" s="44" t="s">
        <v>174</v>
      </c>
      <c r="CI3" s="44" t="s">
        <v>627</v>
      </c>
      <c r="CJ3" s="44" t="s">
        <v>567</v>
      </c>
      <c r="CK3" s="44" t="s">
        <v>177</v>
      </c>
      <c r="CL3" s="44" t="s">
        <v>178</v>
      </c>
      <c r="CM3" s="44" t="s">
        <v>179</v>
      </c>
      <c r="CN3" s="44" t="s">
        <v>682</v>
      </c>
      <c r="CO3" s="44" t="s">
        <v>722</v>
      </c>
      <c r="CP3" s="44" t="s">
        <v>182</v>
      </c>
      <c r="CQ3" s="44" t="s">
        <v>183</v>
      </c>
      <c r="CR3" s="44" t="s">
        <v>683</v>
      </c>
      <c r="CS3" s="44" t="s">
        <v>723</v>
      </c>
      <c r="CT3" s="44" t="s">
        <v>186</v>
      </c>
      <c r="CU3" s="44" t="s">
        <v>187</v>
      </c>
      <c r="CV3" s="44" t="s">
        <v>628</v>
      </c>
      <c r="CW3" s="44" t="s">
        <v>568</v>
      </c>
      <c r="CX3" s="44" t="s">
        <v>190</v>
      </c>
      <c r="CY3" s="44" t="s">
        <v>191</v>
      </c>
      <c r="CZ3" s="44" t="s">
        <v>192</v>
      </c>
      <c r="DA3" s="44" t="s">
        <v>629</v>
      </c>
      <c r="DB3" s="44" t="s">
        <v>569</v>
      </c>
      <c r="DC3" s="44" t="s">
        <v>195</v>
      </c>
      <c r="DD3" s="44" t="s">
        <v>196</v>
      </c>
      <c r="DE3" s="44" t="s">
        <v>197</v>
      </c>
      <c r="DF3" s="44" t="s">
        <v>630</v>
      </c>
      <c r="DG3" s="44" t="s">
        <v>570</v>
      </c>
      <c r="DH3" s="44" t="s">
        <v>200</v>
      </c>
      <c r="DI3" s="44" t="s">
        <v>201</v>
      </c>
      <c r="DJ3" s="44" t="s">
        <v>202</v>
      </c>
      <c r="DK3" s="44" t="s">
        <v>684</v>
      </c>
      <c r="DL3" s="44" t="s">
        <v>724</v>
      </c>
      <c r="DM3" s="44" t="s">
        <v>205</v>
      </c>
      <c r="DN3" s="44" t="s">
        <v>206</v>
      </c>
      <c r="DO3" s="44" t="s">
        <v>685</v>
      </c>
      <c r="DP3" s="44" t="s">
        <v>725</v>
      </c>
      <c r="DQ3" s="44" t="s">
        <v>209</v>
      </c>
      <c r="DR3" s="44" t="s">
        <v>210</v>
      </c>
      <c r="DS3" s="44" t="s">
        <v>631</v>
      </c>
      <c r="DT3" s="44" t="s">
        <v>571</v>
      </c>
      <c r="DU3" s="44" t="s">
        <v>213</v>
      </c>
      <c r="DV3" s="44" t="s">
        <v>214</v>
      </c>
      <c r="DW3" s="44" t="s">
        <v>215</v>
      </c>
      <c r="DX3" s="44" t="s">
        <v>632</v>
      </c>
      <c r="DY3" s="44" t="s">
        <v>572</v>
      </c>
      <c r="DZ3" s="44" t="s">
        <v>218</v>
      </c>
      <c r="EA3" s="44" t="s">
        <v>219</v>
      </c>
      <c r="EB3" s="44" t="s">
        <v>220</v>
      </c>
      <c r="EC3" s="44" t="s">
        <v>633</v>
      </c>
      <c r="ED3" s="44" t="s">
        <v>573</v>
      </c>
      <c r="EE3" s="44" t="s">
        <v>223</v>
      </c>
      <c r="EF3" s="44" t="s">
        <v>224</v>
      </c>
      <c r="EG3" s="44" t="s">
        <v>225</v>
      </c>
      <c r="EH3" s="44" t="s">
        <v>686</v>
      </c>
      <c r="EI3" s="44" t="s">
        <v>726</v>
      </c>
      <c r="EJ3" s="44" t="s">
        <v>228</v>
      </c>
      <c r="EK3" s="44" t="s">
        <v>229</v>
      </c>
      <c r="EL3" s="44" t="s">
        <v>687</v>
      </c>
      <c r="EM3" s="44" t="s">
        <v>727</v>
      </c>
      <c r="EN3" s="44" t="s">
        <v>232</v>
      </c>
      <c r="EO3" s="44" t="s">
        <v>233</v>
      </c>
      <c r="EP3" s="44" t="s">
        <v>634</v>
      </c>
      <c r="EQ3" s="44" t="s">
        <v>574</v>
      </c>
      <c r="ER3" s="44" t="s">
        <v>236</v>
      </c>
      <c r="ES3" s="44" t="s">
        <v>237</v>
      </c>
      <c r="ET3" s="44" t="s">
        <v>238</v>
      </c>
      <c r="EU3" s="44" t="s">
        <v>635</v>
      </c>
      <c r="EV3" s="44" t="s">
        <v>575</v>
      </c>
      <c r="EW3" s="44" t="s">
        <v>241</v>
      </c>
      <c r="EX3" s="44" t="s">
        <v>242</v>
      </c>
      <c r="EY3" s="44" t="s">
        <v>243</v>
      </c>
      <c r="EZ3" s="44" t="s">
        <v>636</v>
      </c>
      <c r="FA3" s="44" t="s">
        <v>576</v>
      </c>
      <c r="FB3" s="44" t="s">
        <v>246</v>
      </c>
      <c r="FC3" s="44" t="s">
        <v>247</v>
      </c>
      <c r="FD3" s="44" t="s">
        <v>248</v>
      </c>
      <c r="FE3" s="44" t="s">
        <v>688</v>
      </c>
      <c r="FF3" s="44" t="s">
        <v>728</v>
      </c>
      <c r="FG3" s="44" t="s">
        <v>251</v>
      </c>
      <c r="FH3" s="44" t="s">
        <v>252</v>
      </c>
      <c r="FI3" s="44" t="s">
        <v>689</v>
      </c>
      <c r="FJ3" s="44" t="s">
        <v>729</v>
      </c>
      <c r="FK3" s="44" t="s">
        <v>255</v>
      </c>
      <c r="FL3" s="44" t="s">
        <v>256</v>
      </c>
      <c r="FM3" s="44" t="s">
        <v>637</v>
      </c>
      <c r="FN3" s="44" t="s">
        <v>577</v>
      </c>
      <c r="FO3" s="44" t="s">
        <v>259</v>
      </c>
      <c r="FP3" s="44" t="s">
        <v>260</v>
      </c>
      <c r="FQ3" s="44" t="s">
        <v>261</v>
      </c>
      <c r="FR3" s="44" t="s">
        <v>638</v>
      </c>
      <c r="FS3" s="44" t="s">
        <v>578</v>
      </c>
      <c r="FT3" s="44" t="s">
        <v>264</v>
      </c>
      <c r="FU3" s="44" t="s">
        <v>265</v>
      </c>
      <c r="FV3" s="44" t="s">
        <v>266</v>
      </c>
      <c r="FW3" s="44" t="s">
        <v>639</v>
      </c>
      <c r="FX3" s="44" t="s">
        <v>579</v>
      </c>
      <c r="FY3" s="44" t="s">
        <v>269</v>
      </c>
      <c r="FZ3" s="44" t="s">
        <v>270</v>
      </c>
      <c r="GA3" s="44" t="s">
        <v>271</v>
      </c>
      <c r="GB3" s="44" t="s">
        <v>690</v>
      </c>
      <c r="GC3" s="44" t="s">
        <v>730</v>
      </c>
      <c r="GD3" s="44" t="s">
        <v>274</v>
      </c>
      <c r="GE3" s="44" t="s">
        <v>275</v>
      </c>
      <c r="GF3" s="44" t="s">
        <v>691</v>
      </c>
      <c r="GG3" s="44" t="s">
        <v>731</v>
      </c>
      <c r="GH3" s="44" t="s">
        <v>278</v>
      </c>
      <c r="GI3" s="44" t="s">
        <v>279</v>
      </c>
      <c r="GJ3" s="44" t="s">
        <v>640</v>
      </c>
      <c r="GK3" s="44" t="s">
        <v>580</v>
      </c>
      <c r="GL3" s="44" t="s">
        <v>282</v>
      </c>
      <c r="GM3" s="44" t="s">
        <v>283</v>
      </c>
      <c r="GN3" s="44" t="s">
        <v>284</v>
      </c>
      <c r="GO3" s="44" t="s">
        <v>641</v>
      </c>
      <c r="GP3" s="44" t="s">
        <v>581</v>
      </c>
      <c r="GQ3" s="44" t="s">
        <v>287</v>
      </c>
      <c r="GR3" s="44" t="s">
        <v>288</v>
      </c>
      <c r="GS3" s="44" t="s">
        <v>289</v>
      </c>
      <c r="GT3" s="44" t="s">
        <v>642</v>
      </c>
      <c r="GU3" s="44" t="s">
        <v>582</v>
      </c>
      <c r="GV3" s="44" t="s">
        <v>292</v>
      </c>
      <c r="GW3" s="44" t="s">
        <v>293</v>
      </c>
      <c r="GX3" s="44" t="s">
        <v>294</v>
      </c>
      <c r="GY3" s="44" t="s">
        <v>692</v>
      </c>
      <c r="GZ3" s="44" t="s">
        <v>732</v>
      </c>
      <c r="HA3" s="44" t="s">
        <v>297</v>
      </c>
      <c r="HB3" s="44" t="s">
        <v>298</v>
      </c>
      <c r="HC3" s="44" t="s">
        <v>693</v>
      </c>
      <c r="HD3" s="44" t="s">
        <v>733</v>
      </c>
      <c r="HE3" s="44" t="s">
        <v>301</v>
      </c>
      <c r="HF3" s="44" t="s">
        <v>302</v>
      </c>
      <c r="HG3" s="44" t="s">
        <v>643</v>
      </c>
      <c r="HH3" s="44" t="s">
        <v>583</v>
      </c>
      <c r="HI3" s="44" t="s">
        <v>305</v>
      </c>
      <c r="HJ3" s="44" t="s">
        <v>306</v>
      </c>
      <c r="HK3" s="44" t="s">
        <v>307</v>
      </c>
      <c r="HL3" s="44" t="s">
        <v>644</v>
      </c>
      <c r="HM3" s="44" t="s">
        <v>584</v>
      </c>
      <c r="HN3" s="44" t="s">
        <v>310</v>
      </c>
      <c r="HO3" s="44" t="s">
        <v>311</v>
      </c>
      <c r="HP3" s="44" t="s">
        <v>312</v>
      </c>
      <c r="HQ3" s="44" t="s">
        <v>645</v>
      </c>
      <c r="HR3" s="44" t="s">
        <v>585</v>
      </c>
      <c r="HS3" s="44" t="s">
        <v>315</v>
      </c>
      <c r="HT3" s="44" t="s">
        <v>316</v>
      </c>
      <c r="HU3" s="44" t="s">
        <v>317</v>
      </c>
      <c r="HV3" s="44" t="s">
        <v>694</v>
      </c>
      <c r="HW3" s="44" t="s">
        <v>734</v>
      </c>
      <c r="HX3" s="44" t="s">
        <v>320</v>
      </c>
      <c r="HY3" s="44" t="s">
        <v>321</v>
      </c>
      <c r="HZ3" s="44" t="s">
        <v>695</v>
      </c>
      <c r="IA3" s="44" t="s">
        <v>735</v>
      </c>
      <c r="IB3" s="44" t="s">
        <v>324</v>
      </c>
      <c r="IC3" s="44" t="s">
        <v>325</v>
      </c>
      <c r="ID3" s="44" t="s">
        <v>646</v>
      </c>
      <c r="IE3" s="44" t="s">
        <v>586</v>
      </c>
      <c r="IF3" s="44" t="s">
        <v>328</v>
      </c>
      <c r="IG3" s="44" t="s">
        <v>329</v>
      </c>
      <c r="IH3" s="44" t="s">
        <v>330</v>
      </c>
      <c r="II3" s="44" t="s">
        <v>647</v>
      </c>
      <c r="IJ3" s="44" t="s">
        <v>587</v>
      </c>
      <c r="IK3" s="44" t="s">
        <v>333</v>
      </c>
      <c r="IL3" s="44" t="s">
        <v>334</v>
      </c>
      <c r="IM3" s="44" t="s">
        <v>335</v>
      </c>
      <c r="IN3" s="44" t="s">
        <v>648</v>
      </c>
      <c r="IO3" s="44" t="s">
        <v>588</v>
      </c>
      <c r="IP3" s="44" t="s">
        <v>338</v>
      </c>
      <c r="IQ3" s="44" t="s">
        <v>339</v>
      </c>
      <c r="IR3" s="44" t="s">
        <v>340</v>
      </c>
      <c r="IS3" s="44" t="s">
        <v>696</v>
      </c>
      <c r="IT3" s="44" t="s">
        <v>736</v>
      </c>
      <c r="IU3" s="44" t="s">
        <v>343</v>
      </c>
      <c r="IV3" s="44" t="s">
        <v>344</v>
      </c>
      <c r="IW3" s="44" t="s">
        <v>697</v>
      </c>
      <c r="IX3" s="44" t="s">
        <v>737</v>
      </c>
      <c r="IY3" s="44" t="s">
        <v>347</v>
      </c>
      <c r="IZ3" s="44" t="s">
        <v>348</v>
      </c>
      <c r="JA3" s="44" t="s">
        <v>649</v>
      </c>
      <c r="JB3" s="44" t="s">
        <v>589</v>
      </c>
      <c r="JC3" s="44" t="s">
        <v>351</v>
      </c>
      <c r="JD3" s="44" t="s">
        <v>352</v>
      </c>
      <c r="JE3" s="44" t="s">
        <v>353</v>
      </c>
      <c r="JF3" s="44" t="s">
        <v>650</v>
      </c>
      <c r="JG3" s="44" t="s">
        <v>590</v>
      </c>
      <c r="JH3" s="44" t="s">
        <v>356</v>
      </c>
      <c r="JI3" s="44" t="s">
        <v>357</v>
      </c>
      <c r="JJ3" s="44" t="s">
        <v>358</v>
      </c>
      <c r="JK3" s="44" t="s">
        <v>651</v>
      </c>
      <c r="JL3" s="44" t="s">
        <v>591</v>
      </c>
      <c r="JM3" s="44" t="s">
        <v>361</v>
      </c>
      <c r="JN3" s="44" t="s">
        <v>362</v>
      </c>
      <c r="JO3" s="44" t="s">
        <v>363</v>
      </c>
      <c r="JP3" s="44" t="s">
        <v>698</v>
      </c>
      <c r="JQ3" s="44" t="s">
        <v>738</v>
      </c>
      <c r="JR3" s="44" t="s">
        <v>366</v>
      </c>
      <c r="JS3" s="44" t="s">
        <v>367</v>
      </c>
      <c r="JT3" s="44" t="s">
        <v>699</v>
      </c>
      <c r="JU3" s="44" t="s">
        <v>739</v>
      </c>
      <c r="JV3" s="44" t="s">
        <v>370</v>
      </c>
      <c r="JW3" s="44" t="s">
        <v>371</v>
      </c>
      <c r="JX3" s="44" t="s">
        <v>652</v>
      </c>
      <c r="JY3" s="44" t="s">
        <v>592</v>
      </c>
      <c r="JZ3" s="44" t="s">
        <v>374</v>
      </c>
      <c r="KA3" s="44" t="s">
        <v>375</v>
      </c>
      <c r="KB3" s="44" t="s">
        <v>376</v>
      </c>
      <c r="KC3" s="44" t="s">
        <v>653</v>
      </c>
      <c r="KD3" s="44" t="s">
        <v>593</v>
      </c>
      <c r="KE3" s="44" t="s">
        <v>379</v>
      </c>
      <c r="KF3" s="44" t="s">
        <v>380</v>
      </c>
      <c r="KG3" s="44" t="s">
        <v>381</v>
      </c>
      <c r="KH3" s="44" t="s">
        <v>654</v>
      </c>
      <c r="KI3" s="44" t="s">
        <v>594</v>
      </c>
      <c r="KJ3" s="44" t="s">
        <v>384</v>
      </c>
      <c r="KK3" s="44" t="s">
        <v>385</v>
      </c>
      <c r="KL3" s="44" t="s">
        <v>386</v>
      </c>
      <c r="KM3" s="44" t="s">
        <v>700</v>
      </c>
      <c r="KN3" s="44" t="s">
        <v>740</v>
      </c>
      <c r="KO3" s="44" t="s">
        <v>389</v>
      </c>
      <c r="KP3" s="44" t="s">
        <v>390</v>
      </c>
      <c r="KQ3" s="44" t="s">
        <v>701</v>
      </c>
      <c r="KR3" s="44" t="s">
        <v>741</v>
      </c>
      <c r="KS3" s="44" t="s">
        <v>393</v>
      </c>
      <c r="KT3" s="44" t="s">
        <v>394</v>
      </c>
      <c r="KU3" s="44" t="s">
        <v>655</v>
      </c>
      <c r="KV3" s="44" t="s">
        <v>595</v>
      </c>
      <c r="KW3" s="44" t="s">
        <v>397</v>
      </c>
      <c r="KX3" s="44" t="s">
        <v>398</v>
      </c>
      <c r="KY3" s="44" t="s">
        <v>399</v>
      </c>
      <c r="KZ3" s="44" t="s">
        <v>656</v>
      </c>
      <c r="LA3" s="44" t="s">
        <v>596</v>
      </c>
      <c r="LB3" s="44" t="s">
        <v>402</v>
      </c>
      <c r="LC3" s="44" t="s">
        <v>403</v>
      </c>
      <c r="LD3" s="44" t="s">
        <v>404</v>
      </c>
      <c r="LE3" s="44" t="s">
        <v>657</v>
      </c>
      <c r="LF3" s="44" t="s">
        <v>597</v>
      </c>
      <c r="LG3" s="44" t="s">
        <v>407</v>
      </c>
      <c r="LH3" s="44" t="s">
        <v>408</v>
      </c>
      <c r="LI3" s="44" t="s">
        <v>409</v>
      </c>
      <c r="LJ3" s="44" t="s">
        <v>702</v>
      </c>
      <c r="LK3" s="44" t="s">
        <v>742</v>
      </c>
      <c r="LL3" s="44" t="s">
        <v>412</v>
      </c>
      <c r="LM3" s="44" t="s">
        <v>413</v>
      </c>
      <c r="LN3" s="44" t="s">
        <v>703</v>
      </c>
      <c r="LO3" s="44" t="s">
        <v>743</v>
      </c>
      <c r="LP3" s="44" t="s">
        <v>416</v>
      </c>
      <c r="LQ3" s="44" t="s">
        <v>417</v>
      </c>
      <c r="LR3" s="44" t="s">
        <v>658</v>
      </c>
      <c r="LS3" s="44" t="s">
        <v>598</v>
      </c>
      <c r="LT3" s="44" t="s">
        <v>420</v>
      </c>
      <c r="LU3" s="44" t="s">
        <v>421</v>
      </c>
      <c r="LV3" s="44" t="s">
        <v>422</v>
      </c>
      <c r="LW3" s="44" t="s">
        <v>659</v>
      </c>
      <c r="LX3" s="44" t="s">
        <v>599</v>
      </c>
      <c r="LY3" s="44" t="s">
        <v>425</v>
      </c>
      <c r="LZ3" s="44" t="s">
        <v>426</v>
      </c>
      <c r="MA3" s="44" t="s">
        <v>427</v>
      </c>
      <c r="MB3" s="44" t="s">
        <v>660</v>
      </c>
      <c r="MC3" s="44" t="s">
        <v>600</v>
      </c>
      <c r="MD3" s="44" t="s">
        <v>430</v>
      </c>
      <c r="ME3" s="44" t="s">
        <v>431</v>
      </c>
      <c r="MF3" s="44" t="s">
        <v>432</v>
      </c>
      <c r="MG3" s="44" t="s">
        <v>704</v>
      </c>
      <c r="MH3" s="44" t="s">
        <v>744</v>
      </c>
      <c r="MI3" s="44" t="s">
        <v>435</v>
      </c>
      <c r="MJ3" s="44" t="s">
        <v>436</v>
      </c>
      <c r="MK3" s="44" t="s">
        <v>705</v>
      </c>
      <c r="ML3" s="44" t="s">
        <v>745</v>
      </c>
      <c r="MM3" s="44" t="s">
        <v>439</v>
      </c>
      <c r="MN3" s="44" t="s">
        <v>440</v>
      </c>
      <c r="MO3" s="44" t="s">
        <v>661</v>
      </c>
      <c r="MP3" s="44" t="s">
        <v>601</v>
      </c>
      <c r="MQ3" s="44" t="s">
        <v>443</v>
      </c>
      <c r="MR3" s="44" t="s">
        <v>444</v>
      </c>
      <c r="MS3" s="44" t="s">
        <v>445</v>
      </c>
      <c r="MT3" s="44" t="s">
        <v>662</v>
      </c>
      <c r="MU3" s="44" t="s">
        <v>602</v>
      </c>
      <c r="MV3" s="44" t="s">
        <v>448</v>
      </c>
      <c r="MW3" s="44" t="s">
        <v>449</v>
      </c>
      <c r="MX3" s="44" t="s">
        <v>450</v>
      </c>
      <c r="MY3" s="44" t="s">
        <v>663</v>
      </c>
      <c r="MZ3" s="44" t="s">
        <v>603</v>
      </c>
      <c r="NA3" s="44" t="s">
        <v>453</v>
      </c>
      <c r="NB3" s="44" t="s">
        <v>454</v>
      </c>
      <c r="NC3" s="44" t="s">
        <v>455</v>
      </c>
      <c r="ND3" s="44" t="s">
        <v>706</v>
      </c>
      <c r="NE3" s="44" t="s">
        <v>746</v>
      </c>
      <c r="NF3" s="44" t="s">
        <v>458</v>
      </c>
      <c r="NG3" s="44" t="s">
        <v>459</v>
      </c>
      <c r="NH3" s="44" t="s">
        <v>707</v>
      </c>
      <c r="NI3" s="44" t="s">
        <v>747</v>
      </c>
      <c r="NJ3" s="44" t="s">
        <v>462</v>
      </c>
      <c r="NK3" s="44" t="s">
        <v>463</v>
      </c>
      <c r="NL3" s="44" t="s">
        <v>664</v>
      </c>
      <c r="NM3" s="44" t="s">
        <v>604</v>
      </c>
      <c r="NN3" s="44" t="s">
        <v>466</v>
      </c>
      <c r="NO3" s="44" t="s">
        <v>467</v>
      </c>
      <c r="NP3" s="44" t="s">
        <v>468</v>
      </c>
      <c r="NQ3" s="44" t="s">
        <v>665</v>
      </c>
      <c r="NR3" s="44" t="s">
        <v>605</v>
      </c>
      <c r="NS3" s="44" t="s">
        <v>471</v>
      </c>
      <c r="NT3" s="44" t="s">
        <v>472</v>
      </c>
      <c r="NU3" s="44" t="s">
        <v>473</v>
      </c>
      <c r="NV3" s="44" t="s">
        <v>666</v>
      </c>
      <c r="NW3" s="44" t="s">
        <v>606</v>
      </c>
      <c r="NX3" s="44" t="s">
        <v>476</v>
      </c>
      <c r="NY3" s="44" t="s">
        <v>477</v>
      </c>
      <c r="NZ3" s="44" t="s">
        <v>478</v>
      </c>
      <c r="OA3" s="44" t="s">
        <v>708</v>
      </c>
      <c r="OB3" s="44" t="s">
        <v>748</v>
      </c>
      <c r="OC3" s="44" t="s">
        <v>481</v>
      </c>
      <c r="OD3" s="44" t="s">
        <v>482</v>
      </c>
      <c r="OE3" s="44" t="s">
        <v>709</v>
      </c>
      <c r="OF3" s="44" t="s">
        <v>749</v>
      </c>
      <c r="OG3" s="44" t="s">
        <v>485</v>
      </c>
      <c r="OH3" s="44" t="s">
        <v>486</v>
      </c>
      <c r="OI3" s="44" t="s">
        <v>667</v>
      </c>
      <c r="OJ3" s="44" t="s">
        <v>607</v>
      </c>
      <c r="OK3" s="44" t="s">
        <v>489</v>
      </c>
      <c r="OL3" s="44" t="s">
        <v>490</v>
      </c>
      <c r="OM3" s="44" t="s">
        <v>491</v>
      </c>
      <c r="ON3" s="44" t="s">
        <v>668</v>
      </c>
      <c r="OO3" s="44" t="s">
        <v>608</v>
      </c>
      <c r="OP3" s="44" t="s">
        <v>494</v>
      </c>
      <c r="OQ3" s="44" t="s">
        <v>495</v>
      </c>
      <c r="OR3" s="44" t="s">
        <v>496</v>
      </c>
      <c r="OS3" s="44" t="s">
        <v>669</v>
      </c>
      <c r="OT3" s="44" t="s">
        <v>609</v>
      </c>
      <c r="OU3" s="44" t="s">
        <v>499</v>
      </c>
      <c r="OV3" s="44" t="s">
        <v>500</v>
      </c>
      <c r="OW3" s="44" t="s">
        <v>501</v>
      </c>
      <c r="OX3" s="44" t="s">
        <v>710</v>
      </c>
      <c r="OY3" s="44" t="s">
        <v>750</v>
      </c>
      <c r="OZ3" s="44" t="s">
        <v>504</v>
      </c>
      <c r="PA3" s="44" t="s">
        <v>505</v>
      </c>
      <c r="PB3" s="44" t="s">
        <v>711</v>
      </c>
      <c r="PC3" s="44" t="s">
        <v>751</v>
      </c>
      <c r="PD3" s="44" t="s">
        <v>508</v>
      </c>
      <c r="PE3" s="44" t="s">
        <v>509</v>
      </c>
      <c r="PF3" s="44" t="s">
        <v>670</v>
      </c>
      <c r="PG3" s="44" t="s">
        <v>610</v>
      </c>
      <c r="PH3" s="44" t="s">
        <v>512</v>
      </c>
      <c r="PI3" s="44" t="s">
        <v>513</v>
      </c>
      <c r="PJ3" s="44" t="s">
        <v>514</v>
      </c>
      <c r="PK3" s="44" t="s">
        <v>671</v>
      </c>
      <c r="PL3" s="44" t="s">
        <v>611</v>
      </c>
      <c r="PM3" s="44" t="s">
        <v>517</v>
      </c>
      <c r="PN3" s="44" t="s">
        <v>518</v>
      </c>
      <c r="PO3" s="44" t="s">
        <v>519</v>
      </c>
      <c r="PP3" s="44" t="s">
        <v>672</v>
      </c>
      <c r="PQ3" s="44" t="s">
        <v>612</v>
      </c>
      <c r="PR3" s="44" t="s">
        <v>522</v>
      </c>
      <c r="PS3" s="44" t="s">
        <v>523</v>
      </c>
      <c r="PT3" s="44" t="s">
        <v>524</v>
      </c>
      <c r="PU3" s="44" t="s">
        <v>712</v>
      </c>
      <c r="PV3" s="44" t="s">
        <v>752</v>
      </c>
      <c r="PW3" s="44" t="s">
        <v>527</v>
      </c>
      <c r="PX3" s="44" t="s">
        <v>528</v>
      </c>
      <c r="PY3" s="44" t="s">
        <v>713</v>
      </c>
      <c r="PZ3" s="44" t="s">
        <v>753</v>
      </c>
      <c r="QA3" s="44" t="s">
        <v>531</v>
      </c>
      <c r="QB3" s="44" t="s">
        <v>532</v>
      </c>
      <c r="QC3" s="44" t="s">
        <v>673</v>
      </c>
      <c r="QD3" s="44" t="s">
        <v>613</v>
      </c>
      <c r="QE3" s="44" t="s">
        <v>535</v>
      </c>
      <c r="QF3" s="44" t="s">
        <v>536</v>
      </c>
      <c r="QG3" s="44" t="s">
        <v>537</v>
      </c>
      <c r="QH3" s="44" t="s">
        <v>674</v>
      </c>
      <c r="QI3" s="44" t="s">
        <v>614</v>
      </c>
      <c r="QJ3" s="44" t="s">
        <v>540</v>
      </c>
      <c r="QK3" s="44" t="s">
        <v>541</v>
      </c>
      <c r="QL3" s="44" t="s">
        <v>542</v>
      </c>
      <c r="QM3" s="44" t="s">
        <v>675</v>
      </c>
      <c r="QN3" s="44" t="s">
        <v>615</v>
      </c>
      <c r="QO3" s="44" t="s">
        <v>545</v>
      </c>
      <c r="QP3" s="44" t="s">
        <v>546</v>
      </c>
      <c r="QQ3" s="44" t="s">
        <v>547</v>
      </c>
      <c r="QR3" s="44" t="s">
        <v>714</v>
      </c>
      <c r="QS3" s="44" t="s">
        <v>754</v>
      </c>
      <c r="QT3" s="44" t="s">
        <v>550</v>
      </c>
      <c r="QU3" s="44" t="s">
        <v>551</v>
      </c>
      <c r="QV3" s="44" t="s">
        <v>715</v>
      </c>
      <c r="QW3" s="44" t="s">
        <v>755</v>
      </c>
      <c r="QX3" s="44" t="s">
        <v>554</v>
      </c>
      <c r="QY3" s="44" t="s">
        <v>555</v>
      </c>
      <c r="QZ3" s="44" t="s">
        <v>758</v>
      </c>
      <c r="RA3" s="44" t="s">
        <v>759</v>
      </c>
      <c r="RB3" s="44" t="s">
        <v>760</v>
      </c>
      <c r="RC3" s="44" t="s">
        <v>761</v>
      </c>
      <c r="RD3" s="44" t="s">
        <v>762</v>
      </c>
      <c r="RE3" s="44" t="s">
        <v>763</v>
      </c>
      <c r="RF3" s="44" t="s">
        <v>764</v>
      </c>
      <c r="RG3" s="44" t="s">
        <v>765</v>
      </c>
      <c r="RH3" s="44" t="s">
        <v>766</v>
      </c>
      <c r="RI3" s="44" t="s">
        <v>767</v>
      </c>
      <c r="RJ3" s="44" t="s">
        <v>768</v>
      </c>
      <c r="RK3" s="44" t="s">
        <v>769</v>
      </c>
      <c r="RL3" s="44" t="s">
        <v>770</v>
      </c>
      <c r="RM3" s="44" t="s">
        <v>771</v>
      </c>
      <c r="RN3" s="44" t="s">
        <v>772</v>
      </c>
      <c r="RO3" s="44" t="s">
        <v>773</v>
      </c>
      <c r="RP3" s="44" t="s">
        <v>774</v>
      </c>
      <c r="RQ3" s="44" t="s">
        <v>775</v>
      </c>
      <c r="RR3" s="44" t="s">
        <v>776</v>
      </c>
      <c r="RS3" s="44" t="s">
        <v>777</v>
      </c>
      <c r="RT3" s="44" t="s">
        <v>778</v>
      </c>
      <c r="RU3" s="44" t="s">
        <v>779</v>
      </c>
      <c r="RV3" s="44" t="s">
        <v>780</v>
      </c>
      <c r="RW3" s="44" t="s">
        <v>781</v>
      </c>
      <c r="RX3" s="44" t="s">
        <v>782</v>
      </c>
      <c r="RY3" s="44" t="s">
        <v>783</v>
      </c>
      <c r="RZ3" s="44" t="s">
        <v>784</v>
      </c>
      <c r="SA3" s="44" t="s">
        <v>785</v>
      </c>
      <c r="SB3" s="44" t="s">
        <v>786</v>
      </c>
      <c r="SC3" s="44" t="s">
        <v>787</v>
      </c>
      <c r="SD3" s="44" t="s">
        <v>788</v>
      </c>
      <c r="SE3" s="44" t="s">
        <v>789</v>
      </c>
      <c r="SF3" s="44" t="s">
        <v>790</v>
      </c>
      <c r="SG3" s="44" t="s">
        <v>791</v>
      </c>
      <c r="SH3" s="44" t="s">
        <v>792</v>
      </c>
      <c r="SI3" s="44" t="s">
        <v>793</v>
      </c>
      <c r="SJ3" s="44" t="s">
        <v>794</v>
      </c>
      <c r="SK3" s="44" t="s">
        <v>795</v>
      </c>
      <c r="SL3" s="44" t="s">
        <v>796</v>
      </c>
      <c r="SM3" s="44" t="s">
        <v>797</v>
      </c>
      <c r="SN3" s="44" t="s">
        <v>798</v>
      </c>
      <c r="SO3" s="44" t="s">
        <v>799</v>
      </c>
      <c r="SP3" s="44" t="s">
        <v>800</v>
      </c>
      <c r="SQ3" s="44" t="s">
        <v>801</v>
      </c>
      <c r="SR3" s="44" t="s">
        <v>802</v>
      </c>
      <c r="SS3" s="44" t="s">
        <v>803</v>
      </c>
      <c r="ST3" s="44" t="s">
        <v>804</v>
      </c>
      <c r="SU3" s="44" t="s">
        <v>805</v>
      </c>
      <c r="SV3" s="44" t="s">
        <v>806</v>
      </c>
      <c r="SW3" s="44" t="s">
        <v>807</v>
      </c>
      <c r="SX3" s="44" t="s">
        <v>808</v>
      </c>
      <c r="SY3" s="44" t="s">
        <v>809</v>
      </c>
      <c r="SZ3" s="44" t="s">
        <v>810</v>
      </c>
      <c r="TA3" s="44" t="s">
        <v>811</v>
      </c>
      <c r="TB3" s="44" t="s">
        <v>812</v>
      </c>
      <c r="TC3" s="44" t="s">
        <v>813</v>
      </c>
      <c r="TD3" s="44" t="s">
        <v>814</v>
      </c>
      <c r="TE3" s="44" t="s">
        <v>815</v>
      </c>
      <c r="TF3" s="44" t="s">
        <v>816</v>
      </c>
      <c r="TG3" s="44" t="s">
        <v>817</v>
      </c>
    </row>
    <row r="4" spans="1:527" s="40" customFormat="1" ht="55.5" customHeight="1" x14ac:dyDescent="0.2">
      <c r="A4" s="65" t="s">
        <v>1356</v>
      </c>
      <c r="B4" s="45" t="s">
        <v>45</v>
      </c>
      <c r="C4" s="65" t="s">
        <v>1360</v>
      </c>
      <c r="D4" s="65" t="s">
        <v>1362</v>
      </c>
      <c r="E4" s="66" t="s">
        <v>1357</v>
      </c>
      <c r="F4" s="39" t="s">
        <v>46</v>
      </c>
      <c r="G4" s="39" t="s">
        <v>47</v>
      </c>
      <c r="H4" s="39" t="str">
        <f>H3&amp;Barefoot!$I$2</f>
        <v>CoStep1SwingsideT1</v>
      </c>
      <c r="I4" s="39" t="str">
        <f>I3&amp;Barefoot!$I$2</f>
        <v>CoStep1StepLengthT1</v>
      </c>
      <c r="J4" s="39" t="str">
        <f>J3&amp;Barefoot!$I$2</f>
        <v>CoStep1StepTimeT1</v>
      </c>
      <c r="K4" s="39" t="str">
        <f>K3&amp;Barefoot!$I$2</f>
        <v>CoStep1DoubleSupportTimeT1</v>
      </c>
      <c r="L4" s="39" t="str">
        <f>L3&amp;Barefoot!$I$2</f>
        <v>CoStep1StanceTimeT1</v>
      </c>
      <c r="M4" s="39" t="str">
        <f>M3&amp;Barefoot!$I$2</f>
        <v>CoStep2SwingsideT1</v>
      </c>
      <c r="N4" s="39" t="str">
        <f>N3&amp;Barefoot!$I$2</f>
        <v>CoStep2StepLengthT1</v>
      </c>
      <c r="O4" s="39" t="str">
        <f>O3&amp;Barefoot!$I$2</f>
        <v>CoStep2StepTimeT1</v>
      </c>
      <c r="P4" s="39" t="str">
        <f>P3&amp;Barefoot!$I$2</f>
        <v>CoStep2DoubleSupportTimeT1</v>
      </c>
      <c r="Q4" s="39" t="str">
        <f>Q3&amp;Barefoot!$I$2</f>
        <v>CoStep2StanceTimeT1</v>
      </c>
      <c r="R4" s="39" t="str">
        <f>R3&amp;Barefoot!$I$2</f>
        <v>CoStep3SwingsideT1</v>
      </c>
      <c r="S4" s="39" t="str">
        <f>S3&amp;Barefoot!$I$2</f>
        <v>CoStep3StepLengthT1</v>
      </c>
      <c r="T4" s="39" t="str">
        <f>T3&amp;Barefoot!$I$2</f>
        <v>CoStep3StepTimeT1</v>
      </c>
      <c r="U4" s="39" t="str">
        <f>U3&amp;Barefoot!$I$2</f>
        <v>CoStep3DoubleSupportTimeT1</v>
      </c>
      <c r="V4" s="39" t="str">
        <f>V3&amp;Barefoot!$I$2</f>
        <v>CoStep3StanceTimeT1</v>
      </c>
      <c r="W4" s="39" t="str">
        <f>W3&amp;Barefoot!$I$2</f>
        <v>CoStride1SideT1</v>
      </c>
      <c r="X4" s="39" t="str">
        <f>X3&amp;Barefoot!$I$2</f>
        <v>CoStride1StrideLengthT1</v>
      </c>
      <c r="Y4" s="39" t="str">
        <f>Y3&amp;Barefoot!$I$2</f>
        <v>CoStride1StrideTimeT1</v>
      </c>
      <c r="Z4" s="39" t="str">
        <f>Z3&amp;Barefoot!$I$2</f>
        <v>CoStride1SwingTimeT1</v>
      </c>
      <c r="AA4" s="39" t="str">
        <f>AA3&amp;Barefoot!$I$2</f>
        <v>CoStride2SideT1</v>
      </c>
      <c r="AB4" s="39" t="str">
        <f>AB3&amp;Barefoot!$I$2</f>
        <v>CoStride2StrideLengthT1</v>
      </c>
      <c r="AC4" s="39" t="str">
        <f>AC3&amp;Barefoot!$I$2</f>
        <v>CoStride2StrideTimeT1</v>
      </c>
      <c r="AD4" s="39" t="str">
        <f>AD3&amp;Barefoot!$I$2</f>
        <v>CoStride2SwingTimeT1</v>
      </c>
      <c r="AE4" s="39" t="str">
        <f>AE3&amp;Barefoot!$I$2</f>
        <v>CoStep1SwingsideT2</v>
      </c>
      <c r="AF4" s="39" t="str">
        <f>AF3&amp;Barefoot!$I$2</f>
        <v>CoStep1StepLengthT2</v>
      </c>
      <c r="AG4" s="39" t="str">
        <f>AG3&amp;Barefoot!$I$2</f>
        <v>CoStep1StepTimeT2</v>
      </c>
      <c r="AH4" s="39" t="str">
        <f>AH3&amp;Barefoot!$I$2</f>
        <v>CoStep1DoubleSupportTimeT2</v>
      </c>
      <c r="AI4" s="39" t="str">
        <f>AI3&amp;Barefoot!$I$2</f>
        <v>CoStep1StanceTimeT2</v>
      </c>
      <c r="AJ4" s="39" t="str">
        <f>AJ3&amp;Barefoot!$I$2</f>
        <v>CoStep2SwingsideT2</v>
      </c>
      <c r="AK4" s="39" t="str">
        <f>AK3&amp;Barefoot!$I$2</f>
        <v>CoStep2StepLengthT2</v>
      </c>
      <c r="AL4" s="39" t="str">
        <f>AL3&amp;Barefoot!$I$2</f>
        <v>CoStep2StepTimeT2</v>
      </c>
      <c r="AM4" s="39" t="str">
        <f>AM3&amp;Barefoot!$I$2</f>
        <v>CoStep2DoubleSupportTimeT2</v>
      </c>
      <c r="AN4" s="39" t="str">
        <f>AN3&amp;Barefoot!$I$2</f>
        <v>CoStep2StanceTimeT2</v>
      </c>
      <c r="AO4" s="39" t="str">
        <f>AO3&amp;Barefoot!$I$2</f>
        <v>CoStep3SwingsideT2</v>
      </c>
      <c r="AP4" s="39" t="str">
        <f>AP3&amp;Barefoot!$I$2</f>
        <v>CoStep3StepLengthT2</v>
      </c>
      <c r="AQ4" s="39" t="str">
        <f>AQ3&amp;Barefoot!$I$2</f>
        <v>CoStep3StepTimeT2</v>
      </c>
      <c r="AR4" s="39" t="str">
        <f>AR3&amp;Barefoot!$I$2</f>
        <v>CoStep3DoubleSupportTimeT2</v>
      </c>
      <c r="AS4" s="39" t="str">
        <f>AS3&amp;Barefoot!$I$2</f>
        <v>CoStep3StanceTimeT2</v>
      </c>
      <c r="AT4" s="39" t="str">
        <f>AT3&amp;Barefoot!$I$2</f>
        <v>CoStride1SideT2</v>
      </c>
      <c r="AU4" s="39" t="str">
        <f>AU3&amp;Barefoot!$I$2</f>
        <v>CoStride1StrideLengthT2</v>
      </c>
      <c r="AV4" s="39" t="str">
        <f>AV3&amp;Barefoot!$I$2</f>
        <v>CoStride1StrideTimeT2</v>
      </c>
      <c r="AW4" s="39" t="str">
        <f>AW3&amp;Barefoot!$I$2</f>
        <v>CoStride1SwingTimeT2</v>
      </c>
      <c r="AX4" s="39" t="str">
        <f>AX3&amp;Barefoot!$I$2</f>
        <v>CoStride2SideT2</v>
      </c>
      <c r="AY4" s="39" t="str">
        <f>AY3&amp;Barefoot!$I$2</f>
        <v>CoStride2StrideLengthT2</v>
      </c>
      <c r="AZ4" s="39" t="str">
        <f>AZ3&amp;Barefoot!$I$2</f>
        <v>CoStride2StrideTimeT2</v>
      </c>
      <c r="BA4" s="39" t="str">
        <f>BA3&amp;Barefoot!$I$2</f>
        <v>CoStride2SwingTimeT2</v>
      </c>
      <c r="BB4" s="39" t="str">
        <f>BB3&amp;Barefoot!$I$2</f>
        <v>CoStep1SwingsideT3</v>
      </c>
      <c r="BC4" s="39" t="str">
        <f>BC3&amp;Barefoot!$I$2</f>
        <v>CoStep1StepLengthT3</v>
      </c>
      <c r="BD4" s="39" t="str">
        <f>BD3&amp;Barefoot!$I$2</f>
        <v>CoStep1StepTimeT3</v>
      </c>
      <c r="BE4" s="39" t="str">
        <f>BE3&amp;Barefoot!$I$2</f>
        <v>CoStep1DoubleSupportTimeT3</v>
      </c>
      <c r="BF4" s="39" t="str">
        <f>BF3&amp;Barefoot!$I$2</f>
        <v>CoStep1StanceTimeT3</v>
      </c>
      <c r="BG4" s="39" t="str">
        <f>BG3&amp;Barefoot!$I$2</f>
        <v>CoStep2SwingsideT3</v>
      </c>
      <c r="BH4" s="39" t="str">
        <f>BH3&amp;Barefoot!$I$2</f>
        <v>CoStep2StepLengthT3</v>
      </c>
      <c r="BI4" s="39" t="str">
        <f>BI3&amp;Barefoot!$I$2</f>
        <v>CoStep2StepTimeT3</v>
      </c>
      <c r="BJ4" s="39" t="str">
        <f>BJ3&amp;Barefoot!$I$2</f>
        <v>CoStep2DoubleSupportTimeT3</v>
      </c>
      <c r="BK4" s="39" t="str">
        <f>BK3&amp;Barefoot!$I$2</f>
        <v>CoStep2StanceTimeT3</v>
      </c>
      <c r="BL4" s="39" t="str">
        <f>BL3&amp;Barefoot!$I$2</f>
        <v>CoStep3SwingsideT3</v>
      </c>
      <c r="BM4" s="39" t="str">
        <f>BM3&amp;Barefoot!$I$2</f>
        <v>CoStep3StepLengthT3</v>
      </c>
      <c r="BN4" s="39" t="str">
        <f>BN3&amp;Barefoot!$I$2</f>
        <v>CoStep3StepTimeT3</v>
      </c>
      <c r="BO4" s="39" t="str">
        <f>BO3&amp;Barefoot!$I$2</f>
        <v>CoStep3DoubleSupportTimeT3</v>
      </c>
      <c r="BP4" s="39" t="str">
        <f>BP3&amp;Barefoot!$I$2</f>
        <v>CoStep3StanceTimeT3</v>
      </c>
      <c r="BQ4" s="39" t="str">
        <f>BQ3&amp;Barefoot!$I$2</f>
        <v>CoStride1SideT3</v>
      </c>
      <c r="BR4" s="39" t="str">
        <f>BR3&amp;Barefoot!$I$2</f>
        <v>CoStride1StrideLengthT3</v>
      </c>
      <c r="BS4" s="39" t="str">
        <f>BS3&amp;Barefoot!$I$2</f>
        <v>CoStride1StrideTimeT3</v>
      </c>
      <c r="BT4" s="39" t="str">
        <f>BT3&amp;Barefoot!$I$2</f>
        <v>CoStride1SwingTimeT3</v>
      </c>
      <c r="BU4" s="39" t="str">
        <f>BU3&amp;Barefoot!$I$2</f>
        <v>CoStride2SideT3</v>
      </c>
      <c r="BV4" s="39" t="str">
        <f>BV3&amp;Barefoot!$I$2</f>
        <v>CoStride2StrideLengthT3</v>
      </c>
      <c r="BW4" s="39" t="str">
        <f>BW3&amp;Barefoot!$I$2</f>
        <v>CoStride2StrideTimeT3</v>
      </c>
      <c r="BX4" s="39" t="str">
        <f>BX3&amp;Barefoot!$I$2</f>
        <v>CoStride2SwingTimeT3</v>
      </c>
      <c r="BY4" s="39" t="str">
        <f>BY3&amp;Barefoot!$I$2</f>
        <v>CoStep1SwingsideT4</v>
      </c>
      <c r="BZ4" s="39" t="str">
        <f>BZ3&amp;Barefoot!$I$2</f>
        <v>CoStep1StepLengthT4</v>
      </c>
      <c r="CA4" s="39" t="str">
        <f>CA3&amp;Barefoot!$I$2</f>
        <v>CoStep1StepTimeT4</v>
      </c>
      <c r="CB4" s="39" t="str">
        <f>CB3&amp;Barefoot!$I$2</f>
        <v>CoStep1DoubleSupportTimeT4</v>
      </c>
      <c r="CC4" s="39" t="str">
        <f>CC3&amp;Barefoot!$I$2</f>
        <v>CoStep1StanceTimeT4</v>
      </c>
      <c r="CD4" s="39" t="str">
        <f>CD3&amp;Barefoot!$I$2</f>
        <v>CoStep2SwingsideT4</v>
      </c>
      <c r="CE4" s="39" t="str">
        <f>CE3&amp;Barefoot!$I$2</f>
        <v>CoStep2StepLengthT4</v>
      </c>
      <c r="CF4" s="39" t="str">
        <f>CF3&amp;Barefoot!$I$2</f>
        <v>CoStep2StepTimeT4</v>
      </c>
      <c r="CG4" s="39" t="str">
        <f>CG3&amp;Barefoot!$I$2</f>
        <v>CoStep2DoubleSupportTimeT4</v>
      </c>
      <c r="CH4" s="39" t="str">
        <f>CH3&amp;Barefoot!$I$2</f>
        <v>CoStep2StanceTimeT4</v>
      </c>
      <c r="CI4" s="39" t="str">
        <f>CI3&amp;Barefoot!$I$2</f>
        <v>CoStep3SwingsideT4</v>
      </c>
      <c r="CJ4" s="39" t="str">
        <f>CJ3&amp;Barefoot!$I$2</f>
        <v>CoStep3StepLengthT4</v>
      </c>
      <c r="CK4" s="39" t="str">
        <f>CK3&amp;Barefoot!$I$2</f>
        <v>CoStep3StepTimeT4</v>
      </c>
      <c r="CL4" s="39" t="str">
        <f>CL3&amp;Barefoot!$I$2</f>
        <v>CoStep3DoubleSupportTimeT4</v>
      </c>
      <c r="CM4" s="39" t="str">
        <f>CM3&amp;Barefoot!$I$2</f>
        <v>CoStep3StanceTimeT4</v>
      </c>
      <c r="CN4" s="39" t="str">
        <f>CN3&amp;Barefoot!$I$2</f>
        <v>CoStride1SideT4</v>
      </c>
      <c r="CO4" s="39" t="str">
        <f>CO3&amp;Barefoot!$I$2</f>
        <v>CoStride1StrideLengthT4</v>
      </c>
      <c r="CP4" s="39" t="str">
        <f>CP3&amp;Barefoot!$I$2</f>
        <v>CoStride1StrideTimeT4</v>
      </c>
      <c r="CQ4" s="39" t="str">
        <f>CQ3&amp;Barefoot!$I$2</f>
        <v>CoStride1SwingTimeT4</v>
      </c>
      <c r="CR4" s="39" t="str">
        <f>CR3&amp;Barefoot!$I$2</f>
        <v>CoStride2SideT4</v>
      </c>
      <c r="CS4" s="39" t="str">
        <f>CS3&amp;Barefoot!$I$2</f>
        <v>CoStride2StrideLengthT4</v>
      </c>
      <c r="CT4" s="39" t="str">
        <f>CT3&amp;Barefoot!$I$2</f>
        <v>CoStride2StrideTimeT4</v>
      </c>
      <c r="CU4" s="39" t="str">
        <f>CU3&amp;Barefoot!$I$2</f>
        <v>CoStride2SwingTimeT4</v>
      </c>
      <c r="CV4" s="39" t="str">
        <f>CV3&amp;Barefoot!$I$2</f>
        <v>CoStep1SwingsideT5</v>
      </c>
      <c r="CW4" s="39" t="str">
        <f>CW3&amp;Barefoot!$I$2</f>
        <v>CoStep1StepLengthT5</v>
      </c>
      <c r="CX4" s="39" t="str">
        <f>CX3&amp;Barefoot!$I$2</f>
        <v>CoStep1StepTimeT5</v>
      </c>
      <c r="CY4" s="39" t="str">
        <f>CY3&amp;Barefoot!$I$2</f>
        <v>CoStep1DoubleSupportTimeT5</v>
      </c>
      <c r="CZ4" s="39" t="str">
        <f>CZ3&amp;Barefoot!$I$2</f>
        <v>CoStep1StanceTimeT5</v>
      </c>
      <c r="DA4" s="39" t="str">
        <f>DA3&amp;Barefoot!$I$2</f>
        <v>CoStep2SwingsideT5</v>
      </c>
      <c r="DB4" s="39" t="str">
        <f>DB3&amp;Barefoot!$I$2</f>
        <v>CoStep2StepLengthT5</v>
      </c>
      <c r="DC4" s="39" t="str">
        <f>DC3&amp;Barefoot!$I$2</f>
        <v>CoStep2StepTimeT5</v>
      </c>
      <c r="DD4" s="39" t="str">
        <f>DD3&amp;Barefoot!$I$2</f>
        <v>CoStep2DoubleSupportTimeT5</v>
      </c>
      <c r="DE4" s="39" t="str">
        <f>DE3&amp;Barefoot!$I$2</f>
        <v>CoStep2StanceTimeT5</v>
      </c>
      <c r="DF4" s="39" t="str">
        <f>DF3&amp;Barefoot!$I$2</f>
        <v>CoStep3SwingsideT5</v>
      </c>
      <c r="DG4" s="39" t="str">
        <f>DG3&amp;Barefoot!$I$2</f>
        <v>CoStep3StepLengthT5</v>
      </c>
      <c r="DH4" s="39" t="str">
        <f>DH3&amp;Barefoot!$I$2</f>
        <v>CoStep3StepTimeT5</v>
      </c>
      <c r="DI4" s="39" t="str">
        <f>DI3&amp;Barefoot!$I$2</f>
        <v>CoStep3DoubleSupportTimeT5</v>
      </c>
      <c r="DJ4" s="39" t="str">
        <f>DJ3&amp;Barefoot!$I$2</f>
        <v>CoStep3StanceTimeT5</v>
      </c>
      <c r="DK4" s="39" t="str">
        <f>DK3&amp;Barefoot!$I$2</f>
        <v>CoStride1SideT5</v>
      </c>
      <c r="DL4" s="39" t="str">
        <f>DL3&amp;Barefoot!$I$2</f>
        <v>CoStride1StrideLengthT5</v>
      </c>
      <c r="DM4" s="39" t="str">
        <f>DM3&amp;Barefoot!$I$2</f>
        <v>CoStride1StrideTimeT5</v>
      </c>
      <c r="DN4" s="39" t="str">
        <f>DN3&amp;Barefoot!$I$2</f>
        <v>CoStride1SwingTimeT5</v>
      </c>
      <c r="DO4" s="39" t="str">
        <f>DO3&amp;Barefoot!$I$2</f>
        <v>CoStride2SideT5</v>
      </c>
      <c r="DP4" s="39" t="str">
        <f>DP3&amp;Barefoot!$I$2</f>
        <v>CoStride2StrideLengthT5</v>
      </c>
      <c r="DQ4" s="39" t="str">
        <f>DQ3&amp;Barefoot!$I$2</f>
        <v>CoStride2StrideTimeT5</v>
      </c>
      <c r="DR4" s="39" t="str">
        <f>DR3&amp;Barefoot!$I$2</f>
        <v>CoStride2SwingTimeT5</v>
      </c>
      <c r="DS4" s="39" t="str">
        <f>DS3&amp;Barefoot!$I$2</f>
        <v>CoStep1SwingsideT6</v>
      </c>
      <c r="DT4" s="39" t="str">
        <f>DT3&amp;Barefoot!$I$2</f>
        <v>CoStep1StepLengthT6</v>
      </c>
      <c r="DU4" s="39" t="str">
        <f>DU3&amp;Barefoot!$I$2</f>
        <v>CoStep1StepTimeT6</v>
      </c>
      <c r="DV4" s="39" t="str">
        <f>DV3&amp;Barefoot!$I$2</f>
        <v>CoStep1DoubleSupportTimeT6</v>
      </c>
      <c r="DW4" s="39" t="str">
        <f>DW3&amp;Barefoot!$I$2</f>
        <v>CoStep1StanceTimeT6</v>
      </c>
      <c r="DX4" s="39" t="str">
        <f>DX3&amp;Barefoot!$I$2</f>
        <v>CoStep2SwingsideT6</v>
      </c>
      <c r="DY4" s="39" t="str">
        <f>DY3&amp;Barefoot!$I$2</f>
        <v>CoStep2StepLengthT6</v>
      </c>
      <c r="DZ4" s="39" t="str">
        <f>DZ3&amp;Barefoot!$I$2</f>
        <v>CoStep2StepTimeT6</v>
      </c>
      <c r="EA4" s="39" t="str">
        <f>EA3&amp;Barefoot!$I$2</f>
        <v>CoStep2DoubleSupportTimeT6</v>
      </c>
      <c r="EB4" s="39" t="str">
        <f>EB3&amp;Barefoot!$I$2</f>
        <v>CoStep2StanceTimeT6</v>
      </c>
      <c r="EC4" s="39" t="str">
        <f>EC3&amp;Barefoot!$I$2</f>
        <v>CoStep3SwingsideT6</v>
      </c>
      <c r="ED4" s="39" t="str">
        <f>ED3&amp;Barefoot!$I$2</f>
        <v>CoStep3StepLengthT6</v>
      </c>
      <c r="EE4" s="39" t="str">
        <f>EE3&amp;Barefoot!$I$2</f>
        <v>CoStep3StepTimeT6</v>
      </c>
      <c r="EF4" s="39" t="str">
        <f>EF3&amp;Barefoot!$I$2</f>
        <v>CoStep3DoubleSupportTimeT6</v>
      </c>
      <c r="EG4" s="39" t="str">
        <f>EG3&amp;Barefoot!$I$2</f>
        <v>CoStep3StanceTimeT6</v>
      </c>
      <c r="EH4" s="39" t="str">
        <f>EH3&amp;Barefoot!$I$2</f>
        <v>CoStride1SideT6</v>
      </c>
      <c r="EI4" s="39" t="str">
        <f>EI3&amp;Barefoot!$I$2</f>
        <v>CoStride1StrideLengthT6</v>
      </c>
      <c r="EJ4" s="39" t="str">
        <f>EJ3&amp;Barefoot!$I$2</f>
        <v>CoStride1StrideTimeT6</v>
      </c>
      <c r="EK4" s="39" t="str">
        <f>EK3&amp;Barefoot!$I$2</f>
        <v>CoStride1SwingTimeT6</v>
      </c>
      <c r="EL4" s="39" t="str">
        <f>EL3&amp;Barefoot!$I$2</f>
        <v>CoStride2SideT6</v>
      </c>
      <c r="EM4" s="39" t="str">
        <f>EM3&amp;Barefoot!$I$2</f>
        <v>CoStride2StrideLengthT6</v>
      </c>
      <c r="EN4" s="39" t="str">
        <f>EN3&amp;Barefoot!$I$2</f>
        <v>CoStride2StrideTimeT6</v>
      </c>
      <c r="EO4" s="39" t="str">
        <f>EO3&amp;Barefoot!$I$2</f>
        <v>CoStride2SwingTimeT6</v>
      </c>
      <c r="EP4" s="39" t="str">
        <f>EP3&amp;Barefoot!$I$2</f>
        <v>CoStep1SwingsideT7</v>
      </c>
      <c r="EQ4" s="39" t="str">
        <f>EQ3&amp;Barefoot!$I$2</f>
        <v>CoStep1StepLengthT7</v>
      </c>
      <c r="ER4" s="39" t="str">
        <f>ER3&amp;Barefoot!$I$2</f>
        <v>CoStep1StepTimeT7</v>
      </c>
      <c r="ES4" s="39" t="str">
        <f>ES3&amp;Barefoot!$I$2</f>
        <v>CoStep1DoubleSupportTimeT7</v>
      </c>
      <c r="ET4" s="39" t="str">
        <f>ET3&amp;Barefoot!$I$2</f>
        <v>CoStep1StanceTimeT7</v>
      </c>
      <c r="EU4" s="39" t="str">
        <f>EU3&amp;Barefoot!$I$2</f>
        <v>CoStep2SwingsideT7</v>
      </c>
      <c r="EV4" s="39" t="str">
        <f>EV3&amp;Barefoot!$I$2</f>
        <v>CoStep2StepLengthT7</v>
      </c>
      <c r="EW4" s="39" t="str">
        <f>EW3&amp;Barefoot!$I$2</f>
        <v>CoStep2StepTimeT7</v>
      </c>
      <c r="EX4" s="39" t="str">
        <f>EX3&amp;Barefoot!$I$2</f>
        <v>CoStep2DoubleSupportTimeT7</v>
      </c>
      <c r="EY4" s="39" t="str">
        <f>EY3&amp;Barefoot!$I$2</f>
        <v>CoStep2StanceTimeT7</v>
      </c>
      <c r="EZ4" s="39" t="str">
        <f>EZ3&amp;Barefoot!$I$2</f>
        <v>CoStep3SwingsideT7</v>
      </c>
      <c r="FA4" s="39" t="str">
        <f>FA3&amp;Barefoot!$I$2</f>
        <v>CoStep3StepLengthT7</v>
      </c>
      <c r="FB4" s="39" t="str">
        <f>FB3&amp;Barefoot!$I$2</f>
        <v>CoStep3StepTimeT7</v>
      </c>
      <c r="FC4" s="39" t="str">
        <f>FC3&amp;Barefoot!$I$2</f>
        <v>CoStep3DoubleSupportTimeT7</v>
      </c>
      <c r="FD4" s="39" t="str">
        <f>FD3&amp;Barefoot!$I$2</f>
        <v>CoStep3StanceTimeT7</v>
      </c>
      <c r="FE4" s="39" t="str">
        <f>FE3&amp;Barefoot!$I$2</f>
        <v>CoStride1SideT7</v>
      </c>
      <c r="FF4" s="39" t="str">
        <f>FF3&amp;Barefoot!$I$2</f>
        <v>CoStride1StrideLengthT7</v>
      </c>
      <c r="FG4" s="39" t="str">
        <f>FG3&amp;Barefoot!$I$2</f>
        <v>CoStride1StrideTimeT7</v>
      </c>
      <c r="FH4" s="39" t="str">
        <f>FH3&amp;Barefoot!$I$2</f>
        <v>CoStride1SwingTimeT7</v>
      </c>
      <c r="FI4" s="39" t="str">
        <f>FI3&amp;Barefoot!$I$2</f>
        <v>CoStride2SideT7</v>
      </c>
      <c r="FJ4" s="39" t="str">
        <f>FJ3&amp;Barefoot!$I$2</f>
        <v>CoStride2StrideLengthT7</v>
      </c>
      <c r="FK4" s="39" t="str">
        <f>FK3&amp;Barefoot!$I$2</f>
        <v>CoStride2StrideTimeT7</v>
      </c>
      <c r="FL4" s="39" t="str">
        <f>FL3&amp;Barefoot!$I$2</f>
        <v>CoStride2SwingTimeT7</v>
      </c>
      <c r="FM4" s="39" t="str">
        <f>FM3&amp;Barefoot!$I$2</f>
        <v>CoStep1SwingsideT8</v>
      </c>
      <c r="FN4" s="39" t="str">
        <f>FN3&amp;Barefoot!$I$2</f>
        <v>CoStep1StepLengthT8</v>
      </c>
      <c r="FO4" s="39" t="str">
        <f>FO3&amp;Barefoot!$I$2</f>
        <v>CoStep1StepTimeT8</v>
      </c>
      <c r="FP4" s="39" t="str">
        <f>FP3&amp;Barefoot!$I$2</f>
        <v>CoStep1DoubleSupportTimeT8</v>
      </c>
      <c r="FQ4" s="39" t="str">
        <f>FQ3&amp;Barefoot!$I$2</f>
        <v>CoStep1StanceTimeT8</v>
      </c>
      <c r="FR4" s="39" t="str">
        <f>FR3&amp;Barefoot!$I$2</f>
        <v>CoStep2SwingsideT8</v>
      </c>
      <c r="FS4" s="39" t="str">
        <f>FS3&amp;Barefoot!$I$2</f>
        <v>CoStep2StepLengthT8</v>
      </c>
      <c r="FT4" s="39" t="str">
        <f>FT3&amp;Barefoot!$I$2</f>
        <v>CoStep2StepTimeT8</v>
      </c>
      <c r="FU4" s="39" t="str">
        <f>FU3&amp;Barefoot!$I$2</f>
        <v>CoStep2DoubleSupportTimeT8</v>
      </c>
      <c r="FV4" s="39" t="str">
        <f>FV3&amp;Barefoot!$I$2</f>
        <v>CoStep2StanceTimeT8</v>
      </c>
      <c r="FW4" s="39" t="str">
        <f>FW3&amp;Barefoot!$I$2</f>
        <v>CoStep3SwingsideT8</v>
      </c>
      <c r="FX4" s="39" t="str">
        <f>FX3&amp;Barefoot!$I$2</f>
        <v>CoStep3StepLengthT8</v>
      </c>
      <c r="FY4" s="39" t="str">
        <f>FY3&amp;Barefoot!$I$2</f>
        <v>CoStep3StepTimeT8</v>
      </c>
      <c r="FZ4" s="39" t="str">
        <f>FZ3&amp;Barefoot!$I$2</f>
        <v>CoStep3DoubleSupportTimeT8</v>
      </c>
      <c r="GA4" s="39" t="str">
        <f>GA3&amp;Barefoot!$I$2</f>
        <v>CoStep3StanceTimeT8</v>
      </c>
      <c r="GB4" s="39" t="str">
        <f>GB3&amp;Barefoot!$I$2</f>
        <v>CoStride1SideT8</v>
      </c>
      <c r="GC4" s="39" t="str">
        <f>GC3&amp;Barefoot!$I$2</f>
        <v>CoStride1StrideLengthT8</v>
      </c>
      <c r="GD4" s="39" t="str">
        <f>GD3&amp;Barefoot!$I$2</f>
        <v>CoStride1StrideTimeT8</v>
      </c>
      <c r="GE4" s="39" t="str">
        <f>GE3&amp;Barefoot!$I$2</f>
        <v>CoStride1SwingTimeT8</v>
      </c>
      <c r="GF4" s="39" t="str">
        <f>GF3&amp;Barefoot!$I$2</f>
        <v>CoStride2SideT8</v>
      </c>
      <c r="GG4" s="39" t="str">
        <f>GG3&amp;Barefoot!$I$2</f>
        <v>CoStride2StrideLengthT8</v>
      </c>
      <c r="GH4" s="39" t="str">
        <f>GH3&amp;Barefoot!$I$2</f>
        <v>CoStride2StrideTimeT8</v>
      </c>
      <c r="GI4" s="39" t="str">
        <f>GI3&amp;Barefoot!$I$2</f>
        <v>CoStride2SwingTimeT8</v>
      </c>
      <c r="GJ4" s="39" t="str">
        <f>GJ3&amp;Barefoot!$I$2</f>
        <v>CoStep1SwingsideT9</v>
      </c>
      <c r="GK4" s="39" t="str">
        <f>GK3&amp;Barefoot!$I$2</f>
        <v>CoStep1StepLengthT9</v>
      </c>
      <c r="GL4" s="39" t="str">
        <f>GL3&amp;Barefoot!$I$2</f>
        <v>CoStep1StepTimeT9</v>
      </c>
      <c r="GM4" s="39" t="str">
        <f>GM3&amp;Barefoot!$I$2</f>
        <v>CoStep1DoubleSupportTimeT9</v>
      </c>
      <c r="GN4" s="39" t="str">
        <f>GN3&amp;Barefoot!$I$2</f>
        <v>CoStep1StanceTimeT9</v>
      </c>
      <c r="GO4" s="39" t="str">
        <f>GO3&amp;Barefoot!$I$2</f>
        <v>CoStep2SwingsideT9</v>
      </c>
      <c r="GP4" s="39" t="str">
        <f>GP3&amp;Barefoot!$I$2</f>
        <v>CoStep2StepLengthT9</v>
      </c>
      <c r="GQ4" s="39" t="str">
        <f>GQ3&amp;Barefoot!$I$2</f>
        <v>CoStep2StepTimeT9</v>
      </c>
      <c r="GR4" s="39" t="str">
        <f>GR3&amp;Barefoot!$I$2</f>
        <v>CoStep2DoubleSupportTimeT9</v>
      </c>
      <c r="GS4" s="39" t="str">
        <f>GS3&amp;Barefoot!$I$2</f>
        <v>CoStep2StanceTimeT9</v>
      </c>
      <c r="GT4" s="39" t="str">
        <f>GT3&amp;Barefoot!$I$2</f>
        <v>CoStep3SwingsideT9</v>
      </c>
      <c r="GU4" s="39" t="str">
        <f>GU3&amp;Barefoot!$I$2</f>
        <v>CoStep3StepLengthT9</v>
      </c>
      <c r="GV4" s="39" t="str">
        <f>GV3&amp;Barefoot!$I$2</f>
        <v>CoStep3StepTimeT9</v>
      </c>
      <c r="GW4" s="39" t="str">
        <f>GW3&amp;Barefoot!$I$2</f>
        <v>CoStep3DoubleSupportTimeT9</v>
      </c>
      <c r="GX4" s="39" t="str">
        <f>GX3&amp;Barefoot!$I$2</f>
        <v>CoStep3StanceTimeT9</v>
      </c>
      <c r="GY4" s="39" t="str">
        <f>GY3&amp;Barefoot!$I$2</f>
        <v>CoStride1SideT9</v>
      </c>
      <c r="GZ4" s="39" t="str">
        <f>GZ3&amp;Barefoot!$I$2</f>
        <v>CoStride1StrideLengthT9</v>
      </c>
      <c r="HA4" s="39" t="str">
        <f>HA3&amp;Barefoot!$I$2</f>
        <v>CoStride1StrideTimeT9</v>
      </c>
      <c r="HB4" s="39" t="str">
        <f>HB3&amp;Barefoot!$I$2</f>
        <v>CoStride1SwingTimeT9</v>
      </c>
      <c r="HC4" s="39" t="str">
        <f>HC3&amp;Barefoot!$I$2</f>
        <v>CoStride2SideT9</v>
      </c>
      <c r="HD4" s="39" t="str">
        <f>HD3&amp;Barefoot!$I$2</f>
        <v>CoStride2StrideLengthT9</v>
      </c>
      <c r="HE4" s="39" t="str">
        <f>HE3&amp;Barefoot!$I$2</f>
        <v>CoStride2StrideTimeT9</v>
      </c>
      <c r="HF4" s="39" t="str">
        <f>HF3&amp;Barefoot!$I$2</f>
        <v>CoStride2SwingTimeT9</v>
      </c>
      <c r="HG4" s="39" t="str">
        <f>HG3&amp;Barefoot!$I$2</f>
        <v>CoStep1SwingsideT10</v>
      </c>
      <c r="HH4" s="39" t="str">
        <f>HH3&amp;Barefoot!$I$2</f>
        <v>CoStep1StepLengthT10</v>
      </c>
      <c r="HI4" s="39" t="str">
        <f>HI3&amp;Barefoot!$I$2</f>
        <v>CoStep1StepTimeT10</v>
      </c>
      <c r="HJ4" s="39" t="str">
        <f>HJ3&amp;Barefoot!$I$2</f>
        <v>CoStep1DoubleSupportTimeT10</v>
      </c>
      <c r="HK4" s="39" t="str">
        <f>HK3&amp;Barefoot!$I$2</f>
        <v>CoStep1StanceTimeT10</v>
      </c>
      <c r="HL4" s="39" t="str">
        <f>HL3&amp;Barefoot!$I$2</f>
        <v>CoStep2SwingsideT10</v>
      </c>
      <c r="HM4" s="39" t="str">
        <f>HM3&amp;Barefoot!$I$2</f>
        <v>CoStep2StepLengthT10</v>
      </c>
      <c r="HN4" s="39" t="str">
        <f>HN3&amp;Barefoot!$I$2</f>
        <v>CoStep2StepTimeT10</v>
      </c>
      <c r="HO4" s="39" t="str">
        <f>HO3&amp;Barefoot!$I$2</f>
        <v>CoStep2DoubleSupportTimeT10</v>
      </c>
      <c r="HP4" s="39" t="str">
        <f>HP3&amp;Barefoot!$I$2</f>
        <v>CoStep2StanceTimeT10</v>
      </c>
      <c r="HQ4" s="39" t="str">
        <f>HQ3&amp;Barefoot!$I$2</f>
        <v>CoStep3SwingsideT10</v>
      </c>
      <c r="HR4" s="39" t="str">
        <f>HR3&amp;Barefoot!$I$2</f>
        <v>CoStep3StepLengthT10</v>
      </c>
      <c r="HS4" s="39" t="str">
        <f>HS3&amp;Barefoot!$I$2</f>
        <v>CoStep3StepTimeT10</v>
      </c>
      <c r="HT4" s="39" t="str">
        <f>HT3&amp;Barefoot!$I$2</f>
        <v>CoStep3DoubleSupportTimeT10</v>
      </c>
      <c r="HU4" s="39" t="str">
        <f>HU3&amp;Barefoot!$I$2</f>
        <v>CoStep3StanceTimeT10</v>
      </c>
      <c r="HV4" s="39" t="str">
        <f>HV3&amp;Barefoot!$I$2</f>
        <v>CoStride1SideT10</v>
      </c>
      <c r="HW4" s="39" t="str">
        <f>HW3&amp;Barefoot!$I$2</f>
        <v>CoStride1StrideLengthT10</v>
      </c>
      <c r="HX4" s="39" t="str">
        <f>HX3&amp;Barefoot!$I$2</f>
        <v>CoStride1StrideTimeT10</v>
      </c>
      <c r="HY4" s="39" t="str">
        <f>HY3&amp;Barefoot!$I$2</f>
        <v>CoStride1SwingTimeT10</v>
      </c>
      <c r="HZ4" s="39" t="str">
        <f>HZ3&amp;Barefoot!$I$2</f>
        <v>CoStride2SideT10</v>
      </c>
      <c r="IA4" s="39" t="str">
        <f>IA3&amp;Barefoot!$I$2</f>
        <v>CoStride2StrideLengthT10</v>
      </c>
      <c r="IB4" s="39" t="str">
        <f>IB3&amp;Barefoot!$I$2</f>
        <v>CoStride2StrideTimeT10</v>
      </c>
      <c r="IC4" s="39" t="str">
        <f>IC3&amp;Barefoot!$I$2</f>
        <v>CoStride2SwingTimeT10</v>
      </c>
      <c r="ID4" s="39" t="str">
        <f>ID3&amp;Barefoot!$I$2</f>
        <v>CoStep1SwingsideT11</v>
      </c>
      <c r="IE4" s="39" t="str">
        <f>IE3&amp;Barefoot!$I$2</f>
        <v>CoStep1StepLengthT11</v>
      </c>
      <c r="IF4" s="39" t="str">
        <f>IF3&amp;Barefoot!$I$2</f>
        <v>CoStep1StepTimeT11</v>
      </c>
      <c r="IG4" s="39" t="str">
        <f>IG3&amp;Barefoot!$I$2</f>
        <v>CoStep1DoubleSupportTimeT11</v>
      </c>
      <c r="IH4" s="39" t="str">
        <f>IH3&amp;Barefoot!$I$2</f>
        <v>CoStep1StanceTimeT11</v>
      </c>
      <c r="II4" s="39" t="str">
        <f>II3&amp;Barefoot!$I$2</f>
        <v>CoStep2SwingsideT11</v>
      </c>
      <c r="IJ4" s="39" t="str">
        <f>IJ3&amp;Barefoot!$I$2</f>
        <v>CoStep2StepLengthT11</v>
      </c>
      <c r="IK4" s="39" t="str">
        <f>IK3&amp;Barefoot!$I$2</f>
        <v>CoStep2StepTimeT11</v>
      </c>
      <c r="IL4" s="39" t="str">
        <f>IL3&amp;Barefoot!$I$2</f>
        <v>CoStep2DoubleSupportTimeT11</v>
      </c>
      <c r="IM4" s="39" t="str">
        <f>IM3&amp;Barefoot!$I$2</f>
        <v>CoStep2StanceTimeT11</v>
      </c>
      <c r="IN4" s="39" t="str">
        <f>IN3&amp;Barefoot!$I$2</f>
        <v>CoStep3SwingsideT11</v>
      </c>
      <c r="IO4" s="39" t="str">
        <f>IO3&amp;Barefoot!$I$2</f>
        <v>CoStep3StepLengthT11</v>
      </c>
      <c r="IP4" s="39" t="str">
        <f>IP3&amp;Barefoot!$I$2</f>
        <v>CoStep3StepTimeT11</v>
      </c>
      <c r="IQ4" s="39" t="str">
        <f>IQ3&amp;Barefoot!$I$2</f>
        <v>CoStep3DoubleSupportTimeT11</v>
      </c>
      <c r="IR4" s="39" t="str">
        <f>IR3&amp;Barefoot!$I$2</f>
        <v>CoStep3StanceTimeT11</v>
      </c>
      <c r="IS4" s="39" t="str">
        <f>IS3&amp;Barefoot!$I$2</f>
        <v>CoStride1SideT11</v>
      </c>
      <c r="IT4" s="39" t="str">
        <f>IT3&amp;Barefoot!$I$2</f>
        <v>CoStride1StrideLengthT11</v>
      </c>
      <c r="IU4" s="39" t="str">
        <f>IU3&amp;Barefoot!$I$2</f>
        <v>CoStride1StrideTimeT11</v>
      </c>
      <c r="IV4" s="39" t="str">
        <f>IV3&amp;Barefoot!$I$2</f>
        <v>CoStride1SwingTimeT11</v>
      </c>
      <c r="IW4" s="39" t="str">
        <f>IW3&amp;Barefoot!$I$2</f>
        <v>CoStride2SideT11</v>
      </c>
      <c r="IX4" s="39" t="str">
        <f>IX3&amp;Barefoot!$I$2</f>
        <v>CoStride2StrideLengthT11</v>
      </c>
      <c r="IY4" s="39" t="str">
        <f>IY3&amp;Barefoot!$I$2</f>
        <v>CoStride2StrideTimeT11</v>
      </c>
      <c r="IZ4" s="39" t="str">
        <f>IZ3&amp;Barefoot!$I$2</f>
        <v>CoStride2SwingTimeT11</v>
      </c>
      <c r="JA4" s="39" t="str">
        <f>JA3&amp;Barefoot!$I$2</f>
        <v>CoStep1SwingsideT12</v>
      </c>
      <c r="JB4" s="39" t="str">
        <f>JB3&amp;Barefoot!$I$2</f>
        <v>CoStep1StepLengthT12</v>
      </c>
      <c r="JC4" s="39" t="str">
        <f>JC3&amp;Barefoot!$I$2</f>
        <v>CoStep1StepTimeT12</v>
      </c>
      <c r="JD4" s="39" t="str">
        <f>JD3&amp;Barefoot!$I$2</f>
        <v>CoStep1DoubleSupportTimeT12</v>
      </c>
      <c r="JE4" s="39" t="str">
        <f>JE3&amp;Barefoot!$I$2</f>
        <v>CoStep1StanceTimeT12</v>
      </c>
      <c r="JF4" s="39" t="str">
        <f>JF3&amp;Barefoot!$I$2</f>
        <v>CoStep2SwingsideT12</v>
      </c>
      <c r="JG4" s="39" t="str">
        <f>JG3&amp;Barefoot!$I$2</f>
        <v>CoStep2StepLengthT12</v>
      </c>
      <c r="JH4" s="39" t="str">
        <f>JH3&amp;Barefoot!$I$2</f>
        <v>CoStep2StepTimeT12</v>
      </c>
      <c r="JI4" s="39" t="str">
        <f>JI3&amp;Barefoot!$I$2</f>
        <v>CoStep2DoubleSupportTimeT12</v>
      </c>
      <c r="JJ4" s="39" t="str">
        <f>JJ3&amp;Barefoot!$I$2</f>
        <v>CoStep2StanceTimeT12</v>
      </c>
      <c r="JK4" s="39" t="str">
        <f>JK3&amp;Barefoot!$I$2</f>
        <v>CoStep3SwingsideT12</v>
      </c>
      <c r="JL4" s="39" t="str">
        <f>JL3&amp;Barefoot!$I$2</f>
        <v>CoStep3StepLengthT12</v>
      </c>
      <c r="JM4" s="39" t="str">
        <f>JM3&amp;Barefoot!$I$2</f>
        <v>CoStep3StepTimeT12</v>
      </c>
      <c r="JN4" s="39" t="str">
        <f>JN3&amp;Barefoot!$I$2</f>
        <v>CoStep3DoubleSupportTimeT12</v>
      </c>
      <c r="JO4" s="39" t="str">
        <f>JO3&amp;Barefoot!$I$2</f>
        <v>CoStep3StanceTimeT12</v>
      </c>
      <c r="JP4" s="39" t="str">
        <f>JP3&amp;Barefoot!$I$2</f>
        <v>CoStride1SideT12</v>
      </c>
      <c r="JQ4" s="39" t="str">
        <f>JQ3&amp;Barefoot!$I$2</f>
        <v>CoStride1StrideLengthT12</v>
      </c>
      <c r="JR4" s="39" t="str">
        <f>JR3&amp;Barefoot!$I$2</f>
        <v>CoStride1StrideTimeT12</v>
      </c>
      <c r="JS4" s="39" t="str">
        <f>JS3&amp;Barefoot!$I$2</f>
        <v>CoStride1SwingTimeT12</v>
      </c>
      <c r="JT4" s="39" t="str">
        <f>JT3&amp;Barefoot!$I$2</f>
        <v>CoStride2SideT12</v>
      </c>
      <c r="JU4" s="39" t="str">
        <f>JU3&amp;Barefoot!$I$2</f>
        <v>CoStride2StrideLengthT12</v>
      </c>
      <c r="JV4" s="39" t="str">
        <f>JV3&amp;Barefoot!$I$2</f>
        <v>CoStride2StrideTimeT12</v>
      </c>
      <c r="JW4" s="39" t="str">
        <f>JW3&amp;Barefoot!$I$2</f>
        <v>CoStride2SwingTimeT12</v>
      </c>
      <c r="JX4" s="39" t="str">
        <f>JX3&amp;Barefoot!$I$2</f>
        <v>CoStep1SwingsideT13</v>
      </c>
      <c r="JY4" s="39" t="str">
        <f>JY3&amp;Barefoot!$I$2</f>
        <v>CoStep1StepLengthT13</v>
      </c>
      <c r="JZ4" s="39" t="str">
        <f>JZ3&amp;Barefoot!$I$2</f>
        <v>CoStep1StepTimeT13</v>
      </c>
      <c r="KA4" s="39" t="str">
        <f>KA3&amp;Barefoot!$I$2</f>
        <v>CoStep1DoubleSupportTimeT13</v>
      </c>
      <c r="KB4" s="39" t="str">
        <f>KB3&amp;Barefoot!$I$2</f>
        <v>CoStep1StanceTimeT13</v>
      </c>
      <c r="KC4" s="39" t="str">
        <f>KC3&amp;Barefoot!$I$2</f>
        <v>CoStep2SwingsideT13</v>
      </c>
      <c r="KD4" s="39" t="str">
        <f>KD3&amp;Barefoot!$I$2</f>
        <v>CoStep2StepLengthT13</v>
      </c>
      <c r="KE4" s="39" t="str">
        <f>KE3&amp;Barefoot!$I$2</f>
        <v>CoStep2StepTimeT13</v>
      </c>
      <c r="KF4" s="39" t="str">
        <f>KF3&amp;Barefoot!$I$2</f>
        <v>CoStep2DoubleSupportTimeT13</v>
      </c>
      <c r="KG4" s="39" t="str">
        <f>KG3&amp;Barefoot!$I$2</f>
        <v>CoStep2StanceTimeT13</v>
      </c>
      <c r="KH4" s="39" t="str">
        <f>KH3&amp;Barefoot!$I$2</f>
        <v>CoStep3SwingsideT13</v>
      </c>
      <c r="KI4" s="39" t="str">
        <f>KI3&amp;Barefoot!$I$2</f>
        <v>CoStep3StepLengthT13</v>
      </c>
      <c r="KJ4" s="39" t="str">
        <f>KJ3&amp;Barefoot!$I$2</f>
        <v>CoStep3StepTimeT13</v>
      </c>
      <c r="KK4" s="39" t="str">
        <f>KK3&amp;Barefoot!$I$2</f>
        <v>CoStep3DoubleSupportTimeT13</v>
      </c>
      <c r="KL4" s="39" t="str">
        <f>KL3&amp;Barefoot!$I$2</f>
        <v>CoStep3StanceTimeT13</v>
      </c>
      <c r="KM4" s="39" t="str">
        <f>KM3&amp;Barefoot!$I$2</f>
        <v>CoStride1SideT13</v>
      </c>
      <c r="KN4" s="39" t="str">
        <f>KN3&amp;Barefoot!$I$2</f>
        <v>CoStride1StrideLengthT13</v>
      </c>
      <c r="KO4" s="39" t="str">
        <f>KO3&amp;Barefoot!$I$2</f>
        <v>CoStride1StrideTimeT13</v>
      </c>
      <c r="KP4" s="39" t="str">
        <f>KP3&amp;Barefoot!$I$2</f>
        <v>CoStride1SwingTimeT13</v>
      </c>
      <c r="KQ4" s="39" t="str">
        <f>KQ3&amp;Barefoot!$I$2</f>
        <v>CoStride2SideT13</v>
      </c>
      <c r="KR4" s="39" t="str">
        <f>KR3&amp;Barefoot!$I$2</f>
        <v>CoStride2StrideLengthT13</v>
      </c>
      <c r="KS4" s="39" t="str">
        <f>KS3&amp;Barefoot!$I$2</f>
        <v>CoStride2StrideTimeT13</v>
      </c>
      <c r="KT4" s="39" t="str">
        <f>KT3&amp;Barefoot!$I$2</f>
        <v>CoStride2SwingTimeT13</v>
      </c>
      <c r="KU4" s="39" t="str">
        <f>KU3&amp;Barefoot!$I$2</f>
        <v>CoStep1SwingsideT14</v>
      </c>
      <c r="KV4" s="39" t="str">
        <f>KV3&amp;Barefoot!$I$2</f>
        <v>CoStep1StepLengthT14</v>
      </c>
      <c r="KW4" s="39" t="str">
        <f>KW3&amp;Barefoot!$I$2</f>
        <v>CoStep1StepTimeT14</v>
      </c>
      <c r="KX4" s="39" t="str">
        <f>KX3&amp;Barefoot!$I$2</f>
        <v>CoStep1DoubleSupportTimeT14</v>
      </c>
      <c r="KY4" s="39" t="str">
        <f>KY3&amp;Barefoot!$I$2</f>
        <v>CoStep1StanceTimeT14</v>
      </c>
      <c r="KZ4" s="39" t="str">
        <f>KZ3&amp;Barefoot!$I$2</f>
        <v>CoStep2SwingsideT14</v>
      </c>
      <c r="LA4" s="39" t="str">
        <f>LA3&amp;Barefoot!$I$2</f>
        <v>CoStep2StepLengthT14</v>
      </c>
      <c r="LB4" s="39" t="str">
        <f>LB3&amp;Barefoot!$I$2</f>
        <v>CoStep2StepTimeT14</v>
      </c>
      <c r="LC4" s="39" t="str">
        <f>LC3&amp;Barefoot!$I$2</f>
        <v>CoStep2DoubleSupportTimeT14</v>
      </c>
      <c r="LD4" s="39" t="str">
        <f>LD3&amp;Barefoot!$I$2</f>
        <v>CoStep2StanceTimeT14</v>
      </c>
      <c r="LE4" s="39" t="str">
        <f>LE3&amp;Barefoot!$I$2</f>
        <v>CoStep3SwingsideT14</v>
      </c>
      <c r="LF4" s="39" t="str">
        <f>LF3&amp;Barefoot!$I$2</f>
        <v>CoStep3StepLengthT14</v>
      </c>
      <c r="LG4" s="39" t="str">
        <f>LG3&amp;Barefoot!$I$2</f>
        <v>CoStep3StepTimeT14</v>
      </c>
      <c r="LH4" s="39" t="str">
        <f>LH3&amp;Barefoot!$I$2</f>
        <v>CoStep3DoubleSupportTimeT14</v>
      </c>
      <c r="LI4" s="39" t="str">
        <f>LI3&amp;Barefoot!$I$2</f>
        <v>CoStep3StanceTimeT14</v>
      </c>
      <c r="LJ4" s="39" t="str">
        <f>LJ3&amp;Barefoot!$I$2</f>
        <v>CoStride1SideT14</v>
      </c>
      <c r="LK4" s="39" t="str">
        <f>LK3&amp;Barefoot!$I$2</f>
        <v>CoStride1StrideLengthT14</v>
      </c>
      <c r="LL4" s="39" t="str">
        <f>LL3&amp;Barefoot!$I$2</f>
        <v>CoStride1StrideTimeT14</v>
      </c>
      <c r="LM4" s="39" t="str">
        <f>LM3&amp;Barefoot!$I$2</f>
        <v>CoStride1SwingTimeT14</v>
      </c>
      <c r="LN4" s="39" t="str">
        <f>LN3&amp;Barefoot!$I$2</f>
        <v>CoStride2SideT14</v>
      </c>
      <c r="LO4" s="39" t="str">
        <f>LO3&amp;Barefoot!$I$2</f>
        <v>CoStride2StrideLengthT14</v>
      </c>
      <c r="LP4" s="39" t="str">
        <f>LP3&amp;Barefoot!$I$2</f>
        <v>CoStride2StrideTimeT14</v>
      </c>
      <c r="LQ4" s="39" t="str">
        <f>LQ3&amp;Barefoot!$I$2</f>
        <v>CoStride2SwingTimeT14</v>
      </c>
      <c r="LR4" s="39" t="str">
        <f>LR3&amp;Barefoot!$I$2</f>
        <v>CoStep1SwingsideT15</v>
      </c>
      <c r="LS4" s="39" t="str">
        <f>LS3&amp;Barefoot!$I$2</f>
        <v>CoStep1StepLengthT15</v>
      </c>
      <c r="LT4" s="39" t="str">
        <f>LT3&amp;Barefoot!$I$2</f>
        <v>CoStep1StepTimeT15</v>
      </c>
      <c r="LU4" s="39" t="str">
        <f>LU3&amp;Barefoot!$I$2</f>
        <v>CoStep1DoubleSupportTimeT15</v>
      </c>
      <c r="LV4" s="39" t="str">
        <f>LV3&amp;Barefoot!$I$2</f>
        <v>CoStep1StanceTimeT15</v>
      </c>
      <c r="LW4" s="39" t="str">
        <f>LW3&amp;Barefoot!$I$2</f>
        <v>CoStep2SwingsideT15</v>
      </c>
      <c r="LX4" s="39" t="str">
        <f>LX3&amp;Barefoot!$I$2</f>
        <v>CoStep2StepLengthT15</v>
      </c>
      <c r="LY4" s="39" t="str">
        <f>LY3&amp;Barefoot!$I$2</f>
        <v>CoStep2StepTimeT15</v>
      </c>
      <c r="LZ4" s="39" t="str">
        <f>LZ3&amp;Barefoot!$I$2</f>
        <v>CoStep2DoubleSupportTimeT15</v>
      </c>
      <c r="MA4" s="39" t="str">
        <f>MA3&amp;Barefoot!$I$2</f>
        <v>CoStep2StanceTimeT15</v>
      </c>
      <c r="MB4" s="39" t="str">
        <f>MB3&amp;Barefoot!$I$2</f>
        <v>CoStep3SwingsideT15</v>
      </c>
      <c r="MC4" s="39" t="str">
        <f>MC3&amp;Barefoot!$I$2</f>
        <v>CoStep3StepLengthT15</v>
      </c>
      <c r="MD4" s="39" t="str">
        <f>MD3&amp;Barefoot!$I$2</f>
        <v>CoStep3StepTimeT15</v>
      </c>
      <c r="ME4" s="39" t="str">
        <f>ME3&amp;Barefoot!$I$2</f>
        <v>CoStep3DoubleSupportTimeT15</v>
      </c>
      <c r="MF4" s="39" t="str">
        <f>MF3&amp;Barefoot!$I$2</f>
        <v>CoStep3StanceTimeT15</v>
      </c>
      <c r="MG4" s="39" t="str">
        <f>MG3&amp;Barefoot!$I$2</f>
        <v>CoStride1SideT15</v>
      </c>
      <c r="MH4" s="39" t="str">
        <f>MH3&amp;Barefoot!$I$2</f>
        <v>CoStride1StrideLengthT15</v>
      </c>
      <c r="MI4" s="39" t="str">
        <f>MI3&amp;Barefoot!$I$2</f>
        <v>CoStride1StrideTimeT15</v>
      </c>
      <c r="MJ4" s="39" t="str">
        <f>MJ3&amp;Barefoot!$I$2</f>
        <v>CoStride1SwingTimeT15</v>
      </c>
      <c r="MK4" s="39" t="str">
        <f>MK3&amp;Barefoot!$I$2</f>
        <v>CoStride2SideT15</v>
      </c>
      <c r="ML4" s="39" t="str">
        <f>ML3&amp;Barefoot!$I$2</f>
        <v>CoStride2StrideLengthT15</v>
      </c>
      <c r="MM4" s="39" t="str">
        <f>MM3&amp;Barefoot!$I$2</f>
        <v>CoStride2StrideTimeT15</v>
      </c>
      <c r="MN4" s="39" t="str">
        <f>MN3&amp;Barefoot!$I$2</f>
        <v>CoStride2SwingTimeT15</v>
      </c>
      <c r="MO4" s="39" t="str">
        <f>MO3&amp;Barefoot!$I$2</f>
        <v>CoStep1SwingsideT16</v>
      </c>
      <c r="MP4" s="39" t="str">
        <f>MP3&amp;Barefoot!$I$2</f>
        <v>CoStep1StepLengthT16</v>
      </c>
      <c r="MQ4" s="39" t="str">
        <f>MQ3&amp;Barefoot!$I$2</f>
        <v>CoStep1StepTimeT16</v>
      </c>
      <c r="MR4" s="39" t="str">
        <f>MR3&amp;Barefoot!$I$2</f>
        <v>CoStep1DoubleSupportTimeT16</v>
      </c>
      <c r="MS4" s="39" t="str">
        <f>MS3&amp;Barefoot!$I$2</f>
        <v>CoStep1StanceTimeT16</v>
      </c>
      <c r="MT4" s="39" t="str">
        <f>MT3&amp;Barefoot!$I$2</f>
        <v>CoStep2SwingsideT16</v>
      </c>
      <c r="MU4" s="39" t="str">
        <f>MU3&amp;Barefoot!$I$2</f>
        <v>CoStep2StepLengthT16</v>
      </c>
      <c r="MV4" s="39" t="str">
        <f>MV3&amp;Barefoot!$I$2</f>
        <v>CoStep2StepTimeT16</v>
      </c>
      <c r="MW4" s="39" t="str">
        <f>MW3&amp;Barefoot!$I$2</f>
        <v>CoStep2DoubleSupportTimeT16</v>
      </c>
      <c r="MX4" s="39" t="str">
        <f>MX3&amp;Barefoot!$I$2</f>
        <v>CoStep2StanceTimeT16</v>
      </c>
      <c r="MY4" s="39" t="str">
        <f>MY3&amp;Barefoot!$I$2</f>
        <v>CoStep3SwingsideT16</v>
      </c>
      <c r="MZ4" s="39" t="str">
        <f>MZ3&amp;Barefoot!$I$2</f>
        <v>CoStep3StepLengthT16</v>
      </c>
      <c r="NA4" s="39" t="str">
        <f>NA3&amp;Barefoot!$I$2</f>
        <v>CoStep3StepTimeT16</v>
      </c>
      <c r="NB4" s="39" t="str">
        <f>NB3&amp;Barefoot!$I$2</f>
        <v>CoStep3DoubleSupportTimeT16</v>
      </c>
      <c r="NC4" s="39" t="str">
        <f>NC3&amp;Barefoot!$I$2</f>
        <v>CoStep3StanceTimeT16</v>
      </c>
      <c r="ND4" s="39" t="str">
        <f>ND3&amp;Barefoot!$I$2</f>
        <v>CoStride1SideT16</v>
      </c>
      <c r="NE4" s="39" t="str">
        <f>NE3&amp;Barefoot!$I$2</f>
        <v>CoStride1StrideLengthT16</v>
      </c>
      <c r="NF4" s="39" t="str">
        <f>NF3&amp;Barefoot!$I$2</f>
        <v>CoStride1StrideTimeT16</v>
      </c>
      <c r="NG4" s="39" t="str">
        <f>NG3&amp;Barefoot!$I$2</f>
        <v>CoStride1SwingTimeT16</v>
      </c>
      <c r="NH4" s="39" t="str">
        <f>NH3&amp;Barefoot!$I$2</f>
        <v>CoStride2SideT16</v>
      </c>
      <c r="NI4" s="39" t="str">
        <f>NI3&amp;Barefoot!$I$2</f>
        <v>CoStride2StrideLengthT16</v>
      </c>
      <c r="NJ4" s="39" t="str">
        <f>NJ3&amp;Barefoot!$I$2</f>
        <v>CoStride2StrideTimeT16</v>
      </c>
      <c r="NK4" s="39" t="str">
        <f>NK3&amp;Barefoot!$I$2</f>
        <v>CoStride2SwingTimeT16</v>
      </c>
      <c r="NL4" s="39" t="str">
        <f>NL3&amp;Barefoot!$I$2</f>
        <v>CoStep1SwingsideT17</v>
      </c>
      <c r="NM4" s="39" t="str">
        <f>NM3&amp;Barefoot!$I$2</f>
        <v>CoStep1StepLengthT17</v>
      </c>
      <c r="NN4" s="39" t="str">
        <f>NN3&amp;Barefoot!$I$2</f>
        <v>CoStep1StepTimeT17</v>
      </c>
      <c r="NO4" s="39" t="str">
        <f>NO3&amp;Barefoot!$I$2</f>
        <v>CoStep1DoubleSupportTimeT17</v>
      </c>
      <c r="NP4" s="39" t="str">
        <f>NP3&amp;Barefoot!$I$2</f>
        <v>CoStep1StanceTimeT17</v>
      </c>
      <c r="NQ4" s="39" t="str">
        <f>NQ3&amp;Barefoot!$I$2</f>
        <v>CoStep2SwingsideT17</v>
      </c>
      <c r="NR4" s="39" t="str">
        <f>NR3&amp;Barefoot!$I$2</f>
        <v>CoStep2StepLengthT17</v>
      </c>
      <c r="NS4" s="39" t="str">
        <f>NS3&amp;Barefoot!$I$2</f>
        <v>CoStep2StepTimeT17</v>
      </c>
      <c r="NT4" s="39" t="str">
        <f>NT3&amp;Barefoot!$I$2</f>
        <v>CoStep2DoubleSupportTimeT17</v>
      </c>
      <c r="NU4" s="39" t="str">
        <f>NU3&amp;Barefoot!$I$2</f>
        <v>CoStep2StanceTimeT17</v>
      </c>
      <c r="NV4" s="39" t="str">
        <f>NV3&amp;Barefoot!$I$2</f>
        <v>CoStep3SwingsideT17</v>
      </c>
      <c r="NW4" s="39" t="str">
        <f>NW3&amp;Barefoot!$I$2</f>
        <v>CoStep3StepLengthT17</v>
      </c>
      <c r="NX4" s="39" t="str">
        <f>NX3&amp;Barefoot!$I$2</f>
        <v>CoStep3StepTimeT17</v>
      </c>
      <c r="NY4" s="39" t="str">
        <f>NY3&amp;Barefoot!$I$2</f>
        <v>CoStep3DoubleSupportTimeT17</v>
      </c>
      <c r="NZ4" s="39" t="str">
        <f>NZ3&amp;Barefoot!$I$2</f>
        <v>CoStep3StanceTimeT17</v>
      </c>
      <c r="OA4" s="39" t="str">
        <f>OA3&amp;Barefoot!$I$2</f>
        <v>CoStride1SideT17</v>
      </c>
      <c r="OB4" s="39" t="str">
        <f>OB3&amp;Barefoot!$I$2</f>
        <v>CoStride1StrideLengthT17</v>
      </c>
      <c r="OC4" s="39" t="str">
        <f>OC3&amp;Barefoot!$I$2</f>
        <v>CoStride1StrideTimeT17</v>
      </c>
      <c r="OD4" s="39" t="str">
        <f>OD3&amp;Barefoot!$I$2</f>
        <v>CoStride1SwingTimeT17</v>
      </c>
      <c r="OE4" s="39" t="str">
        <f>OE3&amp;Barefoot!$I$2</f>
        <v>CoStride2SideT17</v>
      </c>
      <c r="OF4" s="39" t="str">
        <f>OF3&amp;Barefoot!$I$2</f>
        <v>CoStride2StrideLengthT17</v>
      </c>
      <c r="OG4" s="39" t="str">
        <f>OG3&amp;Barefoot!$I$2</f>
        <v>CoStride2StrideTimeT17</v>
      </c>
      <c r="OH4" s="39" t="str">
        <f>OH3&amp;Barefoot!$I$2</f>
        <v>CoStride2SwingTimeT17</v>
      </c>
      <c r="OI4" s="39" t="str">
        <f>OI3&amp;Barefoot!$I$2</f>
        <v>CoStep1SwingsideT18</v>
      </c>
      <c r="OJ4" s="39" t="str">
        <f>OJ3&amp;Barefoot!$I$2</f>
        <v>CoStep1StepLengthT18</v>
      </c>
      <c r="OK4" s="39" t="str">
        <f>OK3&amp;Barefoot!$I$2</f>
        <v>CoStep1StepTimeT18</v>
      </c>
      <c r="OL4" s="39" t="str">
        <f>OL3&amp;Barefoot!$I$2</f>
        <v>CoStep1DoubleSupportTimeT18</v>
      </c>
      <c r="OM4" s="39" t="str">
        <f>OM3&amp;Barefoot!$I$2</f>
        <v>CoStep1StanceTimeT18</v>
      </c>
      <c r="ON4" s="39" t="str">
        <f>ON3&amp;Barefoot!$I$2</f>
        <v>CoStep2SwingsideT18</v>
      </c>
      <c r="OO4" s="39" t="str">
        <f>OO3&amp;Barefoot!$I$2</f>
        <v>CoStep2StepLengthT18</v>
      </c>
      <c r="OP4" s="39" t="str">
        <f>OP3&amp;Barefoot!$I$2</f>
        <v>CoStep2StepTimeT18</v>
      </c>
      <c r="OQ4" s="39" t="str">
        <f>OQ3&amp;Barefoot!$I$2</f>
        <v>CoStep2DoubleSupportTimeT18</v>
      </c>
      <c r="OR4" s="39" t="str">
        <f>OR3&amp;Barefoot!$I$2</f>
        <v>CoStep2StanceTimeT18</v>
      </c>
      <c r="OS4" s="39" t="str">
        <f>OS3&amp;Barefoot!$I$2</f>
        <v>CoStep3SwingsideT18</v>
      </c>
      <c r="OT4" s="39" t="str">
        <f>OT3&amp;Barefoot!$I$2</f>
        <v>CoStep3StepLengthT18</v>
      </c>
      <c r="OU4" s="39" t="str">
        <f>OU3&amp;Barefoot!$I$2</f>
        <v>CoStep3StepTimeT18</v>
      </c>
      <c r="OV4" s="39" t="str">
        <f>OV3&amp;Barefoot!$I$2</f>
        <v>CoStep3DoubleSupportTimeT18</v>
      </c>
      <c r="OW4" s="39" t="str">
        <f>OW3&amp;Barefoot!$I$2</f>
        <v>CoStep3StanceTimeT18</v>
      </c>
      <c r="OX4" s="39" t="str">
        <f>OX3&amp;Barefoot!$I$2</f>
        <v>CoStride1SideT18</v>
      </c>
      <c r="OY4" s="39" t="str">
        <f>OY3&amp;Barefoot!$I$2</f>
        <v>CoStride1StrideLengthT18</v>
      </c>
      <c r="OZ4" s="39" t="str">
        <f>OZ3&amp;Barefoot!$I$2</f>
        <v>CoStride1StrideTimeT18</v>
      </c>
      <c r="PA4" s="39" t="str">
        <f>PA3&amp;Barefoot!$I$2</f>
        <v>CoStride1SwingTimeT18</v>
      </c>
      <c r="PB4" s="39" t="str">
        <f>PB3&amp;Barefoot!$I$2</f>
        <v>CoStride2SideT18</v>
      </c>
      <c r="PC4" s="39" t="str">
        <f>PC3&amp;Barefoot!$I$2</f>
        <v>CoStride2StrideLengthT18</v>
      </c>
      <c r="PD4" s="39" t="str">
        <f>PD3&amp;Barefoot!$I$2</f>
        <v>CoStride2StrideTimeT18</v>
      </c>
      <c r="PE4" s="39" t="str">
        <f>PE3&amp;Barefoot!$I$2</f>
        <v>CoStride2SwingTimeT18</v>
      </c>
      <c r="PF4" s="39" t="str">
        <f>PF3&amp;Barefoot!$I$2</f>
        <v>CoStep1SwingsideT19</v>
      </c>
      <c r="PG4" s="39" t="str">
        <f>PG3&amp;Barefoot!$I$2</f>
        <v>CoStep1StepLengthT19</v>
      </c>
      <c r="PH4" s="39" t="str">
        <f>PH3&amp;Barefoot!$I$2</f>
        <v>CoStep1StepTimeT19</v>
      </c>
      <c r="PI4" s="39" t="str">
        <f>PI3&amp;Barefoot!$I$2</f>
        <v>CoStep1DoubleSupportTimeT19</v>
      </c>
      <c r="PJ4" s="39" t="str">
        <f>PJ3&amp;Barefoot!$I$2</f>
        <v>CoStep1StanceTimeT19</v>
      </c>
      <c r="PK4" s="39" t="str">
        <f>PK3&amp;Barefoot!$I$2</f>
        <v>CoStep2SwingsideT19</v>
      </c>
      <c r="PL4" s="39" t="str">
        <f>PL3&amp;Barefoot!$I$2</f>
        <v>CoStep2StepLengthT19</v>
      </c>
      <c r="PM4" s="39" t="str">
        <f>PM3&amp;Barefoot!$I$2</f>
        <v>CoStep2StepTimeT19</v>
      </c>
      <c r="PN4" s="39" t="str">
        <f>PN3&amp;Barefoot!$I$2</f>
        <v>CoStep2DoubleSupportTimeT19</v>
      </c>
      <c r="PO4" s="39" t="str">
        <f>PO3&amp;Barefoot!$I$2</f>
        <v>CoStep2StanceTimeT19</v>
      </c>
      <c r="PP4" s="39" t="str">
        <f>PP3&amp;Barefoot!$I$2</f>
        <v>CoStep3SwingsideT19</v>
      </c>
      <c r="PQ4" s="39" t="str">
        <f>PQ3&amp;Barefoot!$I$2</f>
        <v>CoStep3StepLengthT19</v>
      </c>
      <c r="PR4" s="39" t="str">
        <f>PR3&amp;Barefoot!$I$2</f>
        <v>CoStep3StepTimeT19</v>
      </c>
      <c r="PS4" s="39" t="str">
        <f>PS3&amp;Barefoot!$I$2</f>
        <v>CoStep3DoubleSupportTimeT19</v>
      </c>
      <c r="PT4" s="39" t="str">
        <f>PT3&amp;Barefoot!$I$2</f>
        <v>CoStep3StanceTimeT19</v>
      </c>
      <c r="PU4" s="39" t="str">
        <f>PU3&amp;Barefoot!$I$2</f>
        <v>CoStride1SideT19</v>
      </c>
      <c r="PV4" s="39" t="str">
        <f>PV3&amp;Barefoot!$I$2</f>
        <v>CoStride1StrideLengthT19</v>
      </c>
      <c r="PW4" s="39" t="str">
        <f>PW3&amp;Barefoot!$I$2</f>
        <v>CoStride1StrideTimeT19</v>
      </c>
      <c r="PX4" s="39" t="str">
        <f>PX3&amp;Barefoot!$I$2</f>
        <v>CoStride1SwingTimeT19</v>
      </c>
      <c r="PY4" s="39" t="str">
        <f>PY3&amp;Barefoot!$I$2</f>
        <v>CoStride2SideT19</v>
      </c>
      <c r="PZ4" s="39" t="str">
        <f>PZ3&amp;Barefoot!$I$2</f>
        <v>CoStride2StrideLengthT19</v>
      </c>
      <c r="QA4" s="39" t="str">
        <f>QA3&amp;Barefoot!$I$2</f>
        <v>CoStride2StrideTimeT19</v>
      </c>
      <c r="QB4" s="39" t="str">
        <f>QB3&amp;Barefoot!$I$2</f>
        <v>CoStride2SwingTimeT19</v>
      </c>
      <c r="QC4" s="39" t="str">
        <f>QC3&amp;Barefoot!$I$2</f>
        <v>CoStep1SwingsideT20</v>
      </c>
      <c r="QD4" s="39" t="str">
        <f>QD3&amp;Barefoot!$I$2</f>
        <v>CoStep1StepLengthT20</v>
      </c>
      <c r="QE4" s="39" t="str">
        <f>QE3&amp;Barefoot!$I$2</f>
        <v>CoStep1StepTimeT20</v>
      </c>
      <c r="QF4" s="39" t="str">
        <f>QF3&amp;Barefoot!$I$2</f>
        <v>CoStep1DoubleSupportTimeT20</v>
      </c>
      <c r="QG4" s="39" t="str">
        <f>QG3&amp;Barefoot!$I$2</f>
        <v>CoStep1StanceTimeT20</v>
      </c>
      <c r="QH4" s="39" t="str">
        <f>QH3&amp;Barefoot!$I$2</f>
        <v>CoStep2SwingsideT20</v>
      </c>
      <c r="QI4" s="39" t="str">
        <f>QI3&amp;Barefoot!$I$2</f>
        <v>CoStep2StepLengthT20</v>
      </c>
      <c r="QJ4" s="39" t="str">
        <f>QJ3&amp;Barefoot!$I$2</f>
        <v>CoStep2StepTimeT20</v>
      </c>
      <c r="QK4" s="39" t="str">
        <f>QK3&amp;Barefoot!$I$2</f>
        <v>CoStep2DoubleSupportTimeT20</v>
      </c>
      <c r="QL4" s="39" t="str">
        <f>QL3&amp;Barefoot!$I$2</f>
        <v>CoStep2StanceTimeT20</v>
      </c>
      <c r="QM4" s="39" t="str">
        <f>QM3&amp;Barefoot!$I$2</f>
        <v>CoStep3SwingsideT20</v>
      </c>
      <c r="QN4" s="39" t="str">
        <f>QN3&amp;Barefoot!$I$2</f>
        <v>CoStep3StepLengthT20</v>
      </c>
      <c r="QO4" s="39" t="str">
        <f>QO3&amp;Barefoot!$I$2</f>
        <v>CoStep3StepTimeT20</v>
      </c>
      <c r="QP4" s="39" t="str">
        <f>QP3&amp;Barefoot!$I$2</f>
        <v>CoStep3DoubleSupportTimeT20</v>
      </c>
      <c r="QQ4" s="39" t="str">
        <f>QQ3&amp;Barefoot!$I$2</f>
        <v>CoStep3StanceTimeT20</v>
      </c>
      <c r="QR4" s="39" t="str">
        <f>QR3&amp;Barefoot!$I$2</f>
        <v>CoStride1SideT20</v>
      </c>
      <c r="QS4" s="39" t="str">
        <f>QS3&amp;Barefoot!$I$2</f>
        <v>CoStride1StrideLengthT20</v>
      </c>
      <c r="QT4" s="39" t="str">
        <f>QT3&amp;Barefoot!$I$2</f>
        <v>CoStride1StrideTimeT20</v>
      </c>
      <c r="QU4" s="39" t="str">
        <f>QU3&amp;Barefoot!$I$2</f>
        <v>CoStride1SwingTimeT20</v>
      </c>
      <c r="QV4" s="39" t="str">
        <f>QV3&amp;Barefoot!$I$2</f>
        <v>CoStride2SideT20</v>
      </c>
      <c r="QW4" s="39" t="str">
        <f>QW3&amp;Barefoot!$I$2</f>
        <v>CoStride2StrideLengthT20</v>
      </c>
      <c r="QX4" s="39" t="str">
        <f>QX3&amp;Barefoot!$I$2</f>
        <v>CoStride2StrideTimeT20</v>
      </c>
      <c r="QY4" s="39" t="str">
        <f>QY3&amp;Barefoot!$I$2</f>
        <v>CoStride2SwingTimeT20</v>
      </c>
      <c r="QZ4" s="39" t="str">
        <f>QZ3&amp;Barefoot!$I$2</f>
        <v>CoStep1WalkwayT1</v>
      </c>
      <c r="RA4" s="39" t="str">
        <f>RA3&amp;Barefoot!$I$2</f>
        <v>CoStep1WalkwayT2</v>
      </c>
      <c r="RB4" s="39" t="str">
        <f>RB3&amp;Barefoot!$I$2</f>
        <v>CoStep1WalkwayT3</v>
      </c>
      <c r="RC4" s="39" t="str">
        <f>RC3&amp;Barefoot!$I$2</f>
        <v>CoStep1WalkwayT4</v>
      </c>
      <c r="RD4" s="39" t="str">
        <f>RD3&amp;Barefoot!$I$2</f>
        <v>CoStep1WalkwayT5</v>
      </c>
      <c r="RE4" s="39" t="str">
        <f>RE3&amp;Barefoot!$I$2</f>
        <v>CoStep1WalkwayT6</v>
      </c>
      <c r="RF4" s="39" t="str">
        <f>RF3&amp;Barefoot!$I$2</f>
        <v>CoStep1WalkwayT7</v>
      </c>
      <c r="RG4" s="39" t="str">
        <f>RG3&amp;Barefoot!$I$2</f>
        <v>CoStep1WalkwayT8</v>
      </c>
      <c r="RH4" s="39" t="str">
        <f>RH3&amp;Barefoot!$I$2</f>
        <v>CoStep1WalkwayT9</v>
      </c>
      <c r="RI4" s="39" t="str">
        <f>RI3&amp;Barefoot!$I$2</f>
        <v>CoStep1WalkwayT10</v>
      </c>
      <c r="RJ4" s="39" t="str">
        <f>RJ3&amp;Barefoot!$I$2</f>
        <v>CoStep1WalkwayT11</v>
      </c>
      <c r="RK4" s="39" t="str">
        <f>RK3&amp;Barefoot!$I$2</f>
        <v>CoStep1WalkwayT12</v>
      </c>
      <c r="RL4" s="39" t="str">
        <f>RL3&amp;Barefoot!$I$2</f>
        <v>CoStep1WalkwayT13</v>
      </c>
      <c r="RM4" s="39" t="str">
        <f>RM3&amp;Barefoot!$I$2</f>
        <v>CoStep1WalkwayT14</v>
      </c>
      <c r="RN4" s="39" t="str">
        <f>RN3&amp;Barefoot!$I$2</f>
        <v>CoStep1WalkwayT15</v>
      </c>
      <c r="RO4" s="39" t="str">
        <f>RO3&amp;Barefoot!$I$2</f>
        <v>CoStep1WalkwayT16</v>
      </c>
      <c r="RP4" s="39" t="str">
        <f>RP3&amp;Barefoot!$I$2</f>
        <v>CoStep1WalkwayT17</v>
      </c>
      <c r="RQ4" s="39" t="str">
        <f>RQ3&amp;Barefoot!$I$2</f>
        <v>CoStep1WalkwayT18</v>
      </c>
      <c r="RR4" s="39" t="str">
        <f>RR3&amp;Barefoot!$I$2</f>
        <v>CoStep1WalkwayT19</v>
      </c>
      <c r="RS4" s="39" t="str">
        <f>RS3&amp;Barefoot!$I$2</f>
        <v>CoStep1WalkwayT20</v>
      </c>
      <c r="RT4" s="39" t="str">
        <f>RT3&amp;Barefoot!$I$2</f>
        <v>CoStep2WalkwayT1</v>
      </c>
      <c r="RU4" s="39" t="str">
        <f>RU3&amp;Barefoot!$I$2</f>
        <v>CoStep2WalkwayT2</v>
      </c>
      <c r="RV4" s="39" t="str">
        <f>RV3&amp;Barefoot!$I$2</f>
        <v>CoStep2WalkwayT3</v>
      </c>
      <c r="RW4" s="39" t="str">
        <f>RW3&amp;Barefoot!$I$2</f>
        <v>CoStep2WalkwayT4</v>
      </c>
      <c r="RX4" s="39" t="str">
        <f>RX3&amp;Barefoot!$I$2</f>
        <v>CoStep2WalkwayT5</v>
      </c>
      <c r="RY4" s="39" t="str">
        <f>RY3&amp;Barefoot!$I$2</f>
        <v>CoStep2WalkwayT6</v>
      </c>
      <c r="RZ4" s="39" t="str">
        <f>RZ3&amp;Barefoot!$I$2</f>
        <v>CoStep2WalkwayT7</v>
      </c>
      <c r="SA4" s="39" t="str">
        <f>SA3&amp;Barefoot!$I$2</f>
        <v>CoStep2WalkwayT8</v>
      </c>
      <c r="SB4" s="39" t="str">
        <f>SB3&amp;Barefoot!$I$2</f>
        <v>CoStep2WalkwayT9</v>
      </c>
      <c r="SC4" s="39" t="str">
        <f>SC3&amp;Barefoot!$I$2</f>
        <v>CoStep2WalkwayT10</v>
      </c>
      <c r="SD4" s="39" t="str">
        <f>SD3&amp;Barefoot!$I$2</f>
        <v>CoStep2WalkwayT11</v>
      </c>
      <c r="SE4" s="39" t="str">
        <f>SE3&amp;Barefoot!$I$2</f>
        <v>CoStep2WalkwayT12</v>
      </c>
      <c r="SF4" s="39" t="str">
        <f>SF3&amp;Barefoot!$I$2</f>
        <v>CoStep2WalkwayT13</v>
      </c>
      <c r="SG4" s="39" t="str">
        <f>SG3&amp;Barefoot!$I$2</f>
        <v>CoStep2WalkwayT14</v>
      </c>
      <c r="SH4" s="39" t="str">
        <f>SH3&amp;Barefoot!$I$2</f>
        <v>CoStep2WalkwayT15</v>
      </c>
      <c r="SI4" s="39" t="str">
        <f>SI3&amp;Barefoot!$I$2</f>
        <v>CoStep2WalkwayT16</v>
      </c>
      <c r="SJ4" s="39" t="str">
        <f>SJ3&amp;Barefoot!$I$2</f>
        <v>CoStep2WalkwayT17</v>
      </c>
      <c r="SK4" s="39" t="str">
        <f>SK3&amp;Barefoot!$I$2</f>
        <v>CoStep2WalkwayT18</v>
      </c>
      <c r="SL4" s="39" t="str">
        <f>SL3&amp;Barefoot!$I$2</f>
        <v>CoStep2WalkwayT19</v>
      </c>
      <c r="SM4" s="39" t="str">
        <f>SM3&amp;Barefoot!$I$2</f>
        <v>CoStep2WalkwayT20</v>
      </c>
      <c r="SN4" s="39" t="str">
        <f>SN3&amp;Barefoot!$I$2</f>
        <v>CoStep3WalkwayT1</v>
      </c>
      <c r="SO4" s="39" t="str">
        <f>SO3&amp;Barefoot!$I$2</f>
        <v>CoStep3WalkwayT2</v>
      </c>
      <c r="SP4" s="39" t="str">
        <f>SP3&amp;Barefoot!$I$2</f>
        <v>CoStep3WalkwayT3</v>
      </c>
      <c r="SQ4" s="39" t="str">
        <f>SQ3&amp;Barefoot!$I$2</f>
        <v>CoStep3WalkwayT4</v>
      </c>
      <c r="SR4" s="39" t="str">
        <f>SR3&amp;Barefoot!$I$2</f>
        <v>CoStep3WalkwayT5</v>
      </c>
      <c r="SS4" s="39" t="str">
        <f>SS3&amp;Barefoot!$I$2</f>
        <v>CoStep3WalkwayT6</v>
      </c>
      <c r="ST4" s="39" t="str">
        <f>ST3&amp;Barefoot!$I$2</f>
        <v>CoStep3WalkwayT7</v>
      </c>
      <c r="SU4" s="39" t="str">
        <f>SU3&amp;Barefoot!$I$2</f>
        <v>CoStep3WalkwayT8</v>
      </c>
      <c r="SV4" s="39" t="str">
        <f>SV3&amp;Barefoot!$I$2</f>
        <v>CoStep3WalkwayT9</v>
      </c>
      <c r="SW4" s="39" t="str">
        <f>SW3&amp;Barefoot!$I$2</f>
        <v>CoStep3WalkwayT10</v>
      </c>
      <c r="SX4" s="39" t="str">
        <f>SX3&amp;Barefoot!$I$2</f>
        <v>CoStep3WalkwayT11</v>
      </c>
      <c r="SY4" s="39" t="str">
        <f>SY3&amp;Barefoot!$I$2</f>
        <v>CoStep3WalkwayT12</v>
      </c>
      <c r="SZ4" s="39" t="str">
        <f>SZ3&amp;Barefoot!$I$2</f>
        <v>CoStep3WalkwayT13</v>
      </c>
      <c r="TA4" s="39" t="str">
        <f>TA3&amp;Barefoot!$I$2</f>
        <v>CoStep3WalkwayT14</v>
      </c>
      <c r="TB4" s="39" t="str">
        <f>TB3&amp;Barefoot!$I$2</f>
        <v>CoStep3WalkwayT15</v>
      </c>
      <c r="TC4" s="39" t="str">
        <f>TC3&amp;Barefoot!$I$2</f>
        <v>CoStep3WalkwayT16</v>
      </c>
      <c r="TD4" s="39" t="str">
        <f>TD3&amp;Barefoot!$I$2</f>
        <v>CoStep3WalkwayT17</v>
      </c>
      <c r="TE4" s="39" t="str">
        <f>TE3&amp;Barefoot!$I$2</f>
        <v>CoStep3WalkwayT18</v>
      </c>
      <c r="TF4" s="39" t="str">
        <f>TF3&amp;Barefoot!$I$2</f>
        <v>CoStep3WalkwayT19</v>
      </c>
      <c r="TG4" s="39" t="str">
        <f>TG3&amp;Barefoot!$I$2</f>
        <v>CoStep3WalkwayT20</v>
      </c>
    </row>
    <row r="5" spans="1:527" x14ac:dyDescent="0.2">
      <c r="A5" s="42" t="s">
        <v>1355</v>
      </c>
      <c r="B5" s="5">
        <f>IF(Barefoot!G2="",9999,Barefoot!G2)</f>
        <v>9999</v>
      </c>
      <c r="C5" s="5">
        <f>IF(Barefoot!P2="",9999,Barefoot!P2)</f>
        <v>9999</v>
      </c>
      <c r="D5" s="5">
        <f>IF(Barefoot!I2="",9999,TEXT(Barefoot!I2,"dd.mm.yyyy"))</f>
        <v>9999</v>
      </c>
      <c r="E5" s="5">
        <f>IF(Barefoot!N2="",9999,Barefoot!N2)</f>
        <v>9999</v>
      </c>
      <c r="F5" s="5">
        <f>IF(Barefoot!C2="",9999,Barefoot!C2)</f>
        <v>9999</v>
      </c>
      <c r="G5" s="5">
        <f>IF(Barefoot!E2="",9999,Barefoot!E2)</f>
        <v>9999</v>
      </c>
      <c r="H5" s="5">
        <f ca="1">INDIRECT(CONCATENATE($A5,"!",LEFT(H$2,1),MID(H$2,2,256)+H$1-1))</f>
        <v>9999</v>
      </c>
      <c r="I5" s="5">
        <f t="shared" ref="I5:BT5" ca="1" si="0">INDIRECT(CONCATENATE($A5,"!",LEFT(I$2,1),MID(I$2,2,256)+I$1-1))</f>
        <v>9999</v>
      </c>
      <c r="J5" s="5">
        <f t="shared" ca="1" si="0"/>
        <v>9999</v>
      </c>
      <c r="K5" s="5">
        <f t="shared" ca="1" si="0"/>
        <v>9999</v>
      </c>
      <c r="L5" s="5">
        <f t="shared" ca="1" si="0"/>
        <v>9999</v>
      </c>
      <c r="M5" s="5">
        <f t="shared" ca="1" si="0"/>
        <v>9999</v>
      </c>
      <c r="N5" s="5">
        <f t="shared" ca="1" si="0"/>
        <v>9999</v>
      </c>
      <c r="O5" s="5">
        <f t="shared" ca="1" si="0"/>
        <v>9999</v>
      </c>
      <c r="P5" s="5">
        <f t="shared" ca="1" si="0"/>
        <v>9999</v>
      </c>
      <c r="Q5" s="5">
        <f t="shared" ca="1" si="0"/>
        <v>9999</v>
      </c>
      <c r="R5" s="5">
        <f t="shared" ca="1" si="0"/>
        <v>9999</v>
      </c>
      <c r="S5" s="5">
        <f t="shared" ca="1" si="0"/>
        <v>9999</v>
      </c>
      <c r="T5" s="5">
        <f t="shared" ca="1" si="0"/>
        <v>9999</v>
      </c>
      <c r="U5" s="5">
        <f t="shared" ca="1" si="0"/>
        <v>9999</v>
      </c>
      <c r="V5" s="5">
        <f t="shared" ca="1" si="0"/>
        <v>9999</v>
      </c>
      <c r="W5" s="5">
        <f t="shared" ca="1" si="0"/>
        <v>9999</v>
      </c>
      <c r="X5" s="5">
        <f t="shared" ca="1" si="0"/>
        <v>9999</v>
      </c>
      <c r="Y5" s="5">
        <f t="shared" ca="1" si="0"/>
        <v>9999</v>
      </c>
      <c r="Z5" s="5">
        <f t="shared" ca="1" si="0"/>
        <v>9999</v>
      </c>
      <c r="AA5" s="5">
        <f t="shared" ca="1" si="0"/>
        <v>9999</v>
      </c>
      <c r="AB5" s="5">
        <f t="shared" ca="1" si="0"/>
        <v>9999</v>
      </c>
      <c r="AC5" s="5">
        <f t="shared" ca="1" si="0"/>
        <v>9999</v>
      </c>
      <c r="AD5" s="5">
        <f t="shared" ca="1" si="0"/>
        <v>9999</v>
      </c>
      <c r="AE5" s="5">
        <f t="shared" ca="1" si="0"/>
        <v>9999</v>
      </c>
      <c r="AF5" s="5">
        <f t="shared" ca="1" si="0"/>
        <v>9999</v>
      </c>
      <c r="AG5" s="5">
        <f t="shared" ca="1" si="0"/>
        <v>9999</v>
      </c>
      <c r="AH5" s="5">
        <f t="shared" ca="1" si="0"/>
        <v>9999</v>
      </c>
      <c r="AI5" s="5">
        <f t="shared" ca="1" si="0"/>
        <v>9999</v>
      </c>
      <c r="AJ5" s="5">
        <f t="shared" ca="1" si="0"/>
        <v>9999</v>
      </c>
      <c r="AK5" s="5">
        <f t="shared" ca="1" si="0"/>
        <v>9999</v>
      </c>
      <c r="AL5" s="5">
        <f t="shared" ca="1" si="0"/>
        <v>9999</v>
      </c>
      <c r="AM5" s="5">
        <f t="shared" ca="1" si="0"/>
        <v>9999</v>
      </c>
      <c r="AN5" s="5">
        <f t="shared" ca="1" si="0"/>
        <v>9999</v>
      </c>
      <c r="AO5" s="5">
        <f t="shared" ca="1" si="0"/>
        <v>9999</v>
      </c>
      <c r="AP5" s="5">
        <f t="shared" ca="1" si="0"/>
        <v>9999</v>
      </c>
      <c r="AQ5" s="5">
        <f t="shared" ca="1" si="0"/>
        <v>9999</v>
      </c>
      <c r="AR5" s="5">
        <f t="shared" ca="1" si="0"/>
        <v>9999</v>
      </c>
      <c r="AS5" s="5">
        <f t="shared" ca="1" si="0"/>
        <v>9999</v>
      </c>
      <c r="AT5" s="5">
        <f t="shared" ca="1" si="0"/>
        <v>9999</v>
      </c>
      <c r="AU5" s="5">
        <f t="shared" ca="1" si="0"/>
        <v>9999</v>
      </c>
      <c r="AV5" s="5">
        <f t="shared" ca="1" si="0"/>
        <v>9999</v>
      </c>
      <c r="AW5" s="5">
        <f t="shared" ca="1" si="0"/>
        <v>9999</v>
      </c>
      <c r="AX5" s="5">
        <f t="shared" ca="1" si="0"/>
        <v>9999</v>
      </c>
      <c r="AY5" s="5">
        <f t="shared" ca="1" si="0"/>
        <v>9999</v>
      </c>
      <c r="AZ5" s="5">
        <f t="shared" ca="1" si="0"/>
        <v>9999</v>
      </c>
      <c r="BA5" s="5">
        <f t="shared" ca="1" si="0"/>
        <v>9999</v>
      </c>
      <c r="BB5" s="5">
        <f t="shared" ca="1" si="0"/>
        <v>9999</v>
      </c>
      <c r="BC5" s="5">
        <f t="shared" ca="1" si="0"/>
        <v>9999</v>
      </c>
      <c r="BD5" s="5">
        <f t="shared" ca="1" si="0"/>
        <v>9999</v>
      </c>
      <c r="BE5" s="5">
        <f t="shared" ca="1" si="0"/>
        <v>9999</v>
      </c>
      <c r="BF5" s="5">
        <f t="shared" ca="1" si="0"/>
        <v>9999</v>
      </c>
      <c r="BG5" s="5">
        <f t="shared" ca="1" si="0"/>
        <v>9999</v>
      </c>
      <c r="BH5" s="5">
        <f t="shared" ca="1" si="0"/>
        <v>9999</v>
      </c>
      <c r="BI5" s="5">
        <f t="shared" ca="1" si="0"/>
        <v>9999</v>
      </c>
      <c r="BJ5" s="5">
        <f t="shared" ca="1" si="0"/>
        <v>9999</v>
      </c>
      <c r="BK5" s="5">
        <f t="shared" ca="1" si="0"/>
        <v>9999</v>
      </c>
      <c r="BL5" s="5">
        <f t="shared" ca="1" si="0"/>
        <v>9999</v>
      </c>
      <c r="BM5" s="5">
        <f t="shared" ca="1" si="0"/>
        <v>9999</v>
      </c>
      <c r="BN5" s="5">
        <f t="shared" ca="1" si="0"/>
        <v>9999</v>
      </c>
      <c r="BO5" s="5">
        <f t="shared" ca="1" si="0"/>
        <v>9999</v>
      </c>
      <c r="BP5" s="5">
        <f t="shared" ca="1" si="0"/>
        <v>9999</v>
      </c>
      <c r="BQ5" s="5">
        <f t="shared" ca="1" si="0"/>
        <v>9999</v>
      </c>
      <c r="BR5" s="5">
        <f t="shared" ca="1" si="0"/>
        <v>9999</v>
      </c>
      <c r="BS5" s="5">
        <f t="shared" ca="1" si="0"/>
        <v>9999</v>
      </c>
      <c r="BT5" s="5">
        <f t="shared" ca="1" si="0"/>
        <v>9999</v>
      </c>
      <c r="BU5" s="5">
        <f t="shared" ref="BU5:EF5" ca="1" si="1">INDIRECT(CONCATENATE($A5,"!",LEFT(BU$2,1),MID(BU$2,2,256)+BU$1-1))</f>
        <v>9999</v>
      </c>
      <c r="BV5" s="5">
        <f t="shared" ca="1" si="1"/>
        <v>9999</v>
      </c>
      <c r="BW5" s="5">
        <f t="shared" ca="1" si="1"/>
        <v>9999</v>
      </c>
      <c r="BX5" s="5">
        <f t="shared" ca="1" si="1"/>
        <v>9999</v>
      </c>
      <c r="BY5" s="5">
        <f t="shared" ca="1" si="1"/>
        <v>9999</v>
      </c>
      <c r="BZ5" s="5">
        <f t="shared" ca="1" si="1"/>
        <v>9999</v>
      </c>
      <c r="CA5" s="5">
        <f t="shared" ca="1" si="1"/>
        <v>9999</v>
      </c>
      <c r="CB5" s="5">
        <f t="shared" ca="1" si="1"/>
        <v>9999</v>
      </c>
      <c r="CC5" s="5">
        <f t="shared" ca="1" si="1"/>
        <v>9999</v>
      </c>
      <c r="CD5" s="5">
        <f t="shared" ca="1" si="1"/>
        <v>9999</v>
      </c>
      <c r="CE5" s="5">
        <f t="shared" ca="1" si="1"/>
        <v>9999</v>
      </c>
      <c r="CF5" s="5">
        <f t="shared" ca="1" si="1"/>
        <v>9999</v>
      </c>
      <c r="CG5" s="5">
        <f t="shared" ca="1" si="1"/>
        <v>9999</v>
      </c>
      <c r="CH5" s="5">
        <f t="shared" ca="1" si="1"/>
        <v>9999</v>
      </c>
      <c r="CI5" s="5">
        <f t="shared" ca="1" si="1"/>
        <v>9999</v>
      </c>
      <c r="CJ5" s="5">
        <f t="shared" ca="1" si="1"/>
        <v>9999</v>
      </c>
      <c r="CK5" s="5">
        <f t="shared" ca="1" si="1"/>
        <v>9999</v>
      </c>
      <c r="CL5" s="5">
        <f t="shared" ca="1" si="1"/>
        <v>9999</v>
      </c>
      <c r="CM5" s="5">
        <f t="shared" ca="1" si="1"/>
        <v>9999</v>
      </c>
      <c r="CN5" s="5">
        <f t="shared" ca="1" si="1"/>
        <v>9999</v>
      </c>
      <c r="CO5" s="5">
        <f t="shared" ca="1" si="1"/>
        <v>9999</v>
      </c>
      <c r="CP5" s="5">
        <f t="shared" ca="1" si="1"/>
        <v>9999</v>
      </c>
      <c r="CQ5" s="5">
        <f t="shared" ca="1" si="1"/>
        <v>9999</v>
      </c>
      <c r="CR5" s="5">
        <f t="shared" ca="1" si="1"/>
        <v>9999</v>
      </c>
      <c r="CS5" s="5">
        <f t="shared" ca="1" si="1"/>
        <v>9999</v>
      </c>
      <c r="CT5" s="5">
        <f t="shared" ca="1" si="1"/>
        <v>9999</v>
      </c>
      <c r="CU5" s="5">
        <f t="shared" ca="1" si="1"/>
        <v>9999</v>
      </c>
      <c r="CV5" s="5">
        <f t="shared" ca="1" si="1"/>
        <v>9999</v>
      </c>
      <c r="CW5" s="5">
        <f t="shared" ca="1" si="1"/>
        <v>9999</v>
      </c>
      <c r="CX5" s="5">
        <f t="shared" ca="1" si="1"/>
        <v>9999</v>
      </c>
      <c r="CY5" s="5">
        <f t="shared" ca="1" si="1"/>
        <v>9999</v>
      </c>
      <c r="CZ5" s="5">
        <f t="shared" ca="1" si="1"/>
        <v>9999</v>
      </c>
      <c r="DA5" s="5">
        <f t="shared" ca="1" si="1"/>
        <v>9999</v>
      </c>
      <c r="DB5" s="5">
        <f t="shared" ca="1" si="1"/>
        <v>9999</v>
      </c>
      <c r="DC5" s="5">
        <f t="shared" ca="1" si="1"/>
        <v>9999</v>
      </c>
      <c r="DD5" s="5">
        <f t="shared" ca="1" si="1"/>
        <v>9999</v>
      </c>
      <c r="DE5" s="5">
        <f t="shared" ca="1" si="1"/>
        <v>9999</v>
      </c>
      <c r="DF5" s="5">
        <f t="shared" ca="1" si="1"/>
        <v>9999</v>
      </c>
      <c r="DG5" s="5">
        <f t="shared" ca="1" si="1"/>
        <v>9999</v>
      </c>
      <c r="DH5" s="5">
        <f t="shared" ca="1" si="1"/>
        <v>9999</v>
      </c>
      <c r="DI5" s="5">
        <f t="shared" ca="1" si="1"/>
        <v>9999</v>
      </c>
      <c r="DJ5" s="5">
        <f t="shared" ca="1" si="1"/>
        <v>9999</v>
      </c>
      <c r="DK5" s="5">
        <f t="shared" ca="1" si="1"/>
        <v>9999</v>
      </c>
      <c r="DL5" s="5">
        <f t="shared" ca="1" si="1"/>
        <v>9999</v>
      </c>
      <c r="DM5" s="5">
        <f t="shared" ca="1" si="1"/>
        <v>9999</v>
      </c>
      <c r="DN5" s="5">
        <f t="shared" ca="1" si="1"/>
        <v>9999</v>
      </c>
      <c r="DO5" s="5">
        <f t="shared" ca="1" si="1"/>
        <v>9999</v>
      </c>
      <c r="DP5" s="5">
        <f t="shared" ca="1" si="1"/>
        <v>9999</v>
      </c>
      <c r="DQ5" s="5">
        <f t="shared" ca="1" si="1"/>
        <v>9999</v>
      </c>
      <c r="DR5" s="5">
        <f t="shared" ca="1" si="1"/>
        <v>9999</v>
      </c>
      <c r="DS5" s="5">
        <f t="shared" ca="1" si="1"/>
        <v>9999</v>
      </c>
      <c r="DT5" s="5">
        <f t="shared" ca="1" si="1"/>
        <v>9999</v>
      </c>
      <c r="DU5" s="5">
        <f t="shared" ca="1" si="1"/>
        <v>9999</v>
      </c>
      <c r="DV5" s="5">
        <f t="shared" ca="1" si="1"/>
        <v>9999</v>
      </c>
      <c r="DW5" s="5">
        <f t="shared" ca="1" si="1"/>
        <v>9999</v>
      </c>
      <c r="DX5" s="5">
        <f t="shared" ca="1" si="1"/>
        <v>9999</v>
      </c>
      <c r="DY5" s="5">
        <f t="shared" ca="1" si="1"/>
        <v>9999</v>
      </c>
      <c r="DZ5" s="5">
        <f t="shared" ca="1" si="1"/>
        <v>9999</v>
      </c>
      <c r="EA5" s="5">
        <f t="shared" ca="1" si="1"/>
        <v>9999</v>
      </c>
      <c r="EB5" s="5">
        <f t="shared" ca="1" si="1"/>
        <v>9999</v>
      </c>
      <c r="EC5" s="5">
        <f t="shared" ca="1" si="1"/>
        <v>9999</v>
      </c>
      <c r="ED5" s="5">
        <f t="shared" ca="1" si="1"/>
        <v>9999</v>
      </c>
      <c r="EE5" s="5">
        <f t="shared" ca="1" si="1"/>
        <v>9999</v>
      </c>
      <c r="EF5" s="5">
        <f t="shared" ca="1" si="1"/>
        <v>9999</v>
      </c>
      <c r="EG5" s="5">
        <f t="shared" ref="EG5:GR5" ca="1" si="2">INDIRECT(CONCATENATE($A5,"!",LEFT(EG$2,1),MID(EG$2,2,256)+EG$1-1))</f>
        <v>9999</v>
      </c>
      <c r="EH5" s="5">
        <f t="shared" ca="1" si="2"/>
        <v>9999</v>
      </c>
      <c r="EI5" s="5">
        <f t="shared" ca="1" si="2"/>
        <v>9999</v>
      </c>
      <c r="EJ5" s="5">
        <f t="shared" ca="1" si="2"/>
        <v>9999</v>
      </c>
      <c r="EK5" s="5">
        <f t="shared" ca="1" si="2"/>
        <v>9999</v>
      </c>
      <c r="EL5" s="5">
        <f t="shared" ca="1" si="2"/>
        <v>9999</v>
      </c>
      <c r="EM5" s="5">
        <f t="shared" ca="1" si="2"/>
        <v>9999</v>
      </c>
      <c r="EN5" s="5">
        <f t="shared" ca="1" si="2"/>
        <v>9999</v>
      </c>
      <c r="EO5" s="5">
        <f t="shared" ca="1" si="2"/>
        <v>9999</v>
      </c>
      <c r="EP5" s="5">
        <f t="shared" ca="1" si="2"/>
        <v>9999</v>
      </c>
      <c r="EQ5" s="5">
        <f t="shared" ca="1" si="2"/>
        <v>9999</v>
      </c>
      <c r="ER5" s="5">
        <f t="shared" ca="1" si="2"/>
        <v>9999</v>
      </c>
      <c r="ES5" s="5">
        <f t="shared" ca="1" si="2"/>
        <v>9999</v>
      </c>
      <c r="ET5" s="5">
        <f t="shared" ca="1" si="2"/>
        <v>9999</v>
      </c>
      <c r="EU5" s="5">
        <f t="shared" ca="1" si="2"/>
        <v>9999</v>
      </c>
      <c r="EV5" s="5">
        <f t="shared" ca="1" si="2"/>
        <v>9999</v>
      </c>
      <c r="EW5" s="5">
        <f t="shared" ca="1" si="2"/>
        <v>9999</v>
      </c>
      <c r="EX5" s="5">
        <f t="shared" ca="1" si="2"/>
        <v>9999</v>
      </c>
      <c r="EY5" s="5">
        <f t="shared" ca="1" si="2"/>
        <v>9999</v>
      </c>
      <c r="EZ5" s="5">
        <f t="shared" ca="1" si="2"/>
        <v>9999</v>
      </c>
      <c r="FA5" s="5">
        <f t="shared" ca="1" si="2"/>
        <v>9999</v>
      </c>
      <c r="FB5" s="5">
        <f t="shared" ca="1" si="2"/>
        <v>9999</v>
      </c>
      <c r="FC5" s="5">
        <f t="shared" ca="1" si="2"/>
        <v>9999</v>
      </c>
      <c r="FD5" s="5">
        <f t="shared" ca="1" si="2"/>
        <v>9999</v>
      </c>
      <c r="FE5" s="5">
        <f t="shared" ca="1" si="2"/>
        <v>9999</v>
      </c>
      <c r="FF5" s="5">
        <f t="shared" ca="1" si="2"/>
        <v>9999</v>
      </c>
      <c r="FG5" s="5">
        <f t="shared" ca="1" si="2"/>
        <v>9999</v>
      </c>
      <c r="FH5" s="5">
        <f t="shared" ca="1" si="2"/>
        <v>9999</v>
      </c>
      <c r="FI5" s="5">
        <f t="shared" ca="1" si="2"/>
        <v>9999</v>
      </c>
      <c r="FJ5" s="5">
        <f t="shared" ca="1" si="2"/>
        <v>9999</v>
      </c>
      <c r="FK5" s="5">
        <f t="shared" ca="1" si="2"/>
        <v>9999</v>
      </c>
      <c r="FL5" s="5">
        <f t="shared" ca="1" si="2"/>
        <v>9999</v>
      </c>
      <c r="FM5" s="5">
        <f t="shared" ca="1" si="2"/>
        <v>9999</v>
      </c>
      <c r="FN5" s="5">
        <f t="shared" ca="1" si="2"/>
        <v>9999</v>
      </c>
      <c r="FO5" s="5">
        <f t="shared" ca="1" si="2"/>
        <v>9999</v>
      </c>
      <c r="FP5" s="5">
        <f t="shared" ca="1" si="2"/>
        <v>9999</v>
      </c>
      <c r="FQ5" s="5">
        <f t="shared" ca="1" si="2"/>
        <v>9999</v>
      </c>
      <c r="FR5" s="5">
        <f t="shared" ca="1" si="2"/>
        <v>9999</v>
      </c>
      <c r="FS5" s="5">
        <f t="shared" ca="1" si="2"/>
        <v>9999</v>
      </c>
      <c r="FT5" s="5">
        <f t="shared" ca="1" si="2"/>
        <v>9999</v>
      </c>
      <c r="FU5" s="5">
        <f t="shared" ca="1" si="2"/>
        <v>9999</v>
      </c>
      <c r="FV5" s="5">
        <f t="shared" ca="1" si="2"/>
        <v>9999</v>
      </c>
      <c r="FW5" s="5">
        <f t="shared" ca="1" si="2"/>
        <v>9999</v>
      </c>
      <c r="FX5" s="5">
        <f t="shared" ca="1" si="2"/>
        <v>9999</v>
      </c>
      <c r="FY5" s="5">
        <f t="shared" ca="1" si="2"/>
        <v>9999</v>
      </c>
      <c r="FZ5" s="5">
        <f t="shared" ca="1" si="2"/>
        <v>9999</v>
      </c>
      <c r="GA5" s="5">
        <f t="shared" ca="1" si="2"/>
        <v>9999</v>
      </c>
      <c r="GB5" s="5">
        <f t="shared" ca="1" si="2"/>
        <v>9999</v>
      </c>
      <c r="GC5" s="5">
        <f t="shared" ca="1" si="2"/>
        <v>9999</v>
      </c>
      <c r="GD5" s="5">
        <f t="shared" ca="1" si="2"/>
        <v>9999</v>
      </c>
      <c r="GE5" s="5">
        <f t="shared" ca="1" si="2"/>
        <v>9999</v>
      </c>
      <c r="GF5" s="5">
        <f t="shared" ca="1" si="2"/>
        <v>9999</v>
      </c>
      <c r="GG5" s="5">
        <f t="shared" ca="1" si="2"/>
        <v>9999</v>
      </c>
      <c r="GH5" s="5">
        <f t="shared" ca="1" si="2"/>
        <v>9999</v>
      </c>
      <c r="GI5" s="5">
        <f t="shared" ca="1" si="2"/>
        <v>9999</v>
      </c>
      <c r="GJ5" s="5">
        <f t="shared" ca="1" si="2"/>
        <v>9999</v>
      </c>
      <c r="GK5" s="5">
        <f t="shared" ca="1" si="2"/>
        <v>9999</v>
      </c>
      <c r="GL5" s="5">
        <f t="shared" ca="1" si="2"/>
        <v>9999</v>
      </c>
      <c r="GM5" s="5">
        <f t="shared" ca="1" si="2"/>
        <v>9999</v>
      </c>
      <c r="GN5" s="5">
        <f t="shared" ca="1" si="2"/>
        <v>9999</v>
      </c>
      <c r="GO5" s="5">
        <f t="shared" ca="1" si="2"/>
        <v>9999</v>
      </c>
      <c r="GP5" s="5">
        <f t="shared" ca="1" si="2"/>
        <v>9999</v>
      </c>
      <c r="GQ5" s="5">
        <f t="shared" ca="1" si="2"/>
        <v>9999</v>
      </c>
      <c r="GR5" s="5">
        <f t="shared" ca="1" si="2"/>
        <v>9999</v>
      </c>
      <c r="GS5" s="5">
        <f t="shared" ref="GS5:JD5" ca="1" si="3">INDIRECT(CONCATENATE($A5,"!",LEFT(GS$2,1),MID(GS$2,2,256)+GS$1-1))</f>
        <v>9999</v>
      </c>
      <c r="GT5" s="5">
        <f t="shared" ca="1" si="3"/>
        <v>9999</v>
      </c>
      <c r="GU5" s="5">
        <f t="shared" ca="1" si="3"/>
        <v>9999</v>
      </c>
      <c r="GV5" s="5">
        <f t="shared" ca="1" si="3"/>
        <v>9999</v>
      </c>
      <c r="GW5" s="5">
        <f t="shared" ca="1" si="3"/>
        <v>9999</v>
      </c>
      <c r="GX5" s="5">
        <f t="shared" ca="1" si="3"/>
        <v>9999</v>
      </c>
      <c r="GY5" s="5">
        <f t="shared" ca="1" si="3"/>
        <v>9999</v>
      </c>
      <c r="GZ5" s="5">
        <f t="shared" ca="1" si="3"/>
        <v>9999</v>
      </c>
      <c r="HA5" s="5">
        <f t="shared" ca="1" si="3"/>
        <v>9999</v>
      </c>
      <c r="HB5" s="5">
        <f t="shared" ca="1" si="3"/>
        <v>9999</v>
      </c>
      <c r="HC5" s="5">
        <f t="shared" ca="1" si="3"/>
        <v>9999</v>
      </c>
      <c r="HD5" s="5">
        <f t="shared" ca="1" si="3"/>
        <v>9999</v>
      </c>
      <c r="HE5" s="5">
        <f t="shared" ca="1" si="3"/>
        <v>9999</v>
      </c>
      <c r="HF5" s="5">
        <f t="shared" ca="1" si="3"/>
        <v>9999</v>
      </c>
      <c r="HG5" s="5">
        <f t="shared" ca="1" si="3"/>
        <v>9999</v>
      </c>
      <c r="HH5" s="5">
        <f t="shared" ca="1" si="3"/>
        <v>9999</v>
      </c>
      <c r="HI5" s="5">
        <f t="shared" ca="1" si="3"/>
        <v>9999</v>
      </c>
      <c r="HJ5" s="5">
        <f t="shared" ca="1" si="3"/>
        <v>9999</v>
      </c>
      <c r="HK5" s="5">
        <f t="shared" ca="1" si="3"/>
        <v>9999</v>
      </c>
      <c r="HL5" s="5">
        <f t="shared" ca="1" si="3"/>
        <v>9999</v>
      </c>
      <c r="HM5" s="5">
        <f t="shared" ca="1" si="3"/>
        <v>9999</v>
      </c>
      <c r="HN5" s="5">
        <f t="shared" ca="1" si="3"/>
        <v>9999</v>
      </c>
      <c r="HO5" s="5">
        <f t="shared" ca="1" si="3"/>
        <v>9999</v>
      </c>
      <c r="HP5" s="5">
        <f t="shared" ca="1" si="3"/>
        <v>9999</v>
      </c>
      <c r="HQ5" s="5">
        <f t="shared" ca="1" si="3"/>
        <v>9999</v>
      </c>
      <c r="HR5" s="5">
        <f t="shared" ca="1" si="3"/>
        <v>9999</v>
      </c>
      <c r="HS5" s="5">
        <f t="shared" ca="1" si="3"/>
        <v>9999</v>
      </c>
      <c r="HT5" s="5">
        <f t="shared" ca="1" si="3"/>
        <v>9999</v>
      </c>
      <c r="HU5" s="5">
        <f t="shared" ca="1" si="3"/>
        <v>9999</v>
      </c>
      <c r="HV5" s="5">
        <f t="shared" ca="1" si="3"/>
        <v>9999</v>
      </c>
      <c r="HW5" s="5">
        <f t="shared" ca="1" si="3"/>
        <v>9999</v>
      </c>
      <c r="HX5" s="5">
        <f t="shared" ca="1" si="3"/>
        <v>9999</v>
      </c>
      <c r="HY5" s="5">
        <f t="shared" ca="1" si="3"/>
        <v>9999</v>
      </c>
      <c r="HZ5" s="5">
        <f t="shared" ca="1" si="3"/>
        <v>9999</v>
      </c>
      <c r="IA5" s="5">
        <f t="shared" ca="1" si="3"/>
        <v>9999</v>
      </c>
      <c r="IB5" s="5">
        <f t="shared" ca="1" si="3"/>
        <v>9999</v>
      </c>
      <c r="IC5" s="5">
        <f t="shared" ca="1" si="3"/>
        <v>9999</v>
      </c>
      <c r="ID5" s="5">
        <f t="shared" ca="1" si="3"/>
        <v>9999</v>
      </c>
      <c r="IE5" s="5">
        <f t="shared" ca="1" si="3"/>
        <v>9999</v>
      </c>
      <c r="IF5" s="5">
        <f t="shared" ca="1" si="3"/>
        <v>9999</v>
      </c>
      <c r="IG5" s="5">
        <f t="shared" ca="1" si="3"/>
        <v>9999</v>
      </c>
      <c r="IH5" s="5">
        <f t="shared" ca="1" si="3"/>
        <v>9999</v>
      </c>
      <c r="II5" s="5">
        <f t="shared" ca="1" si="3"/>
        <v>9999</v>
      </c>
      <c r="IJ5" s="5">
        <f t="shared" ca="1" si="3"/>
        <v>9999</v>
      </c>
      <c r="IK5" s="5">
        <f t="shared" ca="1" si="3"/>
        <v>9999</v>
      </c>
      <c r="IL5" s="5">
        <f t="shared" ca="1" si="3"/>
        <v>9999</v>
      </c>
      <c r="IM5" s="5">
        <f t="shared" ca="1" si="3"/>
        <v>9999</v>
      </c>
      <c r="IN5" s="5">
        <f t="shared" ca="1" si="3"/>
        <v>9999</v>
      </c>
      <c r="IO5" s="5">
        <f t="shared" ca="1" si="3"/>
        <v>9999</v>
      </c>
      <c r="IP5" s="5">
        <f t="shared" ca="1" si="3"/>
        <v>9999</v>
      </c>
      <c r="IQ5" s="5">
        <f t="shared" ca="1" si="3"/>
        <v>9999</v>
      </c>
      <c r="IR5" s="5">
        <f t="shared" ca="1" si="3"/>
        <v>9999</v>
      </c>
      <c r="IS5" s="5">
        <f t="shared" ca="1" si="3"/>
        <v>9999</v>
      </c>
      <c r="IT5" s="5">
        <f t="shared" ca="1" si="3"/>
        <v>9999</v>
      </c>
      <c r="IU5" s="5">
        <f t="shared" ca="1" si="3"/>
        <v>9999</v>
      </c>
      <c r="IV5" s="5">
        <f t="shared" ca="1" si="3"/>
        <v>9999</v>
      </c>
      <c r="IW5" s="5">
        <f t="shared" ca="1" si="3"/>
        <v>9999</v>
      </c>
      <c r="IX5" s="5">
        <f t="shared" ca="1" si="3"/>
        <v>9999</v>
      </c>
      <c r="IY5" s="5">
        <f t="shared" ca="1" si="3"/>
        <v>9999</v>
      </c>
      <c r="IZ5" s="5">
        <f t="shared" ca="1" si="3"/>
        <v>9999</v>
      </c>
      <c r="JA5" s="5">
        <f t="shared" ca="1" si="3"/>
        <v>9999</v>
      </c>
      <c r="JB5" s="5">
        <f t="shared" ca="1" si="3"/>
        <v>9999</v>
      </c>
      <c r="JC5" s="5">
        <f t="shared" ca="1" si="3"/>
        <v>9999</v>
      </c>
      <c r="JD5" s="5">
        <f t="shared" ca="1" si="3"/>
        <v>9999</v>
      </c>
      <c r="JE5" s="5">
        <f t="shared" ref="JE5:LP5" ca="1" si="4">INDIRECT(CONCATENATE($A5,"!",LEFT(JE$2,1),MID(JE$2,2,256)+JE$1-1))</f>
        <v>9999</v>
      </c>
      <c r="JF5" s="5">
        <f t="shared" ca="1" si="4"/>
        <v>9999</v>
      </c>
      <c r="JG5" s="5">
        <f t="shared" ca="1" si="4"/>
        <v>9999</v>
      </c>
      <c r="JH5" s="5">
        <f t="shared" ca="1" si="4"/>
        <v>9999</v>
      </c>
      <c r="JI5" s="5">
        <f t="shared" ca="1" si="4"/>
        <v>9999</v>
      </c>
      <c r="JJ5" s="5">
        <f t="shared" ca="1" si="4"/>
        <v>9999</v>
      </c>
      <c r="JK5" s="5">
        <f t="shared" ca="1" si="4"/>
        <v>9999</v>
      </c>
      <c r="JL5" s="5">
        <f t="shared" ca="1" si="4"/>
        <v>9999</v>
      </c>
      <c r="JM5" s="5">
        <f t="shared" ca="1" si="4"/>
        <v>9999</v>
      </c>
      <c r="JN5" s="5">
        <f t="shared" ca="1" si="4"/>
        <v>9999</v>
      </c>
      <c r="JO5" s="5">
        <f t="shared" ca="1" si="4"/>
        <v>9999</v>
      </c>
      <c r="JP5" s="5">
        <f t="shared" ca="1" si="4"/>
        <v>9999</v>
      </c>
      <c r="JQ5" s="5">
        <f t="shared" ca="1" si="4"/>
        <v>9999</v>
      </c>
      <c r="JR5" s="5">
        <f t="shared" ca="1" si="4"/>
        <v>9999</v>
      </c>
      <c r="JS5" s="5">
        <f t="shared" ca="1" si="4"/>
        <v>9999</v>
      </c>
      <c r="JT5" s="5">
        <f t="shared" ca="1" si="4"/>
        <v>9999</v>
      </c>
      <c r="JU5" s="5">
        <f t="shared" ca="1" si="4"/>
        <v>9999</v>
      </c>
      <c r="JV5" s="5">
        <f t="shared" ca="1" si="4"/>
        <v>9999</v>
      </c>
      <c r="JW5" s="5">
        <f t="shared" ca="1" si="4"/>
        <v>9999</v>
      </c>
      <c r="JX5" s="5">
        <f t="shared" ca="1" si="4"/>
        <v>9999</v>
      </c>
      <c r="JY5" s="5">
        <f t="shared" ca="1" si="4"/>
        <v>9999</v>
      </c>
      <c r="JZ5" s="5">
        <f t="shared" ca="1" si="4"/>
        <v>9999</v>
      </c>
      <c r="KA5" s="5">
        <f t="shared" ca="1" si="4"/>
        <v>9999</v>
      </c>
      <c r="KB5" s="5">
        <f t="shared" ca="1" si="4"/>
        <v>9999</v>
      </c>
      <c r="KC5" s="5">
        <f t="shared" ca="1" si="4"/>
        <v>9999</v>
      </c>
      <c r="KD5" s="5">
        <f t="shared" ca="1" si="4"/>
        <v>9999</v>
      </c>
      <c r="KE5" s="5">
        <f t="shared" ca="1" si="4"/>
        <v>9999</v>
      </c>
      <c r="KF5" s="5">
        <f t="shared" ca="1" si="4"/>
        <v>9999</v>
      </c>
      <c r="KG5" s="5">
        <f t="shared" ca="1" si="4"/>
        <v>9999</v>
      </c>
      <c r="KH5" s="5">
        <f t="shared" ca="1" si="4"/>
        <v>9999</v>
      </c>
      <c r="KI5" s="5">
        <f t="shared" ca="1" si="4"/>
        <v>9999</v>
      </c>
      <c r="KJ5" s="5">
        <f t="shared" ca="1" si="4"/>
        <v>9999</v>
      </c>
      <c r="KK5" s="5">
        <f t="shared" ca="1" si="4"/>
        <v>9999</v>
      </c>
      <c r="KL5" s="5">
        <f t="shared" ca="1" si="4"/>
        <v>9999</v>
      </c>
      <c r="KM5" s="5">
        <f t="shared" ca="1" si="4"/>
        <v>9999</v>
      </c>
      <c r="KN5" s="5">
        <f t="shared" ca="1" si="4"/>
        <v>9999</v>
      </c>
      <c r="KO5" s="5">
        <f t="shared" ca="1" si="4"/>
        <v>9999</v>
      </c>
      <c r="KP5" s="5">
        <f t="shared" ca="1" si="4"/>
        <v>9999</v>
      </c>
      <c r="KQ5" s="5">
        <f t="shared" ca="1" si="4"/>
        <v>9999</v>
      </c>
      <c r="KR5" s="5">
        <f t="shared" ca="1" si="4"/>
        <v>9999</v>
      </c>
      <c r="KS5" s="5">
        <f t="shared" ca="1" si="4"/>
        <v>9999</v>
      </c>
      <c r="KT5" s="5">
        <f t="shared" ca="1" si="4"/>
        <v>9999</v>
      </c>
      <c r="KU5" s="5">
        <f t="shared" ca="1" si="4"/>
        <v>9999</v>
      </c>
      <c r="KV5" s="5">
        <f t="shared" ca="1" si="4"/>
        <v>9999</v>
      </c>
      <c r="KW5" s="5">
        <f t="shared" ca="1" si="4"/>
        <v>9999</v>
      </c>
      <c r="KX5" s="5">
        <f t="shared" ca="1" si="4"/>
        <v>9999</v>
      </c>
      <c r="KY5" s="5">
        <f t="shared" ca="1" si="4"/>
        <v>9999</v>
      </c>
      <c r="KZ5" s="5">
        <f t="shared" ca="1" si="4"/>
        <v>9999</v>
      </c>
      <c r="LA5" s="5">
        <f t="shared" ca="1" si="4"/>
        <v>9999</v>
      </c>
      <c r="LB5" s="5">
        <f t="shared" ca="1" si="4"/>
        <v>9999</v>
      </c>
      <c r="LC5" s="5">
        <f t="shared" ca="1" si="4"/>
        <v>9999</v>
      </c>
      <c r="LD5" s="5">
        <f t="shared" ca="1" si="4"/>
        <v>9999</v>
      </c>
      <c r="LE5" s="5">
        <f t="shared" ca="1" si="4"/>
        <v>9999</v>
      </c>
      <c r="LF5" s="5">
        <f t="shared" ca="1" si="4"/>
        <v>9999</v>
      </c>
      <c r="LG5" s="5">
        <f t="shared" ca="1" si="4"/>
        <v>9999</v>
      </c>
      <c r="LH5" s="5">
        <f t="shared" ca="1" si="4"/>
        <v>9999</v>
      </c>
      <c r="LI5" s="5">
        <f t="shared" ca="1" si="4"/>
        <v>9999</v>
      </c>
      <c r="LJ5" s="5">
        <f t="shared" ca="1" si="4"/>
        <v>9999</v>
      </c>
      <c r="LK5" s="5">
        <f t="shared" ca="1" si="4"/>
        <v>9999</v>
      </c>
      <c r="LL5" s="5">
        <f t="shared" ca="1" si="4"/>
        <v>9999</v>
      </c>
      <c r="LM5" s="5">
        <f t="shared" ca="1" si="4"/>
        <v>9999</v>
      </c>
      <c r="LN5" s="5">
        <f t="shared" ca="1" si="4"/>
        <v>9999</v>
      </c>
      <c r="LO5" s="5">
        <f t="shared" ca="1" si="4"/>
        <v>9999</v>
      </c>
      <c r="LP5" s="5">
        <f t="shared" ca="1" si="4"/>
        <v>9999</v>
      </c>
      <c r="LQ5" s="5">
        <f t="shared" ref="LQ5:OB5" ca="1" si="5">INDIRECT(CONCATENATE($A5,"!",LEFT(LQ$2,1),MID(LQ$2,2,256)+LQ$1-1))</f>
        <v>9999</v>
      </c>
      <c r="LR5" s="5">
        <f t="shared" ca="1" si="5"/>
        <v>9999</v>
      </c>
      <c r="LS5" s="5">
        <f t="shared" ca="1" si="5"/>
        <v>9999</v>
      </c>
      <c r="LT5" s="5">
        <f t="shared" ca="1" si="5"/>
        <v>9999</v>
      </c>
      <c r="LU5" s="5">
        <f t="shared" ca="1" si="5"/>
        <v>9999</v>
      </c>
      <c r="LV5" s="5">
        <f t="shared" ca="1" si="5"/>
        <v>9999</v>
      </c>
      <c r="LW5" s="5">
        <f t="shared" ca="1" si="5"/>
        <v>9999</v>
      </c>
      <c r="LX5" s="5">
        <f t="shared" ca="1" si="5"/>
        <v>9999</v>
      </c>
      <c r="LY5" s="5">
        <f t="shared" ca="1" si="5"/>
        <v>9999</v>
      </c>
      <c r="LZ5" s="5">
        <f t="shared" ca="1" si="5"/>
        <v>9999</v>
      </c>
      <c r="MA5" s="5">
        <f t="shared" ca="1" si="5"/>
        <v>9999</v>
      </c>
      <c r="MB5" s="5">
        <f t="shared" ca="1" si="5"/>
        <v>9999</v>
      </c>
      <c r="MC5" s="5">
        <f t="shared" ca="1" si="5"/>
        <v>9999</v>
      </c>
      <c r="MD5" s="5">
        <f t="shared" ca="1" si="5"/>
        <v>9999</v>
      </c>
      <c r="ME5" s="5">
        <f t="shared" ca="1" si="5"/>
        <v>9999</v>
      </c>
      <c r="MF5" s="5">
        <f t="shared" ca="1" si="5"/>
        <v>9999</v>
      </c>
      <c r="MG5" s="5">
        <f t="shared" ca="1" si="5"/>
        <v>9999</v>
      </c>
      <c r="MH5" s="5">
        <f t="shared" ca="1" si="5"/>
        <v>9999</v>
      </c>
      <c r="MI5" s="5">
        <f t="shared" ca="1" si="5"/>
        <v>9999</v>
      </c>
      <c r="MJ5" s="5">
        <f t="shared" ca="1" si="5"/>
        <v>9999</v>
      </c>
      <c r="MK5" s="5">
        <f t="shared" ca="1" si="5"/>
        <v>9999</v>
      </c>
      <c r="ML5" s="5">
        <f t="shared" ca="1" si="5"/>
        <v>9999</v>
      </c>
      <c r="MM5" s="5">
        <f t="shared" ca="1" si="5"/>
        <v>9999</v>
      </c>
      <c r="MN5" s="5">
        <f t="shared" ca="1" si="5"/>
        <v>9999</v>
      </c>
      <c r="MO5" s="5">
        <f t="shared" ca="1" si="5"/>
        <v>9999</v>
      </c>
      <c r="MP5" s="5">
        <f t="shared" ca="1" si="5"/>
        <v>9999</v>
      </c>
      <c r="MQ5" s="5">
        <f t="shared" ca="1" si="5"/>
        <v>9999</v>
      </c>
      <c r="MR5" s="5">
        <f t="shared" ca="1" si="5"/>
        <v>9999</v>
      </c>
      <c r="MS5" s="5">
        <f t="shared" ca="1" si="5"/>
        <v>9999</v>
      </c>
      <c r="MT5" s="5">
        <f t="shared" ca="1" si="5"/>
        <v>9999</v>
      </c>
      <c r="MU5" s="5">
        <f t="shared" ca="1" si="5"/>
        <v>9999</v>
      </c>
      <c r="MV5" s="5">
        <f t="shared" ca="1" si="5"/>
        <v>9999</v>
      </c>
      <c r="MW5" s="5">
        <f t="shared" ca="1" si="5"/>
        <v>9999</v>
      </c>
      <c r="MX5" s="5">
        <f t="shared" ca="1" si="5"/>
        <v>9999</v>
      </c>
      <c r="MY5" s="5">
        <f t="shared" ca="1" si="5"/>
        <v>9999</v>
      </c>
      <c r="MZ5" s="5">
        <f t="shared" ca="1" si="5"/>
        <v>9999</v>
      </c>
      <c r="NA5" s="5">
        <f t="shared" ca="1" si="5"/>
        <v>9999</v>
      </c>
      <c r="NB5" s="5">
        <f t="shared" ca="1" si="5"/>
        <v>9999</v>
      </c>
      <c r="NC5" s="5">
        <f t="shared" ca="1" si="5"/>
        <v>9999</v>
      </c>
      <c r="ND5" s="5">
        <f t="shared" ca="1" si="5"/>
        <v>9999</v>
      </c>
      <c r="NE5" s="5">
        <f t="shared" ca="1" si="5"/>
        <v>9999</v>
      </c>
      <c r="NF5" s="5">
        <f t="shared" ca="1" si="5"/>
        <v>9999</v>
      </c>
      <c r="NG5" s="5">
        <f t="shared" ca="1" si="5"/>
        <v>9999</v>
      </c>
      <c r="NH5" s="5">
        <f t="shared" ca="1" si="5"/>
        <v>9999</v>
      </c>
      <c r="NI5" s="5">
        <f t="shared" ca="1" si="5"/>
        <v>9999</v>
      </c>
      <c r="NJ5" s="5">
        <f t="shared" ca="1" si="5"/>
        <v>9999</v>
      </c>
      <c r="NK5" s="5">
        <f t="shared" ca="1" si="5"/>
        <v>9999</v>
      </c>
      <c r="NL5" s="5">
        <f t="shared" ca="1" si="5"/>
        <v>9999</v>
      </c>
      <c r="NM5" s="5">
        <f t="shared" ca="1" si="5"/>
        <v>9999</v>
      </c>
      <c r="NN5" s="5">
        <f t="shared" ca="1" si="5"/>
        <v>9999</v>
      </c>
      <c r="NO5" s="5">
        <f t="shared" ca="1" si="5"/>
        <v>9999</v>
      </c>
      <c r="NP5" s="5">
        <f t="shared" ca="1" si="5"/>
        <v>9999</v>
      </c>
      <c r="NQ5" s="5">
        <f t="shared" ca="1" si="5"/>
        <v>9999</v>
      </c>
      <c r="NR5" s="5">
        <f t="shared" ca="1" si="5"/>
        <v>9999</v>
      </c>
      <c r="NS5" s="5">
        <f t="shared" ca="1" si="5"/>
        <v>9999</v>
      </c>
      <c r="NT5" s="5">
        <f t="shared" ca="1" si="5"/>
        <v>9999</v>
      </c>
      <c r="NU5" s="5">
        <f t="shared" ca="1" si="5"/>
        <v>9999</v>
      </c>
      <c r="NV5" s="5">
        <f t="shared" ca="1" si="5"/>
        <v>9999</v>
      </c>
      <c r="NW5" s="5">
        <f t="shared" ca="1" si="5"/>
        <v>9999</v>
      </c>
      <c r="NX5" s="5">
        <f t="shared" ca="1" si="5"/>
        <v>9999</v>
      </c>
      <c r="NY5" s="5">
        <f t="shared" ca="1" si="5"/>
        <v>9999</v>
      </c>
      <c r="NZ5" s="5">
        <f t="shared" ca="1" si="5"/>
        <v>9999</v>
      </c>
      <c r="OA5" s="5">
        <f t="shared" ca="1" si="5"/>
        <v>9999</v>
      </c>
      <c r="OB5" s="5">
        <f t="shared" ca="1" si="5"/>
        <v>9999</v>
      </c>
      <c r="OC5" s="5">
        <f t="shared" ref="OC5:QN5" ca="1" si="6">INDIRECT(CONCATENATE($A5,"!",LEFT(OC$2,1),MID(OC$2,2,256)+OC$1-1))</f>
        <v>9999</v>
      </c>
      <c r="OD5" s="5">
        <f t="shared" ca="1" si="6"/>
        <v>9999</v>
      </c>
      <c r="OE5" s="5">
        <f t="shared" ca="1" si="6"/>
        <v>9999</v>
      </c>
      <c r="OF5" s="5">
        <f t="shared" ca="1" si="6"/>
        <v>9999</v>
      </c>
      <c r="OG5" s="5">
        <f t="shared" ca="1" si="6"/>
        <v>9999</v>
      </c>
      <c r="OH5" s="5">
        <f t="shared" ca="1" si="6"/>
        <v>9999</v>
      </c>
      <c r="OI5" s="5">
        <f t="shared" ca="1" si="6"/>
        <v>9999</v>
      </c>
      <c r="OJ5" s="5">
        <f t="shared" ca="1" si="6"/>
        <v>9999</v>
      </c>
      <c r="OK5" s="5">
        <f t="shared" ca="1" si="6"/>
        <v>9999</v>
      </c>
      <c r="OL5" s="5">
        <f t="shared" ca="1" si="6"/>
        <v>9999</v>
      </c>
      <c r="OM5" s="5">
        <f t="shared" ca="1" si="6"/>
        <v>9999</v>
      </c>
      <c r="ON5" s="5">
        <f t="shared" ca="1" si="6"/>
        <v>9999</v>
      </c>
      <c r="OO5" s="5">
        <f t="shared" ca="1" si="6"/>
        <v>9999</v>
      </c>
      <c r="OP5" s="5">
        <f t="shared" ca="1" si="6"/>
        <v>9999</v>
      </c>
      <c r="OQ5" s="5">
        <f t="shared" ca="1" si="6"/>
        <v>9999</v>
      </c>
      <c r="OR5" s="5">
        <f t="shared" ca="1" si="6"/>
        <v>9999</v>
      </c>
      <c r="OS5" s="5">
        <f t="shared" ca="1" si="6"/>
        <v>9999</v>
      </c>
      <c r="OT5" s="5">
        <f t="shared" ca="1" si="6"/>
        <v>9999</v>
      </c>
      <c r="OU5" s="5">
        <f t="shared" ca="1" si="6"/>
        <v>9999</v>
      </c>
      <c r="OV5" s="5">
        <f t="shared" ca="1" si="6"/>
        <v>9999</v>
      </c>
      <c r="OW5" s="5">
        <f t="shared" ca="1" si="6"/>
        <v>9999</v>
      </c>
      <c r="OX5" s="5">
        <f t="shared" ca="1" si="6"/>
        <v>9999</v>
      </c>
      <c r="OY5" s="5">
        <f t="shared" ca="1" si="6"/>
        <v>9999</v>
      </c>
      <c r="OZ5" s="5">
        <f t="shared" ca="1" si="6"/>
        <v>9999</v>
      </c>
      <c r="PA5" s="5">
        <f t="shared" ca="1" si="6"/>
        <v>9999</v>
      </c>
      <c r="PB5" s="5">
        <f t="shared" ca="1" si="6"/>
        <v>9999</v>
      </c>
      <c r="PC5" s="5">
        <f t="shared" ca="1" si="6"/>
        <v>9999</v>
      </c>
      <c r="PD5" s="5">
        <f t="shared" ca="1" si="6"/>
        <v>9999</v>
      </c>
      <c r="PE5" s="5">
        <f t="shared" ca="1" si="6"/>
        <v>9999</v>
      </c>
      <c r="PF5" s="5">
        <f t="shared" ca="1" si="6"/>
        <v>9999</v>
      </c>
      <c r="PG5" s="5">
        <f t="shared" ca="1" si="6"/>
        <v>9999</v>
      </c>
      <c r="PH5" s="5">
        <f t="shared" ca="1" si="6"/>
        <v>9999</v>
      </c>
      <c r="PI5" s="5">
        <f t="shared" ca="1" si="6"/>
        <v>9999</v>
      </c>
      <c r="PJ5" s="5">
        <f t="shared" ca="1" si="6"/>
        <v>9999</v>
      </c>
      <c r="PK5" s="5">
        <f t="shared" ca="1" si="6"/>
        <v>9999</v>
      </c>
      <c r="PL5" s="5">
        <f t="shared" ca="1" si="6"/>
        <v>9999</v>
      </c>
      <c r="PM5" s="5">
        <f t="shared" ca="1" si="6"/>
        <v>9999</v>
      </c>
      <c r="PN5" s="5">
        <f t="shared" ca="1" si="6"/>
        <v>9999</v>
      </c>
      <c r="PO5" s="5">
        <f t="shared" ca="1" si="6"/>
        <v>9999</v>
      </c>
      <c r="PP5" s="5">
        <f t="shared" ca="1" si="6"/>
        <v>9999</v>
      </c>
      <c r="PQ5" s="5">
        <f t="shared" ca="1" si="6"/>
        <v>9999</v>
      </c>
      <c r="PR5" s="5">
        <f t="shared" ca="1" si="6"/>
        <v>9999</v>
      </c>
      <c r="PS5" s="5">
        <f t="shared" ca="1" si="6"/>
        <v>9999</v>
      </c>
      <c r="PT5" s="5">
        <f t="shared" ca="1" si="6"/>
        <v>9999</v>
      </c>
      <c r="PU5" s="5">
        <f t="shared" ca="1" si="6"/>
        <v>9999</v>
      </c>
      <c r="PV5" s="5">
        <f t="shared" ca="1" si="6"/>
        <v>9999</v>
      </c>
      <c r="PW5" s="5">
        <f t="shared" ca="1" si="6"/>
        <v>9999</v>
      </c>
      <c r="PX5" s="5">
        <f t="shared" ca="1" si="6"/>
        <v>9999</v>
      </c>
      <c r="PY5" s="5">
        <f t="shared" ca="1" si="6"/>
        <v>9999</v>
      </c>
      <c r="PZ5" s="5">
        <f t="shared" ca="1" si="6"/>
        <v>9999</v>
      </c>
      <c r="QA5" s="5">
        <f t="shared" ca="1" si="6"/>
        <v>9999</v>
      </c>
      <c r="QB5" s="5">
        <f t="shared" ca="1" si="6"/>
        <v>9999</v>
      </c>
      <c r="QC5" s="5">
        <f t="shared" ca="1" si="6"/>
        <v>9999</v>
      </c>
      <c r="QD5" s="5">
        <f t="shared" ca="1" si="6"/>
        <v>9999</v>
      </c>
      <c r="QE5" s="5">
        <f t="shared" ca="1" si="6"/>
        <v>9999</v>
      </c>
      <c r="QF5" s="5">
        <f t="shared" ca="1" si="6"/>
        <v>9999</v>
      </c>
      <c r="QG5" s="5">
        <f t="shared" ca="1" si="6"/>
        <v>9999</v>
      </c>
      <c r="QH5" s="5">
        <f t="shared" ca="1" si="6"/>
        <v>9999</v>
      </c>
      <c r="QI5" s="5">
        <f t="shared" ca="1" si="6"/>
        <v>9999</v>
      </c>
      <c r="QJ5" s="5">
        <f t="shared" ca="1" si="6"/>
        <v>9999</v>
      </c>
      <c r="QK5" s="5">
        <f t="shared" ca="1" si="6"/>
        <v>9999</v>
      </c>
      <c r="QL5" s="5">
        <f t="shared" ca="1" si="6"/>
        <v>9999</v>
      </c>
      <c r="QM5" s="5">
        <f t="shared" ca="1" si="6"/>
        <v>9999</v>
      </c>
      <c r="QN5" s="5">
        <f t="shared" ca="1" si="6"/>
        <v>9999</v>
      </c>
      <c r="QO5" s="5">
        <f t="shared" ref="QO5:SZ5" ca="1" si="7">INDIRECT(CONCATENATE($A5,"!",LEFT(QO$2,1),MID(QO$2,2,256)+QO$1-1))</f>
        <v>9999</v>
      </c>
      <c r="QP5" s="5">
        <f t="shared" ca="1" si="7"/>
        <v>9999</v>
      </c>
      <c r="QQ5" s="5">
        <f t="shared" ca="1" si="7"/>
        <v>9999</v>
      </c>
      <c r="QR5" s="5">
        <f t="shared" ca="1" si="7"/>
        <v>9999</v>
      </c>
      <c r="QS5" s="5">
        <f t="shared" ca="1" si="7"/>
        <v>9999</v>
      </c>
      <c r="QT5" s="5">
        <f t="shared" ca="1" si="7"/>
        <v>9999</v>
      </c>
      <c r="QU5" s="5">
        <f t="shared" ca="1" si="7"/>
        <v>9999</v>
      </c>
      <c r="QV5" s="5">
        <f t="shared" ca="1" si="7"/>
        <v>9999</v>
      </c>
      <c r="QW5" s="5">
        <f t="shared" ca="1" si="7"/>
        <v>9999</v>
      </c>
      <c r="QX5" s="5">
        <f t="shared" ca="1" si="7"/>
        <v>9999</v>
      </c>
      <c r="QY5" s="5">
        <f t="shared" ca="1" si="7"/>
        <v>9999</v>
      </c>
      <c r="QZ5" s="5">
        <f t="shared" ca="1" si="7"/>
        <v>9999</v>
      </c>
      <c r="RA5" s="5">
        <f t="shared" ca="1" si="7"/>
        <v>9999</v>
      </c>
      <c r="RB5" s="5">
        <f t="shared" ca="1" si="7"/>
        <v>9999</v>
      </c>
      <c r="RC5" s="5">
        <f t="shared" ca="1" si="7"/>
        <v>9999</v>
      </c>
      <c r="RD5" s="5">
        <f t="shared" ca="1" si="7"/>
        <v>9999</v>
      </c>
      <c r="RE5" s="5">
        <f t="shared" ca="1" si="7"/>
        <v>9999</v>
      </c>
      <c r="RF5" s="5">
        <f t="shared" ca="1" si="7"/>
        <v>9999</v>
      </c>
      <c r="RG5" s="5">
        <f t="shared" ca="1" si="7"/>
        <v>9999</v>
      </c>
      <c r="RH5" s="5">
        <f t="shared" ca="1" si="7"/>
        <v>9999</v>
      </c>
      <c r="RI5" s="5">
        <f t="shared" ca="1" si="7"/>
        <v>9999</v>
      </c>
      <c r="RJ5" s="5">
        <f t="shared" ca="1" si="7"/>
        <v>9999</v>
      </c>
      <c r="RK5" s="5">
        <f t="shared" ca="1" si="7"/>
        <v>9999</v>
      </c>
      <c r="RL5" s="5">
        <f t="shared" ca="1" si="7"/>
        <v>9999</v>
      </c>
      <c r="RM5" s="5">
        <f t="shared" ca="1" si="7"/>
        <v>9999</v>
      </c>
      <c r="RN5" s="5">
        <f t="shared" ca="1" si="7"/>
        <v>9999</v>
      </c>
      <c r="RO5" s="5">
        <f t="shared" ca="1" si="7"/>
        <v>9999</v>
      </c>
      <c r="RP5" s="5">
        <f t="shared" ca="1" si="7"/>
        <v>9999</v>
      </c>
      <c r="RQ5" s="5">
        <f t="shared" ca="1" si="7"/>
        <v>9999</v>
      </c>
      <c r="RR5" s="5">
        <f t="shared" ca="1" si="7"/>
        <v>9999</v>
      </c>
      <c r="RS5" s="5">
        <f t="shared" ca="1" si="7"/>
        <v>9999</v>
      </c>
      <c r="RT5" s="5">
        <f t="shared" ca="1" si="7"/>
        <v>9999</v>
      </c>
      <c r="RU5" s="5">
        <f t="shared" ca="1" si="7"/>
        <v>9999</v>
      </c>
      <c r="RV5" s="5">
        <f t="shared" ca="1" si="7"/>
        <v>9999</v>
      </c>
      <c r="RW5" s="5">
        <f t="shared" ca="1" si="7"/>
        <v>9999</v>
      </c>
      <c r="RX5" s="5">
        <f t="shared" ca="1" si="7"/>
        <v>9999</v>
      </c>
      <c r="RY5" s="5">
        <f t="shared" ca="1" si="7"/>
        <v>9999</v>
      </c>
      <c r="RZ5" s="5">
        <f t="shared" ca="1" si="7"/>
        <v>9999</v>
      </c>
      <c r="SA5" s="5">
        <f t="shared" ca="1" si="7"/>
        <v>9999</v>
      </c>
      <c r="SB5" s="5">
        <f t="shared" ca="1" si="7"/>
        <v>9999</v>
      </c>
      <c r="SC5" s="5">
        <f t="shared" ca="1" si="7"/>
        <v>9999</v>
      </c>
      <c r="SD5" s="5">
        <f t="shared" ca="1" si="7"/>
        <v>9999</v>
      </c>
      <c r="SE5" s="5">
        <f t="shared" ca="1" si="7"/>
        <v>9999</v>
      </c>
      <c r="SF5" s="5">
        <f t="shared" ca="1" si="7"/>
        <v>9999</v>
      </c>
      <c r="SG5" s="5">
        <f t="shared" ca="1" si="7"/>
        <v>9999</v>
      </c>
      <c r="SH5" s="5">
        <f t="shared" ca="1" si="7"/>
        <v>9999</v>
      </c>
      <c r="SI5" s="5">
        <f t="shared" ca="1" si="7"/>
        <v>9999</v>
      </c>
      <c r="SJ5" s="5">
        <f t="shared" ca="1" si="7"/>
        <v>9999</v>
      </c>
      <c r="SK5" s="5">
        <f t="shared" ca="1" si="7"/>
        <v>9999</v>
      </c>
      <c r="SL5" s="5">
        <f t="shared" ca="1" si="7"/>
        <v>9999</v>
      </c>
      <c r="SM5" s="5">
        <f t="shared" ca="1" si="7"/>
        <v>9999</v>
      </c>
      <c r="SN5" s="5">
        <f t="shared" ca="1" si="7"/>
        <v>9999</v>
      </c>
      <c r="SO5" s="5">
        <f t="shared" ca="1" si="7"/>
        <v>9999</v>
      </c>
      <c r="SP5" s="5">
        <f t="shared" ca="1" si="7"/>
        <v>9999</v>
      </c>
      <c r="SQ5" s="5">
        <f t="shared" ca="1" si="7"/>
        <v>9999</v>
      </c>
      <c r="SR5" s="5">
        <f t="shared" ca="1" si="7"/>
        <v>9999</v>
      </c>
      <c r="SS5" s="5">
        <f t="shared" ca="1" si="7"/>
        <v>9999</v>
      </c>
      <c r="ST5" s="5">
        <f t="shared" ca="1" si="7"/>
        <v>9999</v>
      </c>
      <c r="SU5" s="5">
        <f t="shared" ca="1" si="7"/>
        <v>9999</v>
      </c>
      <c r="SV5" s="5">
        <f t="shared" ca="1" si="7"/>
        <v>9999</v>
      </c>
      <c r="SW5" s="5">
        <f t="shared" ca="1" si="7"/>
        <v>9999</v>
      </c>
      <c r="SX5" s="5">
        <f t="shared" ca="1" si="7"/>
        <v>9999</v>
      </c>
      <c r="SY5" s="5">
        <f t="shared" ca="1" si="7"/>
        <v>9999</v>
      </c>
      <c r="SZ5" s="5">
        <f t="shared" ca="1" si="7"/>
        <v>9999</v>
      </c>
      <c r="TA5" s="5">
        <f t="shared" ref="TA5:TG5" ca="1" si="8">INDIRECT(CONCATENATE($A5,"!",LEFT(TA$2,1),MID(TA$2,2,256)+TA$1-1))</f>
        <v>9999</v>
      </c>
      <c r="TB5" s="5">
        <f t="shared" ca="1" si="8"/>
        <v>9999</v>
      </c>
      <c r="TC5" s="5">
        <f t="shared" ca="1" si="8"/>
        <v>9999</v>
      </c>
      <c r="TD5" s="5">
        <f t="shared" ca="1" si="8"/>
        <v>9999</v>
      </c>
      <c r="TE5" s="5">
        <f t="shared" ca="1" si="8"/>
        <v>9999</v>
      </c>
      <c r="TF5" s="5">
        <f t="shared" ca="1" si="8"/>
        <v>9999</v>
      </c>
      <c r="TG5" s="5">
        <f t="shared" ca="1" si="8"/>
        <v>9999</v>
      </c>
    </row>
    <row r="11" spans="1:527" x14ac:dyDescent="0.2">
      <c r="A11"/>
    </row>
    <row r="12" spans="1:527" x14ac:dyDescent="0.2">
      <c r="A12"/>
    </row>
    <row r="13" spans="1:527" x14ac:dyDescent="0.2">
      <c r="A13"/>
    </row>
    <row r="14" spans="1:527" x14ac:dyDescent="0.2">
      <c r="A14"/>
    </row>
    <row r="15" spans="1:527" x14ac:dyDescent="0.2">
      <c r="A1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/>
  <dimension ref="A1:TG5"/>
  <sheetViews>
    <sheetView zoomScale="80" zoomScaleNormal="80" workbookViewId="0">
      <pane xSplit="7" ySplit="4" topLeftCell="SL5" activePane="bottomRight" state="frozen"/>
      <selection activeCell="H36" sqref="H36"/>
      <selection pane="topRight" activeCell="H36" sqref="H36"/>
      <selection pane="bottomLeft" activeCell="H36" sqref="H36"/>
      <selection pane="bottomRight" activeCell="A4" sqref="A4"/>
    </sheetView>
  </sheetViews>
  <sheetFormatPr defaultColWidth="9" defaultRowHeight="12.75" x14ac:dyDescent="0.2"/>
  <cols>
    <col min="1" max="1" width="10.28515625" style="31" bestFit="1" customWidth="1"/>
    <col min="3" max="4" width="12.140625" bestFit="1" customWidth="1"/>
    <col min="5" max="5" width="12.140625" customWidth="1"/>
  </cols>
  <sheetData>
    <row r="1" spans="1:527" s="31" customFormat="1" hidden="1" x14ac:dyDescent="0.2">
      <c r="A1" s="31" t="s">
        <v>72</v>
      </c>
      <c r="H1" s="31">
        <v>1</v>
      </c>
      <c r="I1" s="31">
        <v>1</v>
      </c>
      <c r="J1" s="31">
        <v>1</v>
      </c>
      <c r="K1" s="31">
        <v>1</v>
      </c>
      <c r="L1" s="31">
        <v>1</v>
      </c>
      <c r="M1" s="31">
        <v>1</v>
      </c>
      <c r="N1" s="31">
        <v>1</v>
      </c>
      <c r="O1" s="31">
        <v>1</v>
      </c>
      <c r="P1" s="31">
        <v>1</v>
      </c>
      <c r="Q1" s="31">
        <v>1</v>
      </c>
      <c r="R1" s="31">
        <v>1</v>
      </c>
      <c r="S1" s="31">
        <v>1</v>
      </c>
      <c r="T1" s="31">
        <v>1</v>
      </c>
      <c r="U1" s="31">
        <v>1</v>
      </c>
      <c r="V1" s="31">
        <v>1</v>
      </c>
      <c r="W1" s="31">
        <v>1</v>
      </c>
      <c r="X1" s="31">
        <v>1</v>
      </c>
      <c r="Y1" s="31">
        <v>1</v>
      </c>
      <c r="Z1" s="31">
        <v>1</v>
      </c>
      <c r="AA1" s="31">
        <v>1</v>
      </c>
      <c r="AB1" s="31">
        <v>1</v>
      </c>
      <c r="AC1" s="31">
        <v>1</v>
      </c>
      <c r="AD1" s="31">
        <v>1</v>
      </c>
      <c r="AE1" s="31">
        <v>2</v>
      </c>
      <c r="AF1" s="31">
        <v>2</v>
      </c>
      <c r="AG1" s="31">
        <v>2</v>
      </c>
      <c r="AH1" s="31">
        <v>2</v>
      </c>
      <c r="AI1" s="31">
        <v>2</v>
      </c>
      <c r="AJ1" s="31">
        <v>2</v>
      </c>
      <c r="AK1" s="31">
        <v>2</v>
      </c>
      <c r="AL1" s="31">
        <v>2</v>
      </c>
      <c r="AM1" s="31">
        <v>2</v>
      </c>
      <c r="AN1" s="31">
        <v>2</v>
      </c>
      <c r="AO1" s="31">
        <v>2</v>
      </c>
      <c r="AP1" s="31">
        <v>2</v>
      </c>
      <c r="AQ1" s="31">
        <v>2</v>
      </c>
      <c r="AR1" s="31">
        <v>2</v>
      </c>
      <c r="AS1" s="31">
        <v>2</v>
      </c>
      <c r="AT1" s="31">
        <v>2</v>
      </c>
      <c r="AU1" s="31">
        <v>2</v>
      </c>
      <c r="AV1" s="31">
        <v>2</v>
      </c>
      <c r="AW1" s="31">
        <v>2</v>
      </c>
      <c r="AX1" s="31">
        <v>2</v>
      </c>
      <c r="AY1" s="31">
        <v>2</v>
      </c>
      <c r="AZ1" s="31">
        <v>2</v>
      </c>
      <c r="BA1" s="31">
        <v>2</v>
      </c>
      <c r="BB1" s="31">
        <v>3</v>
      </c>
      <c r="BC1" s="31">
        <v>3</v>
      </c>
      <c r="BD1" s="31">
        <v>3</v>
      </c>
      <c r="BE1" s="31">
        <v>3</v>
      </c>
      <c r="BF1" s="31">
        <v>3</v>
      </c>
      <c r="BG1" s="31">
        <v>3</v>
      </c>
      <c r="BH1" s="31">
        <v>3</v>
      </c>
      <c r="BI1" s="31">
        <v>3</v>
      </c>
      <c r="BJ1" s="31">
        <v>3</v>
      </c>
      <c r="BK1" s="31">
        <v>3</v>
      </c>
      <c r="BL1" s="31">
        <v>3</v>
      </c>
      <c r="BM1" s="31">
        <v>3</v>
      </c>
      <c r="BN1" s="31">
        <v>3</v>
      </c>
      <c r="BO1" s="31">
        <v>3</v>
      </c>
      <c r="BP1" s="31">
        <v>3</v>
      </c>
      <c r="BQ1" s="31">
        <v>3</v>
      </c>
      <c r="BR1" s="31">
        <v>3</v>
      </c>
      <c r="BS1" s="31">
        <v>3</v>
      </c>
      <c r="BT1" s="31">
        <v>3</v>
      </c>
      <c r="BU1" s="31">
        <v>3</v>
      </c>
      <c r="BV1" s="31">
        <v>3</v>
      </c>
      <c r="BW1" s="31">
        <v>3</v>
      </c>
      <c r="BX1" s="31">
        <v>3</v>
      </c>
      <c r="BY1" s="31">
        <v>4</v>
      </c>
      <c r="BZ1" s="31">
        <v>4</v>
      </c>
      <c r="CA1" s="31">
        <v>4</v>
      </c>
      <c r="CB1" s="31">
        <v>4</v>
      </c>
      <c r="CC1" s="31">
        <v>4</v>
      </c>
      <c r="CD1" s="31">
        <v>4</v>
      </c>
      <c r="CE1" s="31">
        <v>4</v>
      </c>
      <c r="CF1" s="31">
        <v>4</v>
      </c>
      <c r="CG1" s="31">
        <v>4</v>
      </c>
      <c r="CH1" s="31">
        <v>4</v>
      </c>
      <c r="CI1" s="31">
        <v>4</v>
      </c>
      <c r="CJ1" s="31">
        <v>4</v>
      </c>
      <c r="CK1" s="31">
        <v>4</v>
      </c>
      <c r="CL1" s="31">
        <v>4</v>
      </c>
      <c r="CM1" s="31">
        <v>4</v>
      </c>
      <c r="CN1" s="31">
        <v>4</v>
      </c>
      <c r="CO1" s="31">
        <v>4</v>
      </c>
      <c r="CP1" s="31">
        <v>4</v>
      </c>
      <c r="CQ1" s="31">
        <v>4</v>
      </c>
      <c r="CR1" s="31">
        <v>4</v>
      </c>
      <c r="CS1" s="31">
        <v>4</v>
      </c>
      <c r="CT1" s="31">
        <v>4</v>
      </c>
      <c r="CU1" s="31">
        <v>4</v>
      </c>
      <c r="CV1" s="31">
        <v>5</v>
      </c>
      <c r="CW1" s="31">
        <v>5</v>
      </c>
      <c r="CX1" s="31">
        <v>5</v>
      </c>
      <c r="CY1" s="31">
        <v>5</v>
      </c>
      <c r="CZ1" s="31">
        <v>5</v>
      </c>
      <c r="DA1" s="31">
        <v>5</v>
      </c>
      <c r="DB1" s="31">
        <v>5</v>
      </c>
      <c r="DC1" s="31">
        <v>5</v>
      </c>
      <c r="DD1" s="31">
        <v>5</v>
      </c>
      <c r="DE1" s="31">
        <v>5</v>
      </c>
      <c r="DF1" s="31">
        <v>5</v>
      </c>
      <c r="DG1" s="31">
        <v>5</v>
      </c>
      <c r="DH1" s="31">
        <v>5</v>
      </c>
      <c r="DI1" s="31">
        <v>5</v>
      </c>
      <c r="DJ1" s="31">
        <v>5</v>
      </c>
      <c r="DK1" s="31">
        <v>5</v>
      </c>
      <c r="DL1" s="31">
        <v>5</v>
      </c>
      <c r="DM1" s="31">
        <v>5</v>
      </c>
      <c r="DN1" s="31">
        <v>5</v>
      </c>
      <c r="DO1" s="31">
        <v>5</v>
      </c>
      <c r="DP1" s="31">
        <v>5</v>
      </c>
      <c r="DQ1" s="31">
        <v>5</v>
      </c>
      <c r="DR1" s="31">
        <v>5</v>
      </c>
      <c r="DS1" s="31">
        <v>6</v>
      </c>
      <c r="DT1" s="31">
        <v>6</v>
      </c>
      <c r="DU1" s="31">
        <v>6</v>
      </c>
      <c r="DV1" s="31">
        <v>6</v>
      </c>
      <c r="DW1" s="31">
        <v>6</v>
      </c>
      <c r="DX1" s="31">
        <v>6</v>
      </c>
      <c r="DY1" s="31">
        <v>6</v>
      </c>
      <c r="DZ1" s="31">
        <v>6</v>
      </c>
      <c r="EA1" s="31">
        <v>6</v>
      </c>
      <c r="EB1" s="31">
        <v>6</v>
      </c>
      <c r="EC1" s="31">
        <v>6</v>
      </c>
      <c r="ED1" s="31">
        <v>6</v>
      </c>
      <c r="EE1" s="31">
        <v>6</v>
      </c>
      <c r="EF1" s="31">
        <v>6</v>
      </c>
      <c r="EG1" s="31">
        <v>6</v>
      </c>
      <c r="EH1" s="31">
        <v>6</v>
      </c>
      <c r="EI1" s="31">
        <v>6</v>
      </c>
      <c r="EJ1" s="31">
        <v>6</v>
      </c>
      <c r="EK1" s="31">
        <v>6</v>
      </c>
      <c r="EL1" s="31">
        <v>6</v>
      </c>
      <c r="EM1" s="31">
        <v>6</v>
      </c>
      <c r="EN1" s="31">
        <v>6</v>
      </c>
      <c r="EO1" s="31">
        <v>6</v>
      </c>
      <c r="EP1" s="31">
        <v>7</v>
      </c>
      <c r="EQ1" s="31">
        <v>7</v>
      </c>
      <c r="ER1" s="31">
        <v>7</v>
      </c>
      <c r="ES1" s="31">
        <v>7</v>
      </c>
      <c r="ET1" s="31">
        <v>7</v>
      </c>
      <c r="EU1" s="31">
        <v>7</v>
      </c>
      <c r="EV1" s="31">
        <v>7</v>
      </c>
      <c r="EW1" s="31">
        <v>7</v>
      </c>
      <c r="EX1" s="31">
        <v>7</v>
      </c>
      <c r="EY1" s="31">
        <v>7</v>
      </c>
      <c r="EZ1" s="31">
        <v>7</v>
      </c>
      <c r="FA1" s="31">
        <v>7</v>
      </c>
      <c r="FB1" s="31">
        <v>7</v>
      </c>
      <c r="FC1" s="31">
        <v>7</v>
      </c>
      <c r="FD1" s="31">
        <v>7</v>
      </c>
      <c r="FE1" s="31">
        <v>7</v>
      </c>
      <c r="FF1" s="31">
        <v>7</v>
      </c>
      <c r="FG1" s="31">
        <v>7</v>
      </c>
      <c r="FH1" s="31">
        <v>7</v>
      </c>
      <c r="FI1" s="31">
        <v>7</v>
      </c>
      <c r="FJ1" s="31">
        <v>7</v>
      </c>
      <c r="FK1" s="31">
        <v>7</v>
      </c>
      <c r="FL1" s="31">
        <v>7</v>
      </c>
      <c r="FM1" s="31">
        <v>8</v>
      </c>
      <c r="FN1" s="31">
        <v>8</v>
      </c>
      <c r="FO1" s="31">
        <v>8</v>
      </c>
      <c r="FP1" s="31">
        <v>8</v>
      </c>
      <c r="FQ1" s="31">
        <v>8</v>
      </c>
      <c r="FR1" s="31">
        <v>8</v>
      </c>
      <c r="FS1" s="31">
        <v>8</v>
      </c>
      <c r="FT1" s="31">
        <v>8</v>
      </c>
      <c r="FU1" s="31">
        <v>8</v>
      </c>
      <c r="FV1" s="31">
        <v>8</v>
      </c>
      <c r="FW1" s="31">
        <v>8</v>
      </c>
      <c r="FX1" s="31">
        <v>8</v>
      </c>
      <c r="FY1" s="31">
        <v>8</v>
      </c>
      <c r="FZ1" s="31">
        <v>8</v>
      </c>
      <c r="GA1" s="31">
        <v>8</v>
      </c>
      <c r="GB1" s="31">
        <v>8</v>
      </c>
      <c r="GC1" s="31">
        <v>8</v>
      </c>
      <c r="GD1" s="31">
        <v>8</v>
      </c>
      <c r="GE1" s="31">
        <v>8</v>
      </c>
      <c r="GF1" s="31">
        <v>8</v>
      </c>
      <c r="GG1" s="31">
        <v>8</v>
      </c>
      <c r="GH1" s="31">
        <v>8</v>
      </c>
      <c r="GI1" s="31">
        <v>8</v>
      </c>
      <c r="GJ1" s="31">
        <v>9</v>
      </c>
      <c r="GK1" s="31">
        <v>9</v>
      </c>
      <c r="GL1" s="31">
        <v>9</v>
      </c>
      <c r="GM1" s="31">
        <v>9</v>
      </c>
      <c r="GN1" s="31">
        <v>9</v>
      </c>
      <c r="GO1" s="31">
        <v>9</v>
      </c>
      <c r="GP1" s="31">
        <v>9</v>
      </c>
      <c r="GQ1" s="31">
        <v>9</v>
      </c>
      <c r="GR1" s="31">
        <v>9</v>
      </c>
      <c r="GS1" s="31">
        <v>9</v>
      </c>
      <c r="GT1" s="31">
        <v>9</v>
      </c>
      <c r="GU1" s="31">
        <v>9</v>
      </c>
      <c r="GV1" s="31">
        <v>9</v>
      </c>
      <c r="GW1" s="31">
        <v>9</v>
      </c>
      <c r="GX1" s="31">
        <v>9</v>
      </c>
      <c r="GY1" s="31">
        <v>9</v>
      </c>
      <c r="GZ1" s="31">
        <v>9</v>
      </c>
      <c r="HA1" s="31">
        <v>9</v>
      </c>
      <c r="HB1" s="31">
        <v>9</v>
      </c>
      <c r="HC1" s="31">
        <v>9</v>
      </c>
      <c r="HD1" s="31">
        <v>9</v>
      </c>
      <c r="HE1" s="31">
        <v>9</v>
      </c>
      <c r="HF1" s="31">
        <v>9</v>
      </c>
      <c r="HG1" s="31">
        <v>10</v>
      </c>
      <c r="HH1" s="31">
        <v>10</v>
      </c>
      <c r="HI1" s="31">
        <v>10</v>
      </c>
      <c r="HJ1" s="31">
        <v>10</v>
      </c>
      <c r="HK1" s="31">
        <v>10</v>
      </c>
      <c r="HL1" s="31">
        <v>10</v>
      </c>
      <c r="HM1" s="31">
        <v>10</v>
      </c>
      <c r="HN1" s="31">
        <v>10</v>
      </c>
      <c r="HO1" s="31">
        <v>10</v>
      </c>
      <c r="HP1" s="31">
        <v>10</v>
      </c>
      <c r="HQ1" s="31">
        <v>10</v>
      </c>
      <c r="HR1" s="31">
        <v>10</v>
      </c>
      <c r="HS1" s="31">
        <v>10</v>
      </c>
      <c r="HT1" s="31">
        <v>10</v>
      </c>
      <c r="HU1" s="31">
        <v>10</v>
      </c>
      <c r="HV1" s="31">
        <v>10</v>
      </c>
      <c r="HW1" s="31">
        <v>10</v>
      </c>
      <c r="HX1" s="31">
        <v>10</v>
      </c>
      <c r="HY1" s="31">
        <v>10</v>
      </c>
      <c r="HZ1" s="31">
        <v>10</v>
      </c>
      <c r="IA1" s="31">
        <v>10</v>
      </c>
      <c r="IB1" s="31">
        <v>10</v>
      </c>
      <c r="IC1" s="31">
        <v>10</v>
      </c>
      <c r="ID1" s="31">
        <v>11</v>
      </c>
      <c r="IE1" s="31">
        <v>11</v>
      </c>
      <c r="IF1" s="31">
        <v>11</v>
      </c>
      <c r="IG1" s="31">
        <v>11</v>
      </c>
      <c r="IH1" s="31">
        <v>11</v>
      </c>
      <c r="II1" s="31">
        <v>11</v>
      </c>
      <c r="IJ1" s="31">
        <v>11</v>
      </c>
      <c r="IK1" s="31">
        <v>11</v>
      </c>
      <c r="IL1" s="31">
        <v>11</v>
      </c>
      <c r="IM1" s="31">
        <v>11</v>
      </c>
      <c r="IN1" s="31">
        <v>11</v>
      </c>
      <c r="IO1" s="31">
        <v>11</v>
      </c>
      <c r="IP1" s="31">
        <v>11</v>
      </c>
      <c r="IQ1" s="31">
        <v>11</v>
      </c>
      <c r="IR1" s="31">
        <v>11</v>
      </c>
      <c r="IS1" s="31">
        <v>11</v>
      </c>
      <c r="IT1" s="31">
        <v>11</v>
      </c>
      <c r="IU1" s="31">
        <v>11</v>
      </c>
      <c r="IV1" s="31">
        <v>11</v>
      </c>
      <c r="IW1" s="31">
        <v>11</v>
      </c>
      <c r="IX1" s="31">
        <v>11</v>
      </c>
      <c r="IY1" s="31">
        <v>11</v>
      </c>
      <c r="IZ1" s="31">
        <v>11</v>
      </c>
      <c r="JA1" s="31">
        <v>12</v>
      </c>
      <c r="JB1" s="31">
        <v>12</v>
      </c>
      <c r="JC1" s="31">
        <v>12</v>
      </c>
      <c r="JD1" s="31">
        <v>12</v>
      </c>
      <c r="JE1" s="31">
        <v>12</v>
      </c>
      <c r="JF1" s="31">
        <v>12</v>
      </c>
      <c r="JG1" s="31">
        <v>12</v>
      </c>
      <c r="JH1" s="31">
        <v>12</v>
      </c>
      <c r="JI1" s="31">
        <v>12</v>
      </c>
      <c r="JJ1" s="31">
        <v>12</v>
      </c>
      <c r="JK1" s="31">
        <v>12</v>
      </c>
      <c r="JL1" s="31">
        <v>12</v>
      </c>
      <c r="JM1" s="31">
        <v>12</v>
      </c>
      <c r="JN1" s="31">
        <v>12</v>
      </c>
      <c r="JO1" s="31">
        <v>12</v>
      </c>
      <c r="JP1" s="31">
        <v>12</v>
      </c>
      <c r="JQ1" s="31">
        <v>12</v>
      </c>
      <c r="JR1" s="31">
        <v>12</v>
      </c>
      <c r="JS1" s="31">
        <v>12</v>
      </c>
      <c r="JT1" s="31">
        <v>12</v>
      </c>
      <c r="JU1" s="31">
        <v>12</v>
      </c>
      <c r="JV1" s="31">
        <v>12</v>
      </c>
      <c r="JW1" s="31">
        <v>12</v>
      </c>
      <c r="JX1" s="31">
        <v>13</v>
      </c>
      <c r="JY1" s="31">
        <v>13</v>
      </c>
      <c r="JZ1" s="31">
        <v>13</v>
      </c>
      <c r="KA1" s="31">
        <v>13</v>
      </c>
      <c r="KB1" s="31">
        <v>13</v>
      </c>
      <c r="KC1" s="31">
        <v>13</v>
      </c>
      <c r="KD1" s="31">
        <v>13</v>
      </c>
      <c r="KE1" s="31">
        <v>13</v>
      </c>
      <c r="KF1" s="31">
        <v>13</v>
      </c>
      <c r="KG1" s="31">
        <v>13</v>
      </c>
      <c r="KH1" s="31">
        <v>13</v>
      </c>
      <c r="KI1" s="31">
        <v>13</v>
      </c>
      <c r="KJ1" s="31">
        <v>13</v>
      </c>
      <c r="KK1" s="31">
        <v>13</v>
      </c>
      <c r="KL1" s="31">
        <v>13</v>
      </c>
      <c r="KM1" s="31">
        <v>13</v>
      </c>
      <c r="KN1" s="31">
        <v>13</v>
      </c>
      <c r="KO1" s="31">
        <v>13</v>
      </c>
      <c r="KP1" s="31">
        <v>13</v>
      </c>
      <c r="KQ1" s="31">
        <v>13</v>
      </c>
      <c r="KR1" s="31">
        <v>13</v>
      </c>
      <c r="KS1" s="31">
        <v>13</v>
      </c>
      <c r="KT1" s="31">
        <v>13</v>
      </c>
      <c r="KU1" s="31">
        <v>14</v>
      </c>
      <c r="KV1" s="31">
        <v>14</v>
      </c>
      <c r="KW1" s="31">
        <v>14</v>
      </c>
      <c r="KX1" s="31">
        <v>14</v>
      </c>
      <c r="KY1" s="31">
        <v>14</v>
      </c>
      <c r="KZ1" s="31">
        <v>14</v>
      </c>
      <c r="LA1" s="31">
        <v>14</v>
      </c>
      <c r="LB1" s="31">
        <v>14</v>
      </c>
      <c r="LC1" s="31">
        <v>14</v>
      </c>
      <c r="LD1" s="31">
        <v>14</v>
      </c>
      <c r="LE1" s="31">
        <v>14</v>
      </c>
      <c r="LF1" s="31">
        <v>14</v>
      </c>
      <c r="LG1" s="31">
        <v>14</v>
      </c>
      <c r="LH1" s="31">
        <v>14</v>
      </c>
      <c r="LI1" s="31">
        <v>14</v>
      </c>
      <c r="LJ1" s="31">
        <v>14</v>
      </c>
      <c r="LK1" s="31">
        <v>14</v>
      </c>
      <c r="LL1" s="31">
        <v>14</v>
      </c>
      <c r="LM1" s="31">
        <v>14</v>
      </c>
      <c r="LN1" s="31">
        <v>14</v>
      </c>
      <c r="LO1" s="31">
        <v>14</v>
      </c>
      <c r="LP1" s="31">
        <v>14</v>
      </c>
      <c r="LQ1" s="31">
        <v>14</v>
      </c>
      <c r="LR1" s="31">
        <v>15</v>
      </c>
      <c r="LS1" s="31">
        <v>15</v>
      </c>
      <c r="LT1" s="31">
        <v>15</v>
      </c>
      <c r="LU1" s="31">
        <v>15</v>
      </c>
      <c r="LV1" s="31">
        <v>15</v>
      </c>
      <c r="LW1" s="31">
        <v>15</v>
      </c>
      <c r="LX1" s="31">
        <v>15</v>
      </c>
      <c r="LY1" s="31">
        <v>15</v>
      </c>
      <c r="LZ1" s="31">
        <v>15</v>
      </c>
      <c r="MA1" s="31">
        <v>15</v>
      </c>
      <c r="MB1" s="31">
        <v>15</v>
      </c>
      <c r="MC1" s="31">
        <v>15</v>
      </c>
      <c r="MD1" s="31">
        <v>15</v>
      </c>
      <c r="ME1" s="31">
        <v>15</v>
      </c>
      <c r="MF1" s="31">
        <v>15</v>
      </c>
      <c r="MG1" s="31">
        <v>15</v>
      </c>
      <c r="MH1" s="31">
        <v>15</v>
      </c>
      <c r="MI1" s="31">
        <v>15</v>
      </c>
      <c r="MJ1" s="31">
        <v>15</v>
      </c>
      <c r="MK1" s="31">
        <v>15</v>
      </c>
      <c r="ML1" s="31">
        <v>15</v>
      </c>
      <c r="MM1" s="31">
        <v>15</v>
      </c>
      <c r="MN1" s="31">
        <v>15</v>
      </c>
      <c r="MO1" s="31">
        <v>16</v>
      </c>
      <c r="MP1" s="31">
        <v>16</v>
      </c>
      <c r="MQ1" s="31">
        <v>16</v>
      </c>
      <c r="MR1" s="31">
        <v>16</v>
      </c>
      <c r="MS1" s="31">
        <v>16</v>
      </c>
      <c r="MT1" s="31">
        <v>16</v>
      </c>
      <c r="MU1" s="31">
        <v>16</v>
      </c>
      <c r="MV1" s="31">
        <v>16</v>
      </c>
      <c r="MW1" s="31">
        <v>16</v>
      </c>
      <c r="MX1" s="31">
        <v>16</v>
      </c>
      <c r="MY1" s="31">
        <v>16</v>
      </c>
      <c r="MZ1" s="31">
        <v>16</v>
      </c>
      <c r="NA1" s="31">
        <v>16</v>
      </c>
      <c r="NB1" s="31">
        <v>16</v>
      </c>
      <c r="NC1" s="31">
        <v>16</v>
      </c>
      <c r="ND1" s="31">
        <v>16</v>
      </c>
      <c r="NE1" s="31">
        <v>16</v>
      </c>
      <c r="NF1" s="31">
        <v>16</v>
      </c>
      <c r="NG1" s="31">
        <v>16</v>
      </c>
      <c r="NH1" s="31">
        <v>16</v>
      </c>
      <c r="NI1" s="31">
        <v>16</v>
      </c>
      <c r="NJ1" s="31">
        <v>16</v>
      </c>
      <c r="NK1" s="31">
        <v>16</v>
      </c>
      <c r="NL1" s="31">
        <v>17</v>
      </c>
      <c r="NM1" s="31">
        <v>17</v>
      </c>
      <c r="NN1" s="31">
        <v>17</v>
      </c>
      <c r="NO1" s="31">
        <v>17</v>
      </c>
      <c r="NP1" s="31">
        <v>17</v>
      </c>
      <c r="NQ1" s="31">
        <v>17</v>
      </c>
      <c r="NR1" s="31">
        <v>17</v>
      </c>
      <c r="NS1" s="31">
        <v>17</v>
      </c>
      <c r="NT1" s="31">
        <v>17</v>
      </c>
      <c r="NU1" s="31">
        <v>17</v>
      </c>
      <c r="NV1" s="31">
        <v>17</v>
      </c>
      <c r="NW1" s="31">
        <v>17</v>
      </c>
      <c r="NX1" s="31">
        <v>17</v>
      </c>
      <c r="NY1" s="31">
        <v>17</v>
      </c>
      <c r="NZ1" s="31">
        <v>17</v>
      </c>
      <c r="OA1" s="31">
        <v>17</v>
      </c>
      <c r="OB1" s="31">
        <v>17</v>
      </c>
      <c r="OC1" s="31">
        <v>17</v>
      </c>
      <c r="OD1" s="31">
        <v>17</v>
      </c>
      <c r="OE1" s="31">
        <v>17</v>
      </c>
      <c r="OF1" s="31">
        <v>17</v>
      </c>
      <c r="OG1" s="31">
        <v>17</v>
      </c>
      <c r="OH1" s="31">
        <v>17</v>
      </c>
      <c r="OI1" s="31">
        <v>18</v>
      </c>
      <c r="OJ1" s="31">
        <v>18</v>
      </c>
      <c r="OK1" s="31">
        <v>18</v>
      </c>
      <c r="OL1" s="31">
        <v>18</v>
      </c>
      <c r="OM1" s="31">
        <v>18</v>
      </c>
      <c r="ON1" s="31">
        <v>18</v>
      </c>
      <c r="OO1" s="31">
        <v>18</v>
      </c>
      <c r="OP1" s="31">
        <v>18</v>
      </c>
      <c r="OQ1" s="31">
        <v>18</v>
      </c>
      <c r="OR1" s="31">
        <v>18</v>
      </c>
      <c r="OS1" s="31">
        <v>18</v>
      </c>
      <c r="OT1" s="31">
        <v>18</v>
      </c>
      <c r="OU1" s="31">
        <v>18</v>
      </c>
      <c r="OV1" s="31">
        <v>18</v>
      </c>
      <c r="OW1" s="31">
        <v>18</v>
      </c>
      <c r="OX1" s="31">
        <v>18</v>
      </c>
      <c r="OY1" s="31">
        <v>18</v>
      </c>
      <c r="OZ1" s="31">
        <v>18</v>
      </c>
      <c r="PA1" s="31">
        <v>18</v>
      </c>
      <c r="PB1" s="31">
        <v>18</v>
      </c>
      <c r="PC1" s="31">
        <v>18</v>
      </c>
      <c r="PD1" s="31">
        <v>18</v>
      </c>
      <c r="PE1" s="31">
        <v>18</v>
      </c>
      <c r="PF1" s="31">
        <v>19</v>
      </c>
      <c r="PG1" s="31">
        <v>19</v>
      </c>
      <c r="PH1" s="31">
        <v>19</v>
      </c>
      <c r="PI1" s="31">
        <v>19</v>
      </c>
      <c r="PJ1" s="31">
        <v>19</v>
      </c>
      <c r="PK1" s="31">
        <v>19</v>
      </c>
      <c r="PL1" s="31">
        <v>19</v>
      </c>
      <c r="PM1" s="31">
        <v>19</v>
      </c>
      <c r="PN1" s="31">
        <v>19</v>
      </c>
      <c r="PO1" s="31">
        <v>19</v>
      </c>
      <c r="PP1" s="31">
        <v>19</v>
      </c>
      <c r="PQ1" s="31">
        <v>19</v>
      </c>
      <c r="PR1" s="31">
        <v>19</v>
      </c>
      <c r="PS1" s="31">
        <v>19</v>
      </c>
      <c r="PT1" s="31">
        <v>19</v>
      </c>
      <c r="PU1" s="31">
        <v>19</v>
      </c>
      <c r="PV1" s="31">
        <v>19</v>
      </c>
      <c r="PW1" s="31">
        <v>19</v>
      </c>
      <c r="PX1" s="31">
        <v>19</v>
      </c>
      <c r="PY1" s="31">
        <v>19</v>
      </c>
      <c r="PZ1" s="31">
        <v>19</v>
      </c>
      <c r="QA1" s="31">
        <v>19</v>
      </c>
      <c r="QB1" s="31">
        <v>19</v>
      </c>
      <c r="QC1" s="31">
        <v>20</v>
      </c>
      <c r="QD1" s="31">
        <v>20</v>
      </c>
      <c r="QE1" s="31">
        <v>20</v>
      </c>
      <c r="QF1" s="31">
        <v>20</v>
      </c>
      <c r="QG1" s="31">
        <v>20</v>
      </c>
      <c r="QH1" s="31">
        <v>20</v>
      </c>
      <c r="QI1" s="31">
        <v>20</v>
      </c>
      <c r="QJ1" s="31">
        <v>20</v>
      </c>
      <c r="QK1" s="31">
        <v>20</v>
      </c>
      <c r="QL1" s="31">
        <v>20</v>
      </c>
      <c r="QM1" s="31">
        <v>20</v>
      </c>
      <c r="QN1" s="31">
        <v>20</v>
      </c>
      <c r="QO1" s="31">
        <v>20</v>
      </c>
      <c r="QP1" s="31">
        <v>20</v>
      </c>
      <c r="QQ1" s="31">
        <v>20</v>
      </c>
      <c r="QR1" s="31">
        <v>20</v>
      </c>
      <c r="QS1" s="31">
        <v>20</v>
      </c>
      <c r="QT1" s="31">
        <v>20</v>
      </c>
      <c r="QU1" s="31">
        <v>20</v>
      </c>
      <c r="QV1" s="31">
        <v>20</v>
      </c>
      <c r="QW1" s="31">
        <v>20</v>
      </c>
      <c r="QX1" s="31">
        <v>20</v>
      </c>
      <c r="QY1" s="31">
        <v>20</v>
      </c>
      <c r="QZ1" s="31">
        <v>1</v>
      </c>
      <c r="RA1" s="31">
        <v>2</v>
      </c>
      <c r="RB1" s="31">
        <v>3</v>
      </c>
      <c r="RC1" s="31">
        <v>4</v>
      </c>
      <c r="RD1" s="31">
        <v>5</v>
      </c>
      <c r="RE1" s="31">
        <v>6</v>
      </c>
      <c r="RF1" s="31">
        <v>7</v>
      </c>
      <c r="RG1" s="31">
        <v>8</v>
      </c>
      <c r="RH1" s="31">
        <v>9</v>
      </c>
      <c r="RI1" s="31">
        <v>10</v>
      </c>
      <c r="RJ1" s="31">
        <v>11</v>
      </c>
      <c r="RK1" s="31">
        <v>12</v>
      </c>
      <c r="RL1" s="31">
        <v>13</v>
      </c>
      <c r="RM1" s="31">
        <v>14</v>
      </c>
      <c r="RN1" s="31">
        <v>15</v>
      </c>
      <c r="RO1" s="31">
        <v>16</v>
      </c>
      <c r="RP1" s="31">
        <v>17</v>
      </c>
      <c r="RQ1" s="31">
        <v>18</v>
      </c>
      <c r="RR1" s="31">
        <v>19</v>
      </c>
      <c r="RS1" s="31">
        <v>20</v>
      </c>
      <c r="RT1" s="31">
        <v>1</v>
      </c>
      <c r="RU1" s="31">
        <v>2</v>
      </c>
      <c r="RV1" s="31">
        <v>3</v>
      </c>
      <c r="RW1" s="31">
        <v>4</v>
      </c>
      <c r="RX1" s="31">
        <v>5</v>
      </c>
      <c r="RY1" s="31">
        <v>6</v>
      </c>
      <c r="RZ1" s="31">
        <v>7</v>
      </c>
      <c r="SA1" s="31">
        <v>8</v>
      </c>
      <c r="SB1" s="31">
        <v>9</v>
      </c>
      <c r="SC1" s="31">
        <v>10</v>
      </c>
      <c r="SD1" s="31">
        <v>11</v>
      </c>
      <c r="SE1" s="31">
        <v>12</v>
      </c>
      <c r="SF1" s="31">
        <v>13</v>
      </c>
      <c r="SG1" s="31">
        <v>14</v>
      </c>
      <c r="SH1" s="31">
        <v>15</v>
      </c>
      <c r="SI1" s="31">
        <v>16</v>
      </c>
      <c r="SJ1" s="31">
        <v>17</v>
      </c>
      <c r="SK1" s="31">
        <v>18</v>
      </c>
      <c r="SL1" s="31">
        <v>19</v>
      </c>
      <c r="SM1" s="31">
        <v>20</v>
      </c>
      <c r="SN1" s="31">
        <v>1</v>
      </c>
      <c r="SO1" s="31">
        <v>2</v>
      </c>
      <c r="SP1" s="31">
        <v>3</v>
      </c>
      <c r="SQ1" s="31">
        <v>4</v>
      </c>
      <c r="SR1" s="31">
        <v>5</v>
      </c>
      <c r="SS1" s="31">
        <v>6</v>
      </c>
      <c r="ST1" s="31">
        <v>7</v>
      </c>
      <c r="SU1" s="31">
        <v>8</v>
      </c>
      <c r="SV1" s="31">
        <v>9</v>
      </c>
      <c r="SW1" s="31">
        <v>10</v>
      </c>
      <c r="SX1" s="31">
        <v>11</v>
      </c>
      <c r="SY1" s="31">
        <v>12</v>
      </c>
      <c r="SZ1" s="31">
        <v>13</v>
      </c>
      <c r="TA1" s="31">
        <v>14</v>
      </c>
      <c r="TB1" s="31">
        <v>15</v>
      </c>
      <c r="TC1" s="31">
        <v>16</v>
      </c>
      <c r="TD1" s="31">
        <v>17</v>
      </c>
      <c r="TE1" s="31">
        <v>18</v>
      </c>
      <c r="TF1" s="31">
        <v>19</v>
      </c>
      <c r="TG1" s="31">
        <v>20</v>
      </c>
    </row>
    <row r="2" spans="1:527" s="41" customFormat="1" hidden="1" x14ac:dyDescent="0.2">
      <c r="A2" s="41" t="s">
        <v>49</v>
      </c>
      <c r="B2" s="41" t="s">
        <v>78</v>
      </c>
      <c r="F2" s="41" t="s">
        <v>50</v>
      </c>
      <c r="G2" s="41" t="s">
        <v>51</v>
      </c>
      <c r="H2" s="41" t="s">
        <v>52</v>
      </c>
      <c r="I2" s="41" t="s">
        <v>53</v>
      </c>
      <c r="J2" s="41" t="s">
        <v>54</v>
      </c>
      <c r="K2" s="41" t="s">
        <v>55</v>
      </c>
      <c r="L2" s="41" t="s">
        <v>79</v>
      </c>
      <c r="M2" s="41" t="s">
        <v>56</v>
      </c>
      <c r="N2" s="41" t="s">
        <v>57</v>
      </c>
      <c r="O2" s="41" t="s">
        <v>58</v>
      </c>
      <c r="P2" s="41" t="s">
        <v>59</v>
      </c>
      <c r="Q2" s="41" t="s">
        <v>94</v>
      </c>
      <c r="R2" s="41" t="s">
        <v>60</v>
      </c>
      <c r="S2" s="41" t="s">
        <v>61</v>
      </c>
      <c r="T2" s="41" t="s">
        <v>62</v>
      </c>
      <c r="U2" s="41" t="s">
        <v>63</v>
      </c>
      <c r="V2" s="41" t="s">
        <v>95</v>
      </c>
      <c r="W2" s="41" t="s">
        <v>64</v>
      </c>
      <c r="X2" s="41" t="s">
        <v>65</v>
      </c>
      <c r="Y2" s="41" t="s">
        <v>66</v>
      </c>
      <c r="Z2" s="41" t="s">
        <v>67</v>
      </c>
      <c r="AA2" s="41" t="s">
        <v>68</v>
      </c>
      <c r="AB2" s="41" t="s">
        <v>69</v>
      </c>
      <c r="AC2" s="41" t="s">
        <v>70</v>
      </c>
      <c r="AD2" s="41" t="s">
        <v>71</v>
      </c>
      <c r="AE2" s="41" t="s">
        <v>52</v>
      </c>
      <c r="AF2" s="41" t="s">
        <v>53</v>
      </c>
      <c r="AG2" s="41" t="s">
        <v>54</v>
      </c>
      <c r="AH2" s="41" t="s">
        <v>55</v>
      </c>
      <c r="AI2" s="41" t="s">
        <v>79</v>
      </c>
      <c r="AJ2" s="41" t="s">
        <v>56</v>
      </c>
      <c r="AK2" s="41" t="s">
        <v>57</v>
      </c>
      <c r="AL2" s="41" t="s">
        <v>58</v>
      </c>
      <c r="AM2" s="41" t="s">
        <v>59</v>
      </c>
      <c r="AN2" s="41" t="s">
        <v>94</v>
      </c>
      <c r="AO2" s="41" t="s">
        <v>60</v>
      </c>
      <c r="AP2" s="41" t="s">
        <v>61</v>
      </c>
      <c r="AQ2" s="41" t="s">
        <v>62</v>
      </c>
      <c r="AR2" s="41" t="s">
        <v>63</v>
      </c>
      <c r="AS2" s="41" t="s">
        <v>95</v>
      </c>
      <c r="AT2" s="41" t="s">
        <v>64</v>
      </c>
      <c r="AU2" s="41" t="s">
        <v>65</v>
      </c>
      <c r="AV2" s="41" t="s">
        <v>66</v>
      </c>
      <c r="AW2" s="41" t="s">
        <v>67</v>
      </c>
      <c r="AX2" s="41" t="s">
        <v>68</v>
      </c>
      <c r="AY2" s="41" t="s">
        <v>69</v>
      </c>
      <c r="AZ2" s="41" t="s">
        <v>70</v>
      </c>
      <c r="BA2" s="41" t="s">
        <v>71</v>
      </c>
      <c r="BB2" s="41" t="s">
        <v>52</v>
      </c>
      <c r="BC2" s="41" t="s">
        <v>53</v>
      </c>
      <c r="BD2" s="41" t="s">
        <v>54</v>
      </c>
      <c r="BE2" s="41" t="s">
        <v>55</v>
      </c>
      <c r="BF2" s="41" t="s">
        <v>79</v>
      </c>
      <c r="BG2" s="41" t="s">
        <v>56</v>
      </c>
      <c r="BH2" s="41" t="s">
        <v>57</v>
      </c>
      <c r="BI2" s="41" t="s">
        <v>58</v>
      </c>
      <c r="BJ2" s="41" t="s">
        <v>59</v>
      </c>
      <c r="BK2" s="41" t="s">
        <v>94</v>
      </c>
      <c r="BL2" s="41" t="s">
        <v>60</v>
      </c>
      <c r="BM2" s="41" t="s">
        <v>61</v>
      </c>
      <c r="BN2" s="41" t="s">
        <v>62</v>
      </c>
      <c r="BO2" s="41" t="s">
        <v>63</v>
      </c>
      <c r="BP2" s="41" t="s">
        <v>95</v>
      </c>
      <c r="BQ2" s="41" t="s">
        <v>64</v>
      </c>
      <c r="BR2" s="41" t="s">
        <v>65</v>
      </c>
      <c r="BS2" s="41" t="s">
        <v>66</v>
      </c>
      <c r="BT2" s="41" t="s">
        <v>67</v>
      </c>
      <c r="BU2" s="41" t="s">
        <v>68</v>
      </c>
      <c r="BV2" s="41" t="s">
        <v>69</v>
      </c>
      <c r="BW2" s="41" t="s">
        <v>70</v>
      </c>
      <c r="BX2" s="41" t="s">
        <v>71</v>
      </c>
      <c r="BY2" s="41" t="s">
        <v>52</v>
      </c>
      <c r="BZ2" s="41" t="s">
        <v>53</v>
      </c>
      <c r="CA2" s="41" t="s">
        <v>54</v>
      </c>
      <c r="CB2" s="41" t="s">
        <v>55</v>
      </c>
      <c r="CC2" s="41" t="s">
        <v>79</v>
      </c>
      <c r="CD2" s="41" t="s">
        <v>56</v>
      </c>
      <c r="CE2" s="41" t="s">
        <v>57</v>
      </c>
      <c r="CF2" s="41" t="s">
        <v>58</v>
      </c>
      <c r="CG2" s="41" t="s">
        <v>59</v>
      </c>
      <c r="CH2" s="41" t="s">
        <v>94</v>
      </c>
      <c r="CI2" s="41" t="s">
        <v>60</v>
      </c>
      <c r="CJ2" s="41" t="s">
        <v>61</v>
      </c>
      <c r="CK2" s="41" t="s">
        <v>62</v>
      </c>
      <c r="CL2" s="41" t="s">
        <v>63</v>
      </c>
      <c r="CM2" s="41" t="s">
        <v>95</v>
      </c>
      <c r="CN2" s="41" t="s">
        <v>64</v>
      </c>
      <c r="CO2" s="41" t="s">
        <v>65</v>
      </c>
      <c r="CP2" s="41" t="s">
        <v>66</v>
      </c>
      <c r="CQ2" s="41" t="s">
        <v>67</v>
      </c>
      <c r="CR2" s="41" t="s">
        <v>68</v>
      </c>
      <c r="CS2" s="41" t="s">
        <v>69</v>
      </c>
      <c r="CT2" s="41" t="s">
        <v>70</v>
      </c>
      <c r="CU2" s="41" t="s">
        <v>71</v>
      </c>
      <c r="CV2" s="41" t="s">
        <v>52</v>
      </c>
      <c r="CW2" s="41" t="s">
        <v>53</v>
      </c>
      <c r="CX2" s="41" t="s">
        <v>54</v>
      </c>
      <c r="CY2" s="41" t="s">
        <v>55</v>
      </c>
      <c r="CZ2" s="41" t="s">
        <v>79</v>
      </c>
      <c r="DA2" s="41" t="s">
        <v>56</v>
      </c>
      <c r="DB2" s="41" t="s">
        <v>57</v>
      </c>
      <c r="DC2" s="41" t="s">
        <v>58</v>
      </c>
      <c r="DD2" s="41" t="s">
        <v>59</v>
      </c>
      <c r="DE2" s="41" t="s">
        <v>94</v>
      </c>
      <c r="DF2" s="41" t="s">
        <v>60</v>
      </c>
      <c r="DG2" s="41" t="s">
        <v>61</v>
      </c>
      <c r="DH2" s="41" t="s">
        <v>62</v>
      </c>
      <c r="DI2" s="41" t="s">
        <v>63</v>
      </c>
      <c r="DJ2" s="41" t="s">
        <v>95</v>
      </c>
      <c r="DK2" s="41" t="s">
        <v>64</v>
      </c>
      <c r="DL2" s="41" t="s">
        <v>65</v>
      </c>
      <c r="DM2" s="41" t="s">
        <v>66</v>
      </c>
      <c r="DN2" s="41" t="s">
        <v>67</v>
      </c>
      <c r="DO2" s="41" t="s">
        <v>68</v>
      </c>
      <c r="DP2" s="41" t="s">
        <v>69</v>
      </c>
      <c r="DQ2" s="41" t="s">
        <v>70</v>
      </c>
      <c r="DR2" s="41" t="s">
        <v>71</v>
      </c>
      <c r="DS2" s="41" t="s">
        <v>52</v>
      </c>
      <c r="DT2" s="41" t="s">
        <v>53</v>
      </c>
      <c r="DU2" s="41" t="s">
        <v>54</v>
      </c>
      <c r="DV2" s="41" t="s">
        <v>55</v>
      </c>
      <c r="DW2" s="41" t="s">
        <v>79</v>
      </c>
      <c r="DX2" s="41" t="s">
        <v>56</v>
      </c>
      <c r="DY2" s="41" t="s">
        <v>57</v>
      </c>
      <c r="DZ2" s="41" t="s">
        <v>58</v>
      </c>
      <c r="EA2" s="41" t="s">
        <v>59</v>
      </c>
      <c r="EB2" s="41" t="s">
        <v>94</v>
      </c>
      <c r="EC2" s="41" t="s">
        <v>60</v>
      </c>
      <c r="ED2" s="41" t="s">
        <v>61</v>
      </c>
      <c r="EE2" s="41" t="s">
        <v>62</v>
      </c>
      <c r="EF2" s="41" t="s">
        <v>63</v>
      </c>
      <c r="EG2" s="41" t="s">
        <v>95</v>
      </c>
      <c r="EH2" s="41" t="s">
        <v>64</v>
      </c>
      <c r="EI2" s="41" t="s">
        <v>65</v>
      </c>
      <c r="EJ2" s="41" t="s">
        <v>66</v>
      </c>
      <c r="EK2" s="41" t="s">
        <v>67</v>
      </c>
      <c r="EL2" s="41" t="s">
        <v>68</v>
      </c>
      <c r="EM2" s="41" t="s">
        <v>69</v>
      </c>
      <c r="EN2" s="41" t="s">
        <v>70</v>
      </c>
      <c r="EO2" s="41" t="s">
        <v>71</v>
      </c>
      <c r="EP2" s="41" t="s">
        <v>52</v>
      </c>
      <c r="EQ2" s="41" t="s">
        <v>53</v>
      </c>
      <c r="ER2" s="41" t="s">
        <v>54</v>
      </c>
      <c r="ES2" s="41" t="s">
        <v>55</v>
      </c>
      <c r="ET2" s="41" t="s">
        <v>79</v>
      </c>
      <c r="EU2" s="41" t="s">
        <v>56</v>
      </c>
      <c r="EV2" s="41" t="s">
        <v>57</v>
      </c>
      <c r="EW2" s="41" t="s">
        <v>58</v>
      </c>
      <c r="EX2" s="41" t="s">
        <v>59</v>
      </c>
      <c r="EY2" s="41" t="s">
        <v>94</v>
      </c>
      <c r="EZ2" s="41" t="s">
        <v>60</v>
      </c>
      <c r="FA2" s="41" t="s">
        <v>61</v>
      </c>
      <c r="FB2" s="41" t="s">
        <v>62</v>
      </c>
      <c r="FC2" s="41" t="s">
        <v>63</v>
      </c>
      <c r="FD2" s="41" t="s">
        <v>95</v>
      </c>
      <c r="FE2" s="41" t="s">
        <v>64</v>
      </c>
      <c r="FF2" s="41" t="s">
        <v>65</v>
      </c>
      <c r="FG2" s="41" t="s">
        <v>66</v>
      </c>
      <c r="FH2" s="41" t="s">
        <v>67</v>
      </c>
      <c r="FI2" s="41" t="s">
        <v>68</v>
      </c>
      <c r="FJ2" s="41" t="s">
        <v>69</v>
      </c>
      <c r="FK2" s="41" t="s">
        <v>70</v>
      </c>
      <c r="FL2" s="41" t="s">
        <v>71</v>
      </c>
      <c r="FM2" s="41" t="s">
        <v>52</v>
      </c>
      <c r="FN2" s="41" t="s">
        <v>53</v>
      </c>
      <c r="FO2" s="41" t="s">
        <v>54</v>
      </c>
      <c r="FP2" s="41" t="s">
        <v>55</v>
      </c>
      <c r="FQ2" s="41" t="s">
        <v>79</v>
      </c>
      <c r="FR2" s="41" t="s">
        <v>56</v>
      </c>
      <c r="FS2" s="41" t="s">
        <v>57</v>
      </c>
      <c r="FT2" s="41" t="s">
        <v>58</v>
      </c>
      <c r="FU2" s="41" t="s">
        <v>59</v>
      </c>
      <c r="FV2" s="41" t="s">
        <v>94</v>
      </c>
      <c r="FW2" s="41" t="s">
        <v>60</v>
      </c>
      <c r="FX2" s="41" t="s">
        <v>61</v>
      </c>
      <c r="FY2" s="41" t="s">
        <v>62</v>
      </c>
      <c r="FZ2" s="41" t="s">
        <v>63</v>
      </c>
      <c r="GA2" s="41" t="s">
        <v>95</v>
      </c>
      <c r="GB2" s="41" t="s">
        <v>64</v>
      </c>
      <c r="GC2" s="41" t="s">
        <v>65</v>
      </c>
      <c r="GD2" s="41" t="s">
        <v>66</v>
      </c>
      <c r="GE2" s="41" t="s">
        <v>67</v>
      </c>
      <c r="GF2" s="41" t="s">
        <v>68</v>
      </c>
      <c r="GG2" s="41" t="s">
        <v>69</v>
      </c>
      <c r="GH2" s="41" t="s">
        <v>70</v>
      </c>
      <c r="GI2" s="41" t="s">
        <v>71</v>
      </c>
      <c r="GJ2" s="41" t="s">
        <v>52</v>
      </c>
      <c r="GK2" s="41" t="s">
        <v>53</v>
      </c>
      <c r="GL2" s="41" t="s">
        <v>54</v>
      </c>
      <c r="GM2" s="41" t="s">
        <v>55</v>
      </c>
      <c r="GN2" s="41" t="s">
        <v>79</v>
      </c>
      <c r="GO2" s="41" t="s">
        <v>56</v>
      </c>
      <c r="GP2" s="41" t="s">
        <v>57</v>
      </c>
      <c r="GQ2" s="41" t="s">
        <v>58</v>
      </c>
      <c r="GR2" s="41" t="s">
        <v>59</v>
      </c>
      <c r="GS2" s="41" t="s">
        <v>94</v>
      </c>
      <c r="GT2" s="41" t="s">
        <v>60</v>
      </c>
      <c r="GU2" s="41" t="s">
        <v>61</v>
      </c>
      <c r="GV2" s="41" t="s">
        <v>62</v>
      </c>
      <c r="GW2" s="41" t="s">
        <v>63</v>
      </c>
      <c r="GX2" s="41" t="s">
        <v>95</v>
      </c>
      <c r="GY2" s="41" t="s">
        <v>64</v>
      </c>
      <c r="GZ2" s="41" t="s">
        <v>65</v>
      </c>
      <c r="HA2" s="41" t="s">
        <v>66</v>
      </c>
      <c r="HB2" s="41" t="s">
        <v>67</v>
      </c>
      <c r="HC2" s="41" t="s">
        <v>68</v>
      </c>
      <c r="HD2" s="41" t="s">
        <v>69</v>
      </c>
      <c r="HE2" s="41" t="s">
        <v>70</v>
      </c>
      <c r="HF2" s="41" t="s">
        <v>71</v>
      </c>
      <c r="HG2" s="41" t="s">
        <v>52</v>
      </c>
      <c r="HH2" s="41" t="s">
        <v>53</v>
      </c>
      <c r="HI2" s="41" t="s">
        <v>54</v>
      </c>
      <c r="HJ2" s="41" t="s">
        <v>55</v>
      </c>
      <c r="HK2" s="41" t="s">
        <v>79</v>
      </c>
      <c r="HL2" s="41" t="s">
        <v>56</v>
      </c>
      <c r="HM2" s="41" t="s">
        <v>57</v>
      </c>
      <c r="HN2" s="41" t="s">
        <v>58</v>
      </c>
      <c r="HO2" s="41" t="s">
        <v>59</v>
      </c>
      <c r="HP2" s="41" t="s">
        <v>94</v>
      </c>
      <c r="HQ2" s="41" t="s">
        <v>60</v>
      </c>
      <c r="HR2" s="41" t="s">
        <v>61</v>
      </c>
      <c r="HS2" s="41" t="s">
        <v>62</v>
      </c>
      <c r="HT2" s="41" t="s">
        <v>63</v>
      </c>
      <c r="HU2" s="41" t="s">
        <v>95</v>
      </c>
      <c r="HV2" s="41" t="s">
        <v>64</v>
      </c>
      <c r="HW2" s="41" t="s">
        <v>65</v>
      </c>
      <c r="HX2" s="41" t="s">
        <v>66</v>
      </c>
      <c r="HY2" s="41" t="s">
        <v>67</v>
      </c>
      <c r="HZ2" s="41" t="s">
        <v>68</v>
      </c>
      <c r="IA2" s="41" t="s">
        <v>69</v>
      </c>
      <c r="IB2" s="41" t="s">
        <v>70</v>
      </c>
      <c r="IC2" s="41" t="s">
        <v>71</v>
      </c>
      <c r="ID2" s="41" t="s">
        <v>52</v>
      </c>
      <c r="IE2" s="41" t="s">
        <v>53</v>
      </c>
      <c r="IF2" s="41" t="s">
        <v>54</v>
      </c>
      <c r="IG2" s="41" t="s">
        <v>55</v>
      </c>
      <c r="IH2" s="41" t="s">
        <v>79</v>
      </c>
      <c r="II2" s="41" t="s">
        <v>56</v>
      </c>
      <c r="IJ2" s="41" t="s">
        <v>57</v>
      </c>
      <c r="IK2" s="41" t="s">
        <v>58</v>
      </c>
      <c r="IL2" s="41" t="s">
        <v>59</v>
      </c>
      <c r="IM2" s="41" t="s">
        <v>94</v>
      </c>
      <c r="IN2" s="41" t="s">
        <v>60</v>
      </c>
      <c r="IO2" s="41" t="s">
        <v>61</v>
      </c>
      <c r="IP2" s="41" t="s">
        <v>62</v>
      </c>
      <c r="IQ2" s="41" t="s">
        <v>63</v>
      </c>
      <c r="IR2" s="41" t="s">
        <v>95</v>
      </c>
      <c r="IS2" s="41" t="s">
        <v>64</v>
      </c>
      <c r="IT2" s="41" t="s">
        <v>65</v>
      </c>
      <c r="IU2" s="41" t="s">
        <v>66</v>
      </c>
      <c r="IV2" s="41" t="s">
        <v>67</v>
      </c>
      <c r="IW2" s="41" t="s">
        <v>68</v>
      </c>
      <c r="IX2" s="41" t="s">
        <v>69</v>
      </c>
      <c r="IY2" s="41" t="s">
        <v>70</v>
      </c>
      <c r="IZ2" s="41" t="s">
        <v>71</v>
      </c>
      <c r="JA2" s="41" t="s">
        <v>52</v>
      </c>
      <c r="JB2" s="41" t="s">
        <v>53</v>
      </c>
      <c r="JC2" s="41" t="s">
        <v>54</v>
      </c>
      <c r="JD2" s="41" t="s">
        <v>55</v>
      </c>
      <c r="JE2" s="41" t="s">
        <v>79</v>
      </c>
      <c r="JF2" s="41" t="s">
        <v>56</v>
      </c>
      <c r="JG2" s="41" t="s">
        <v>57</v>
      </c>
      <c r="JH2" s="41" t="s">
        <v>58</v>
      </c>
      <c r="JI2" s="41" t="s">
        <v>59</v>
      </c>
      <c r="JJ2" s="41" t="s">
        <v>94</v>
      </c>
      <c r="JK2" s="41" t="s">
        <v>60</v>
      </c>
      <c r="JL2" s="41" t="s">
        <v>61</v>
      </c>
      <c r="JM2" s="41" t="s">
        <v>62</v>
      </c>
      <c r="JN2" s="41" t="s">
        <v>63</v>
      </c>
      <c r="JO2" s="41" t="s">
        <v>95</v>
      </c>
      <c r="JP2" s="41" t="s">
        <v>64</v>
      </c>
      <c r="JQ2" s="41" t="s">
        <v>65</v>
      </c>
      <c r="JR2" s="41" t="s">
        <v>66</v>
      </c>
      <c r="JS2" s="41" t="s">
        <v>67</v>
      </c>
      <c r="JT2" s="41" t="s">
        <v>68</v>
      </c>
      <c r="JU2" s="41" t="s">
        <v>69</v>
      </c>
      <c r="JV2" s="41" t="s">
        <v>70</v>
      </c>
      <c r="JW2" s="41" t="s">
        <v>71</v>
      </c>
      <c r="JX2" s="41" t="s">
        <v>52</v>
      </c>
      <c r="JY2" s="41" t="s">
        <v>53</v>
      </c>
      <c r="JZ2" s="41" t="s">
        <v>54</v>
      </c>
      <c r="KA2" s="41" t="s">
        <v>55</v>
      </c>
      <c r="KB2" s="41" t="s">
        <v>79</v>
      </c>
      <c r="KC2" s="41" t="s">
        <v>56</v>
      </c>
      <c r="KD2" s="41" t="s">
        <v>57</v>
      </c>
      <c r="KE2" s="41" t="s">
        <v>58</v>
      </c>
      <c r="KF2" s="41" t="s">
        <v>59</v>
      </c>
      <c r="KG2" s="41" t="s">
        <v>94</v>
      </c>
      <c r="KH2" s="41" t="s">
        <v>60</v>
      </c>
      <c r="KI2" s="41" t="s">
        <v>61</v>
      </c>
      <c r="KJ2" s="41" t="s">
        <v>62</v>
      </c>
      <c r="KK2" s="41" t="s">
        <v>63</v>
      </c>
      <c r="KL2" s="41" t="s">
        <v>95</v>
      </c>
      <c r="KM2" s="41" t="s">
        <v>64</v>
      </c>
      <c r="KN2" s="41" t="s">
        <v>65</v>
      </c>
      <c r="KO2" s="41" t="s">
        <v>66</v>
      </c>
      <c r="KP2" s="41" t="s">
        <v>67</v>
      </c>
      <c r="KQ2" s="41" t="s">
        <v>68</v>
      </c>
      <c r="KR2" s="41" t="s">
        <v>69</v>
      </c>
      <c r="KS2" s="41" t="s">
        <v>70</v>
      </c>
      <c r="KT2" s="41" t="s">
        <v>71</v>
      </c>
      <c r="KU2" s="41" t="s">
        <v>52</v>
      </c>
      <c r="KV2" s="41" t="s">
        <v>53</v>
      </c>
      <c r="KW2" s="41" t="s">
        <v>54</v>
      </c>
      <c r="KX2" s="41" t="s">
        <v>55</v>
      </c>
      <c r="KY2" s="41" t="s">
        <v>79</v>
      </c>
      <c r="KZ2" s="41" t="s">
        <v>56</v>
      </c>
      <c r="LA2" s="41" t="s">
        <v>57</v>
      </c>
      <c r="LB2" s="41" t="s">
        <v>58</v>
      </c>
      <c r="LC2" s="41" t="s">
        <v>59</v>
      </c>
      <c r="LD2" s="41" t="s">
        <v>94</v>
      </c>
      <c r="LE2" s="41" t="s">
        <v>60</v>
      </c>
      <c r="LF2" s="41" t="s">
        <v>61</v>
      </c>
      <c r="LG2" s="41" t="s">
        <v>62</v>
      </c>
      <c r="LH2" s="41" t="s">
        <v>63</v>
      </c>
      <c r="LI2" s="41" t="s">
        <v>95</v>
      </c>
      <c r="LJ2" s="41" t="s">
        <v>64</v>
      </c>
      <c r="LK2" s="41" t="s">
        <v>65</v>
      </c>
      <c r="LL2" s="41" t="s">
        <v>66</v>
      </c>
      <c r="LM2" s="41" t="s">
        <v>67</v>
      </c>
      <c r="LN2" s="41" t="s">
        <v>68</v>
      </c>
      <c r="LO2" s="41" t="s">
        <v>69</v>
      </c>
      <c r="LP2" s="41" t="s">
        <v>70</v>
      </c>
      <c r="LQ2" s="41" t="s">
        <v>71</v>
      </c>
      <c r="LR2" s="41" t="s">
        <v>52</v>
      </c>
      <c r="LS2" s="41" t="s">
        <v>53</v>
      </c>
      <c r="LT2" s="41" t="s">
        <v>54</v>
      </c>
      <c r="LU2" s="41" t="s">
        <v>55</v>
      </c>
      <c r="LV2" s="41" t="s">
        <v>79</v>
      </c>
      <c r="LW2" s="41" t="s">
        <v>56</v>
      </c>
      <c r="LX2" s="41" t="s">
        <v>57</v>
      </c>
      <c r="LY2" s="41" t="s">
        <v>58</v>
      </c>
      <c r="LZ2" s="41" t="s">
        <v>59</v>
      </c>
      <c r="MA2" s="41" t="s">
        <v>94</v>
      </c>
      <c r="MB2" s="41" t="s">
        <v>60</v>
      </c>
      <c r="MC2" s="41" t="s">
        <v>61</v>
      </c>
      <c r="MD2" s="41" t="s">
        <v>62</v>
      </c>
      <c r="ME2" s="41" t="s">
        <v>63</v>
      </c>
      <c r="MF2" s="41" t="s">
        <v>95</v>
      </c>
      <c r="MG2" s="41" t="s">
        <v>64</v>
      </c>
      <c r="MH2" s="41" t="s">
        <v>65</v>
      </c>
      <c r="MI2" s="41" t="s">
        <v>66</v>
      </c>
      <c r="MJ2" s="41" t="s">
        <v>67</v>
      </c>
      <c r="MK2" s="41" t="s">
        <v>68</v>
      </c>
      <c r="ML2" s="41" t="s">
        <v>69</v>
      </c>
      <c r="MM2" s="41" t="s">
        <v>70</v>
      </c>
      <c r="MN2" s="41" t="s">
        <v>71</v>
      </c>
      <c r="MO2" s="41" t="s">
        <v>52</v>
      </c>
      <c r="MP2" s="41" t="s">
        <v>53</v>
      </c>
      <c r="MQ2" s="41" t="s">
        <v>54</v>
      </c>
      <c r="MR2" s="41" t="s">
        <v>55</v>
      </c>
      <c r="MS2" s="41" t="s">
        <v>79</v>
      </c>
      <c r="MT2" s="41" t="s">
        <v>56</v>
      </c>
      <c r="MU2" s="41" t="s">
        <v>57</v>
      </c>
      <c r="MV2" s="41" t="s">
        <v>58</v>
      </c>
      <c r="MW2" s="41" t="s">
        <v>59</v>
      </c>
      <c r="MX2" s="41" t="s">
        <v>94</v>
      </c>
      <c r="MY2" s="41" t="s">
        <v>60</v>
      </c>
      <c r="MZ2" s="41" t="s">
        <v>61</v>
      </c>
      <c r="NA2" s="41" t="s">
        <v>62</v>
      </c>
      <c r="NB2" s="41" t="s">
        <v>63</v>
      </c>
      <c r="NC2" s="41" t="s">
        <v>95</v>
      </c>
      <c r="ND2" s="41" t="s">
        <v>64</v>
      </c>
      <c r="NE2" s="41" t="s">
        <v>65</v>
      </c>
      <c r="NF2" s="41" t="s">
        <v>66</v>
      </c>
      <c r="NG2" s="41" t="s">
        <v>67</v>
      </c>
      <c r="NH2" s="41" t="s">
        <v>68</v>
      </c>
      <c r="NI2" s="41" t="s">
        <v>69</v>
      </c>
      <c r="NJ2" s="41" t="s">
        <v>70</v>
      </c>
      <c r="NK2" s="41" t="s">
        <v>71</v>
      </c>
      <c r="NL2" s="41" t="s">
        <v>52</v>
      </c>
      <c r="NM2" s="41" t="s">
        <v>53</v>
      </c>
      <c r="NN2" s="41" t="s">
        <v>54</v>
      </c>
      <c r="NO2" s="41" t="s">
        <v>55</v>
      </c>
      <c r="NP2" s="41" t="s">
        <v>79</v>
      </c>
      <c r="NQ2" s="41" t="s">
        <v>56</v>
      </c>
      <c r="NR2" s="41" t="s">
        <v>57</v>
      </c>
      <c r="NS2" s="41" t="s">
        <v>58</v>
      </c>
      <c r="NT2" s="41" t="s">
        <v>59</v>
      </c>
      <c r="NU2" s="41" t="s">
        <v>94</v>
      </c>
      <c r="NV2" s="41" t="s">
        <v>60</v>
      </c>
      <c r="NW2" s="41" t="s">
        <v>61</v>
      </c>
      <c r="NX2" s="41" t="s">
        <v>62</v>
      </c>
      <c r="NY2" s="41" t="s">
        <v>63</v>
      </c>
      <c r="NZ2" s="41" t="s">
        <v>95</v>
      </c>
      <c r="OA2" s="41" t="s">
        <v>64</v>
      </c>
      <c r="OB2" s="41" t="s">
        <v>65</v>
      </c>
      <c r="OC2" s="41" t="s">
        <v>66</v>
      </c>
      <c r="OD2" s="41" t="s">
        <v>67</v>
      </c>
      <c r="OE2" s="41" t="s">
        <v>68</v>
      </c>
      <c r="OF2" s="41" t="s">
        <v>69</v>
      </c>
      <c r="OG2" s="41" t="s">
        <v>70</v>
      </c>
      <c r="OH2" s="41" t="s">
        <v>71</v>
      </c>
      <c r="OI2" s="41" t="s">
        <v>52</v>
      </c>
      <c r="OJ2" s="41" t="s">
        <v>53</v>
      </c>
      <c r="OK2" s="41" t="s">
        <v>54</v>
      </c>
      <c r="OL2" s="41" t="s">
        <v>55</v>
      </c>
      <c r="OM2" s="41" t="s">
        <v>79</v>
      </c>
      <c r="ON2" s="41" t="s">
        <v>56</v>
      </c>
      <c r="OO2" s="41" t="s">
        <v>57</v>
      </c>
      <c r="OP2" s="41" t="s">
        <v>58</v>
      </c>
      <c r="OQ2" s="41" t="s">
        <v>59</v>
      </c>
      <c r="OR2" s="41" t="s">
        <v>94</v>
      </c>
      <c r="OS2" s="41" t="s">
        <v>60</v>
      </c>
      <c r="OT2" s="41" t="s">
        <v>61</v>
      </c>
      <c r="OU2" s="41" t="s">
        <v>62</v>
      </c>
      <c r="OV2" s="41" t="s">
        <v>63</v>
      </c>
      <c r="OW2" s="41" t="s">
        <v>95</v>
      </c>
      <c r="OX2" s="41" t="s">
        <v>64</v>
      </c>
      <c r="OY2" s="41" t="s">
        <v>65</v>
      </c>
      <c r="OZ2" s="41" t="s">
        <v>66</v>
      </c>
      <c r="PA2" s="41" t="s">
        <v>67</v>
      </c>
      <c r="PB2" s="41" t="s">
        <v>68</v>
      </c>
      <c r="PC2" s="41" t="s">
        <v>69</v>
      </c>
      <c r="PD2" s="41" t="s">
        <v>70</v>
      </c>
      <c r="PE2" s="41" t="s">
        <v>71</v>
      </c>
      <c r="PF2" s="41" t="s">
        <v>52</v>
      </c>
      <c r="PG2" s="41" t="s">
        <v>53</v>
      </c>
      <c r="PH2" s="41" t="s">
        <v>54</v>
      </c>
      <c r="PI2" s="41" t="s">
        <v>55</v>
      </c>
      <c r="PJ2" s="41" t="s">
        <v>79</v>
      </c>
      <c r="PK2" s="41" t="s">
        <v>56</v>
      </c>
      <c r="PL2" s="41" t="s">
        <v>57</v>
      </c>
      <c r="PM2" s="41" t="s">
        <v>58</v>
      </c>
      <c r="PN2" s="41" t="s">
        <v>59</v>
      </c>
      <c r="PO2" s="41" t="s">
        <v>94</v>
      </c>
      <c r="PP2" s="41" t="s">
        <v>60</v>
      </c>
      <c r="PQ2" s="41" t="s">
        <v>61</v>
      </c>
      <c r="PR2" s="41" t="s">
        <v>62</v>
      </c>
      <c r="PS2" s="41" t="s">
        <v>63</v>
      </c>
      <c r="PT2" s="41" t="s">
        <v>95</v>
      </c>
      <c r="PU2" s="41" t="s">
        <v>64</v>
      </c>
      <c r="PV2" s="41" t="s">
        <v>65</v>
      </c>
      <c r="PW2" s="41" t="s">
        <v>66</v>
      </c>
      <c r="PX2" s="41" t="s">
        <v>67</v>
      </c>
      <c r="PY2" s="41" t="s">
        <v>68</v>
      </c>
      <c r="PZ2" s="41" t="s">
        <v>69</v>
      </c>
      <c r="QA2" s="41" t="s">
        <v>70</v>
      </c>
      <c r="QB2" s="41" t="s">
        <v>71</v>
      </c>
      <c r="QC2" s="41" t="s">
        <v>52</v>
      </c>
      <c r="QD2" s="41" t="s">
        <v>53</v>
      </c>
      <c r="QE2" s="41" t="s">
        <v>54</v>
      </c>
      <c r="QF2" s="41" t="s">
        <v>55</v>
      </c>
      <c r="QG2" s="41" t="s">
        <v>79</v>
      </c>
      <c r="QH2" s="41" t="s">
        <v>56</v>
      </c>
      <c r="QI2" s="41" t="s">
        <v>57</v>
      </c>
      <c r="QJ2" s="41" t="s">
        <v>58</v>
      </c>
      <c r="QK2" s="41" t="s">
        <v>59</v>
      </c>
      <c r="QL2" s="41" t="s">
        <v>94</v>
      </c>
      <c r="QM2" s="41" t="s">
        <v>60</v>
      </c>
      <c r="QN2" s="41" t="s">
        <v>61</v>
      </c>
      <c r="QO2" s="41" t="s">
        <v>62</v>
      </c>
      <c r="QP2" s="41" t="s">
        <v>63</v>
      </c>
      <c r="QQ2" s="41" t="s">
        <v>95</v>
      </c>
      <c r="QR2" s="41" t="s">
        <v>64</v>
      </c>
      <c r="QS2" s="41" t="s">
        <v>65</v>
      </c>
      <c r="QT2" s="41" t="s">
        <v>66</v>
      </c>
      <c r="QU2" s="41" t="s">
        <v>67</v>
      </c>
      <c r="QV2" s="41" t="s">
        <v>68</v>
      </c>
      <c r="QW2" s="41" t="s">
        <v>69</v>
      </c>
      <c r="QX2" s="41" t="s">
        <v>70</v>
      </c>
      <c r="QY2" s="41" t="s">
        <v>71</v>
      </c>
      <c r="QZ2" s="41" t="s">
        <v>819</v>
      </c>
      <c r="RA2" s="41" t="s">
        <v>819</v>
      </c>
      <c r="RB2" s="41" t="s">
        <v>819</v>
      </c>
      <c r="RC2" s="41" t="s">
        <v>819</v>
      </c>
      <c r="RD2" s="41" t="s">
        <v>819</v>
      </c>
      <c r="RE2" s="41" t="s">
        <v>819</v>
      </c>
      <c r="RF2" s="41" t="s">
        <v>819</v>
      </c>
      <c r="RG2" s="41" t="s">
        <v>819</v>
      </c>
      <c r="RH2" s="41" t="s">
        <v>819</v>
      </c>
      <c r="RI2" s="41" t="s">
        <v>819</v>
      </c>
      <c r="RJ2" s="41" t="s">
        <v>819</v>
      </c>
      <c r="RK2" s="41" t="s">
        <v>819</v>
      </c>
      <c r="RL2" s="41" t="s">
        <v>819</v>
      </c>
      <c r="RM2" s="41" t="s">
        <v>819</v>
      </c>
      <c r="RN2" s="41" t="s">
        <v>819</v>
      </c>
      <c r="RO2" s="41" t="s">
        <v>819</v>
      </c>
      <c r="RP2" s="41" t="s">
        <v>819</v>
      </c>
      <c r="RQ2" s="41" t="s">
        <v>819</v>
      </c>
      <c r="RR2" s="41" t="s">
        <v>819</v>
      </c>
      <c r="RS2" s="41" t="s">
        <v>819</v>
      </c>
      <c r="RT2" s="41" t="s">
        <v>820</v>
      </c>
      <c r="RU2" s="41" t="s">
        <v>820</v>
      </c>
      <c r="RV2" s="41" t="s">
        <v>820</v>
      </c>
      <c r="RW2" s="41" t="s">
        <v>820</v>
      </c>
      <c r="RX2" s="41" t="s">
        <v>820</v>
      </c>
      <c r="RY2" s="41" t="s">
        <v>820</v>
      </c>
      <c r="RZ2" s="41" t="s">
        <v>820</v>
      </c>
      <c r="SA2" s="41" t="s">
        <v>820</v>
      </c>
      <c r="SB2" s="41" t="s">
        <v>820</v>
      </c>
      <c r="SC2" s="41" t="s">
        <v>820</v>
      </c>
      <c r="SD2" s="41" t="s">
        <v>820</v>
      </c>
      <c r="SE2" s="41" t="s">
        <v>820</v>
      </c>
      <c r="SF2" s="41" t="s">
        <v>820</v>
      </c>
      <c r="SG2" s="41" t="s">
        <v>820</v>
      </c>
      <c r="SH2" s="41" t="s">
        <v>820</v>
      </c>
      <c r="SI2" s="41" t="s">
        <v>820</v>
      </c>
      <c r="SJ2" s="41" t="s">
        <v>820</v>
      </c>
      <c r="SK2" s="41" t="s">
        <v>820</v>
      </c>
      <c r="SL2" s="41" t="s">
        <v>820</v>
      </c>
      <c r="SM2" s="41" t="s">
        <v>820</v>
      </c>
      <c r="SN2" s="41" t="s">
        <v>821</v>
      </c>
      <c r="SO2" s="41" t="s">
        <v>821</v>
      </c>
      <c r="SP2" s="41" t="s">
        <v>821</v>
      </c>
      <c r="SQ2" s="41" t="s">
        <v>821</v>
      </c>
      <c r="SR2" s="41" t="s">
        <v>821</v>
      </c>
      <c r="SS2" s="41" t="s">
        <v>821</v>
      </c>
      <c r="ST2" s="41" t="s">
        <v>821</v>
      </c>
      <c r="SU2" s="41" t="s">
        <v>821</v>
      </c>
      <c r="SV2" s="41" t="s">
        <v>821</v>
      </c>
      <c r="SW2" s="41" t="s">
        <v>821</v>
      </c>
      <c r="SX2" s="41" t="s">
        <v>821</v>
      </c>
      <c r="SY2" s="41" t="s">
        <v>821</v>
      </c>
      <c r="SZ2" s="41" t="s">
        <v>821</v>
      </c>
      <c r="TA2" s="41" t="s">
        <v>821</v>
      </c>
      <c r="TB2" s="41" t="s">
        <v>821</v>
      </c>
      <c r="TC2" s="41" t="s">
        <v>821</v>
      </c>
      <c r="TD2" s="41" t="s">
        <v>821</v>
      </c>
      <c r="TE2" s="41" t="s">
        <v>821</v>
      </c>
      <c r="TF2" s="41" t="s">
        <v>821</v>
      </c>
      <c r="TG2" s="41" t="s">
        <v>821</v>
      </c>
    </row>
    <row r="3" spans="1:527" s="41" customFormat="1" ht="51" hidden="1" x14ac:dyDescent="0.2">
      <c r="F3" s="45" t="s">
        <v>46</v>
      </c>
      <c r="G3" s="45" t="s">
        <v>47</v>
      </c>
      <c r="H3" s="44" t="s">
        <v>822</v>
      </c>
      <c r="I3" s="44" t="s">
        <v>823</v>
      </c>
      <c r="J3" s="44" t="s">
        <v>824</v>
      </c>
      <c r="K3" s="44" t="s">
        <v>825</v>
      </c>
      <c r="L3" s="44" t="s">
        <v>826</v>
      </c>
      <c r="M3" s="44" t="s">
        <v>827</v>
      </c>
      <c r="N3" s="44" t="s">
        <v>828</v>
      </c>
      <c r="O3" s="44" t="s">
        <v>829</v>
      </c>
      <c r="P3" s="44" t="s">
        <v>830</v>
      </c>
      <c r="Q3" s="44" t="s">
        <v>831</v>
      </c>
      <c r="R3" s="44" t="s">
        <v>832</v>
      </c>
      <c r="S3" s="44" t="s">
        <v>833</v>
      </c>
      <c r="T3" s="44" t="s">
        <v>834</v>
      </c>
      <c r="U3" s="44" t="s">
        <v>835</v>
      </c>
      <c r="V3" s="44" t="s">
        <v>836</v>
      </c>
      <c r="W3" s="44" t="s">
        <v>837</v>
      </c>
      <c r="X3" s="44" t="s">
        <v>838</v>
      </c>
      <c r="Y3" s="44" t="s">
        <v>839</v>
      </c>
      <c r="Z3" s="44" t="s">
        <v>840</v>
      </c>
      <c r="AA3" s="44" t="s">
        <v>841</v>
      </c>
      <c r="AB3" s="44" t="s">
        <v>842</v>
      </c>
      <c r="AC3" s="44" t="s">
        <v>843</v>
      </c>
      <c r="AD3" s="44" t="s">
        <v>844</v>
      </c>
      <c r="AE3" s="44" t="s">
        <v>845</v>
      </c>
      <c r="AF3" s="44" t="s">
        <v>846</v>
      </c>
      <c r="AG3" s="44" t="s">
        <v>847</v>
      </c>
      <c r="AH3" s="44" t="s">
        <v>848</v>
      </c>
      <c r="AI3" s="44" t="s">
        <v>849</v>
      </c>
      <c r="AJ3" s="44" t="s">
        <v>850</v>
      </c>
      <c r="AK3" s="44" t="s">
        <v>851</v>
      </c>
      <c r="AL3" s="44" t="s">
        <v>852</v>
      </c>
      <c r="AM3" s="44" t="s">
        <v>853</v>
      </c>
      <c r="AN3" s="44" t="s">
        <v>854</v>
      </c>
      <c r="AO3" s="44" t="s">
        <v>855</v>
      </c>
      <c r="AP3" s="44" t="s">
        <v>856</v>
      </c>
      <c r="AQ3" s="44" t="s">
        <v>857</v>
      </c>
      <c r="AR3" s="44" t="s">
        <v>858</v>
      </c>
      <c r="AS3" s="44" t="s">
        <v>859</v>
      </c>
      <c r="AT3" s="44" t="s">
        <v>860</v>
      </c>
      <c r="AU3" s="44" t="s">
        <v>861</v>
      </c>
      <c r="AV3" s="44" t="s">
        <v>862</v>
      </c>
      <c r="AW3" s="44" t="s">
        <v>863</v>
      </c>
      <c r="AX3" s="44" t="s">
        <v>864</v>
      </c>
      <c r="AY3" s="44" t="s">
        <v>865</v>
      </c>
      <c r="AZ3" s="44" t="s">
        <v>866</v>
      </c>
      <c r="BA3" s="44" t="s">
        <v>867</v>
      </c>
      <c r="BB3" s="44" t="s">
        <v>868</v>
      </c>
      <c r="BC3" s="44" t="s">
        <v>869</v>
      </c>
      <c r="BD3" s="44" t="s">
        <v>870</v>
      </c>
      <c r="BE3" s="44" t="s">
        <v>871</v>
      </c>
      <c r="BF3" s="44" t="s">
        <v>872</v>
      </c>
      <c r="BG3" s="44" t="s">
        <v>873</v>
      </c>
      <c r="BH3" s="44" t="s">
        <v>874</v>
      </c>
      <c r="BI3" s="44" t="s">
        <v>875</v>
      </c>
      <c r="BJ3" s="44" t="s">
        <v>876</v>
      </c>
      <c r="BK3" s="44" t="s">
        <v>877</v>
      </c>
      <c r="BL3" s="44" t="s">
        <v>878</v>
      </c>
      <c r="BM3" s="44" t="s">
        <v>879</v>
      </c>
      <c r="BN3" s="44" t="s">
        <v>880</v>
      </c>
      <c r="BO3" s="44" t="s">
        <v>881</v>
      </c>
      <c r="BP3" s="44" t="s">
        <v>882</v>
      </c>
      <c r="BQ3" s="44" t="s">
        <v>883</v>
      </c>
      <c r="BR3" s="44" t="s">
        <v>884</v>
      </c>
      <c r="BS3" s="44" t="s">
        <v>885</v>
      </c>
      <c r="BT3" s="44" t="s">
        <v>886</v>
      </c>
      <c r="BU3" s="44" t="s">
        <v>887</v>
      </c>
      <c r="BV3" s="44" t="s">
        <v>888</v>
      </c>
      <c r="BW3" s="44" t="s">
        <v>889</v>
      </c>
      <c r="BX3" s="44" t="s">
        <v>890</v>
      </c>
      <c r="BY3" s="44" t="s">
        <v>891</v>
      </c>
      <c r="BZ3" s="44" t="s">
        <v>892</v>
      </c>
      <c r="CA3" s="44" t="s">
        <v>893</v>
      </c>
      <c r="CB3" s="44" t="s">
        <v>894</v>
      </c>
      <c r="CC3" s="44" t="s">
        <v>895</v>
      </c>
      <c r="CD3" s="44" t="s">
        <v>896</v>
      </c>
      <c r="CE3" s="44" t="s">
        <v>897</v>
      </c>
      <c r="CF3" s="44" t="s">
        <v>898</v>
      </c>
      <c r="CG3" s="44" t="s">
        <v>899</v>
      </c>
      <c r="CH3" s="44" t="s">
        <v>900</v>
      </c>
      <c r="CI3" s="44" t="s">
        <v>901</v>
      </c>
      <c r="CJ3" s="44" t="s">
        <v>902</v>
      </c>
      <c r="CK3" s="44" t="s">
        <v>903</v>
      </c>
      <c r="CL3" s="44" t="s">
        <v>904</v>
      </c>
      <c r="CM3" s="44" t="s">
        <v>905</v>
      </c>
      <c r="CN3" s="44" t="s">
        <v>906</v>
      </c>
      <c r="CO3" s="44" t="s">
        <v>907</v>
      </c>
      <c r="CP3" s="44" t="s">
        <v>908</v>
      </c>
      <c r="CQ3" s="44" t="s">
        <v>909</v>
      </c>
      <c r="CR3" s="44" t="s">
        <v>910</v>
      </c>
      <c r="CS3" s="44" t="s">
        <v>911</v>
      </c>
      <c r="CT3" s="44" t="s">
        <v>912</v>
      </c>
      <c r="CU3" s="44" t="s">
        <v>913</v>
      </c>
      <c r="CV3" s="44" t="s">
        <v>914</v>
      </c>
      <c r="CW3" s="44" t="s">
        <v>915</v>
      </c>
      <c r="CX3" s="44" t="s">
        <v>916</v>
      </c>
      <c r="CY3" s="44" t="s">
        <v>917</v>
      </c>
      <c r="CZ3" s="44" t="s">
        <v>918</v>
      </c>
      <c r="DA3" s="44" t="s">
        <v>919</v>
      </c>
      <c r="DB3" s="44" t="s">
        <v>920</v>
      </c>
      <c r="DC3" s="44" t="s">
        <v>921</v>
      </c>
      <c r="DD3" s="44" t="s">
        <v>922</v>
      </c>
      <c r="DE3" s="44" t="s">
        <v>923</v>
      </c>
      <c r="DF3" s="44" t="s">
        <v>924</v>
      </c>
      <c r="DG3" s="44" t="s">
        <v>925</v>
      </c>
      <c r="DH3" s="44" t="s">
        <v>926</v>
      </c>
      <c r="DI3" s="44" t="s">
        <v>927</v>
      </c>
      <c r="DJ3" s="44" t="s">
        <v>928</v>
      </c>
      <c r="DK3" s="44" t="s">
        <v>929</v>
      </c>
      <c r="DL3" s="44" t="s">
        <v>930</v>
      </c>
      <c r="DM3" s="44" t="s">
        <v>931</v>
      </c>
      <c r="DN3" s="44" t="s">
        <v>932</v>
      </c>
      <c r="DO3" s="44" t="s">
        <v>933</v>
      </c>
      <c r="DP3" s="44" t="s">
        <v>934</v>
      </c>
      <c r="DQ3" s="44" t="s">
        <v>935</v>
      </c>
      <c r="DR3" s="44" t="s">
        <v>936</v>
      </c>
      <c r="DS3" s="44" t="s">
        <v>937</v>
      </c>
      <c r="DT3" s="44" t="s">
        <v>938</v>
      </c>
      <c r="DU3" s="44" t="s">
        <v>939</v>
      </c>
      <c r="DV3" s="44" t="s">
        <v>940</v>
      </c>
      <c r="DW3" s="44" t="s">
        <v>941</v>
      </c>
      <c r="DX3" s="44" t="s">
        <v>942</v>
      </c>
      <c r="DY3" s="44" t="s">
        <v>943</v>
      </c>
      <c r="DZ3" s="44" t="s">
        <v>944</v>
      </c>
      <c r="EA3" s="44" t="s">
        <v>945</v>
      </c>
      <c r="EB3" s="44" t="s">
        <v>946</v>
      </c>
      <c r="EC3" s="44" t="s">
        <v>947</v>
      </c>
      <c r="ED3" s="44" t="s">
        <v>948</v>
      </c>
      <c r="EE3" s="44" t="s">
        <v>949</v>
      </c>
      <c r="EF3" s="44" t="s">
        <v>950</v>
      </c>
      <c r="EG3" s="44" t="s">
        <v>951</v>
      </c>
      <c r="EH3" s="44" t="s">
        <v>952</v>
      </c>
      <c r="EI3" s="44" t="s">
        <v>953</v>
      </c>
      <c r="EJ3" s="44" t="s">
        <v>954</v>
      </c>
      <c r="EK3" s="44" t="s">
        <v>955</v>
      </c>
      <c r="EL3" s="44" t="s">
        <v>956</v>
      </c>
      <c r="EM3" s="44" t="s">
        <v>957</v>
      </c>
      <c r="EN3" s="44" t="s">
        <v>958</v>
      </c>
      <c r="EO3" s="44" t="s">
        <v>959</v>
      </c>
      <c r="EP3" s="44" t="s">
        <v>960</v>
      </c>
      <c r="EQ3" s="44" t="s">
        <v>961</v>
      </c>
      <c r="ER3" s="44" t="s">
        <v>962</v>
      </c>
      <c r="ES3" s="44" t="s">
        <v>963</v>
      </c>
      <c r="ET3" s="44" t="s">
        <v>964</v>
      </c>
      <c r="EU3" s="44" t="s">
        <v>965</v>
      </c>
      <c r="EV3" s="44" t="s">
        <v>966</v>
      </c>
      <c r="EW3" s="44" t="s">
        <v>967</v>
      </c>
      <c r="EX3" s="44" t="s">
        <v>968</v>
      </c>
      <c r="EY3" s="44" t="s">
        <v>969</v>
      </c>
      <c r="EZ3" s="44" t="s">
        <v>970</v>
      </c>
      <c r="FA3" s="44" t="s">
        <v>971</v>
      </c>
      <c r="FB3" s="44" t="s">
        <v>972</v>
      </c>
      <c r="FC3" s="44" t="s">
        <v>973</v>
      </c>
      <c r="FD3" s="44" t="s">
        <v>974</v>
      </c>
      <c r="FE3" s="44" t="s">
        <v>975</v>
      </c>
      <c r="FF3" s="44" t="s">
        <v>976</v>
      </c>
      <c r="FG3" s="44" t="s">
        <v>977</v>
      </c>
      <c r="FH3" s="44" t="s">
        <v>978</v>
      </c>
      <c r="FI3" s="44" t="s">
        <v>979</v>
      </c>
      <c r="FJ3" s="44" t="s">
        <v>980</v>
      </c>
      <c r="FK3" s="44" t="s">
        <v>981</v>
      </c>
      <c r="FL3" s="44" t="s">
        <v>982</v>
      </c>
      <c r="FM3" s="44" t="s">
        <v>983</v>
      </c>
      <c r="FN3" s="44" t="s">
        <v>984</v>
      </c>
      <c r="FO3" s="44" t="s">
        <v>985</v>
      </c>
      <c r="FP3" s="44" t="s">
        <v>986</v>
      </c>
      <c r="FQ3" s="44" t="s">
        <v>987</v>
      </c>
      <c r="FR3" s="44" t="s">
        <v>988</v>
      </c>
      <c r="FS3" s="44" t="s">
        <v>989</v>
      </c>
      <c r="FT3" s="44" t="s">
        <v>990</v>
      </c>
      <c r="FU3" s="44" t="s">
        <v>991</v>
      </c>
      <c r="FV3" s="44" t="s">
        <v>992</v>
      </c>
      <c r="FW3" s="44" t="s">
        <v>993</v>
      </c>
      <c r="FX3" s="44" t="s">
        <v>994</v>
      </c>
      <c r="FY3" s="44" t="s">
        <v>995</v>
      </c>
      <c r="FZ3" s="44" t="s">
        <v>996</v>
      </c>
      <c r="GA3" s="44" t="s">
        <v>997</v>
      </c>
      <c r="GB3" s="44" t="s">
        <v>998</v>
      </c>
      <c r="GC3" s="44" t="s">
        <v>999</v>
      </c>
      <c r="GD3" s="44" t="s">
        <v>1000</v>
      </c>
      <c r="GE3" s="44" t="s">
        <v>1001</v>
      </c>
      <c r="GF3" s="44" t="s">
        <v>1002</v>
      </c>
      <c r="GG3" s="44" t="s">
        <v>1003</v>
      </c>
      <c r="GH3" s="44" t="s">
        <v>1004</v>
      </c>
      <c r="GI3" s="44" t="s">
        <v>1005</v>
      </c>
      <c r="GJ3" s="44" t="s">
        <v>1006</v>
      </c>
      <c r="GK3" s="44" t="s">
        <v>1007</v>
      </c>
      <c r="GL3" s="44" t="s">
        <v>1008</v>
      </c>
      <c r="GM3" s="44" t="s">
        <v>1009</v>
      </c>
      <c r="GN3" s="44" t="s">
        <v>1010</v>
      </c>
      <c r="GO3" s="44" t="s">
        <v>1011</v>
      </c>
      <c r="GP3" s="44" t="s">
        <v>1012</v>
      </c>
      <c r="GQ3" s="44" t="s">
        <v>1013</v>
      </c>
      <c r="GR3" s="44" t="s">
        <v>1014</v>
      </c>
      <c r="GS3" s="44" t="s">
        <v>1015</v>
      </c>
      <c r="GT3" s="44" t="s">
        <v>1016</v>
      </c>
      <c r="GU3" s="44" t="s">
        <v>1017</v>
      </c>
      <c r="GV3" s="44" t="s">
        <v>1018</v>
      </c>
      <c r="GW3" s="44" t="s">
        <v>1019</v>
      </c>
      <c r="GX3" s="44" t="s">
        <v>1020</v>
      </c>
      <c r="GY3" s="44" t="s">
        <v>1021</v>
      </c>
      <c r="GZ3" s="44" t="s">
        <v>1022</v>
      </c>
      <c r="HA3" s="44" t="s">
        <v>1023</v>
      </c>
      <c r="HB3" s="44" t="s">
        <v>1024</v>
      </c>
      <c r="HC3" s="44" t="s">
        <v>1025</v>
      </c>
      <c r="HD3" s="44" t="s">
        <v>1026</v>
      </c>
      <c r="HE3" s="44" t="s">
        <v>1027</v>
      </c>
      <c r="HF3" s="44" t="s">
        <v>1028</v>
      </c>
      <c r="HG3" s="44" t="s">
        <v>1029</v>
      </c>
      <c r="HH3" s="44" t="s">
        <v>1030</v>
      </c>
      <c r="HI3" s="44" t="s">
        <v>1031</v>
      </c>
      <c r="HJ3" s="44" t="s">
        <v>1032</v>
      </c>
      <c r="HK3" s="44" t="s">
        <v>1033</v>
      </c>
      <c r="HL3" s="44" t="s">
        <v>1034</v>
      </c>
      <c r="HM3" s="44" t="s">
        <v>1035</v>
      </c>
      <c r="HN3" s="44" t="s">
        <v>1036</v>
      </c>
      <c r="HO3" s="44" t="s">
        <v>1037</v>
      </c>
      <c r="HP3" s="44" t="s">
        <v>1038</v>
      </c>
      <c r="HQ3" s="44" t="s">
        <v>1039</v>
      </c>
      <c r="HR3" s="44" t="s">
        <v>1040</v>
      </c>
      <c r="HS3" s="44" t="s">
        <v>1041</v>
      </c>
      <c r="HT3" s="44" t="s">
        <v>1042</v>
      </c>
      <c r="HU3" s="44" t="s">
        <v>1043</v>
      </c>
      <c r="HV3" s="44" t="s">
        <v>1044</v>
      </c>
      <c r="HW3" s="44" t="s">
        <v>1045</v>
      </c>
      <c r="HX3" s="44" t="s">
        <v>1046</v>
      </c>
      <c r="HY3" s="44" t="s">
        <v>1047</v>
      </c>
      <c r="HZ3" s="44" t="s">
        <v>1048</v>
      </c>
      <c r="IA3" s="44" t="s">
        <v>1049</v>
      </c>
      <c r="IB3" s="44" t="s">
        <v>1050</v>
      </c>
      <c r="IC3" s="44" t="s">
        <v>1051</v>
      </c>
      <c r="ID3" s="44" t="s">
        <v>1052</v>
      </c>
      <c r="IE3" s="44" t="s">
        <v>1053</v>
      </c>
      <c r="IF3" s="44" t="s">
        <v>1054</v>
      </c>
      <c r="IG3" s="44" t="s">
        <v>1055</v>
      </c>
      <c r="IH3" s="44" t="s">
        <v>1056</v>
      </c>
      <c r="II3" s="44" t="s">
        <v>1057</v>
      </c>
      <c r="IJ3" s="44" t="s">
        <v>1058</v>
      </c>
      <c r="IK3" s="44" t="s">
        <v>1059</v>
      </c>
      <c r="IL3" s="44" t="s">
        <v>1060</v>
      </c>
      <c r="IM3" s="44" t="s">
        <v>1061</v>
      </c>
      <c r="IN3" s="44" t="s">
        <v>1062</v>
      </c>
      <c r="IO3" s="44" t="s">
        <v>1063</v>
      </c>
      <c r="IP3" s="44" t="s">
        <v>1064</v>
      </c>
      <c r="IQ3" s="44" t="s">
        <v>1065</v>
      </c>
      <c r="IR3" s="44" t="s">
        <v>1066</v>
      </c>
      <c r="IS3" s="44" t="s">
        <v>1067</v>
      </c>
      <c r="IT3" s="44" t="s">
        <v>1068</v>
      </c>
      <c r="IU3" s="44" t="s">
        <v>1069</v>
      </c>
      <c r="IV3" s="44" t="s">
        <v>1070</v>
      </c>
      <c r="IW3" s="44" t="s">
        <v>1071</v>
      </c>
      <c r="IX3" s="44" t="s">
        <v>1072</v>
      </c>
      <c r="IY3" s="44" t="s">
        <v>1073</v>
      </c>
      <c r="IZ3" s="44" t="s">
        <v>1074</v>
      </c>
      <c r="JA3" s="44" t="s">
        <v>1075</v>
      </c>
      <c r="JB3" s="44" t="s">
        <v>1076</v>
      </c>
      <c r="JC3" s="44" t="s">
        <v>1077</v>
      </c>
      <c r="JD3" s="44" t="s">
        <v>1078</v>
      </c>
      <c r="JE3" s="44" t="s">
        <v>1079</v>
      </c>
      <c r="JF3" s="44" t="s">
        <v>1080</v>
      </c>
      <c r="JG3" s="44" t="s">
        <v>1081</v>
      </c>
      <c r="JH3" s="44" t="s">
        <v>1082</v>
      </c>
      <c r="JI3" s="44" t="s">
        <v>1083</v>
      </c>
      <c r="JJ3" s="44" t="s">
        <v>1084</v>
      </c>
      <c r="JK3" s="44" t="s">
        <v>1085</v>
      </c>
      <c r="JL3" s="44" t="s">
        <v>1086</v>
      </c>
      <c r="JM3" s="44" t="s">
        <v>1087</v>
      </c>
      <c r="JN3" s="44" t="s">
        <v>1088</v>
      </c>
      <c r="JO3" s="44" t="s">
        <v>1089</v>
      </c>
      <c r="JP3" s="44" t="s">
        <v>1090</v>
      </c>
      <c r="JQ3" s="44" t="s">
        <v>1091</v>
      </c>
      <c r="JR3" s="44" t="s">
        <v>1092</v>
      </c>
      <c r="JS3" s="44" t="s">
        <v>1093</v>
      </c>
      <c r="JT3" s="44" t="s">
        <v>1094</v>
      </c>
      <c r="JU3" s="44" t="s">
        <v>1095</v>
      </c>
      <c r="JV3" s="44" t="s">
        <v>1096</v>
      </c>
      <c r="JW3" s="44" t="s">
        <v>1097</v>
      </c>
      <c r="JX3" s="44" t="s">
        <v>1098</v>
      </c>
      <c r="JY3" s="44" t="s">
        <v>1099</v>
      </c>
      <c r="JZ3" s="44" t="s">
        <v>1100</v>
      </c>
      <c r="KA3" s="44" t="s">
        <v>1101</v>
      </c>
      <c r="KB3" s="44" t="s">
        <v>1102</v>
      </c>
      <c r="KC3" s="44" t="s">
        <v>1103</v>
      </c>
      <c r="KD3" s="44" t="s">
        <v>1104</v>
      </c>
      <c r="KE3" s="44" t="s">
        <v>1105</v>
      </c>
      <c r="KF3" s="44" t="s">
        <v>1106</v>
      </c>
      <c r="KG3" s="44" t="s">
        <v>1107</v>
      </c>
      <c r="KH3" s="44" t="s">
        <v>1108</v>
      </c>
      <c r="KI3" s="44" t="s">
        <v>1109</v>
      </c>
      <c r="KJ3" s="44" t="s">
        <v>1110</v>
      </c>
      <c r="KK3" s="44" t="s">
        <v>1111</v>
      </c>
      <c r="KL3" s="44" t="s">
        <v>1112</v>
      </c>
      <c r="KM3" s="44" t="s">
        <v>1113</v>
      </c>
      <c r="KN3" s="44" t="s">
        <v>1114</v>
      </c>
      <c r="KO3" s="44" t="s">
        <v>1115</v>
      </c>
      <c r="KP3" s="44" t="s">
        <v>1116</v>
      </c>
      <c r="KQ3" s="44" t="s">
        <v>1117</v>
      </c>
      <c r="KR3" s="44" t="s">
        <v>1118</v>
      </c>
      <c r="KS3" s="44" t="s">
        <v>1119</v>
      </c>
      <c r="KT3" s="44" t="s">
        <v>1120</v>
      </c>
      <c r="KU3" s="44" t="s">
        <v>1121</v>
      </c>
      <c r="KV3" s="44" t="s">
        <v>1122</v>
      </c>
      <c r="KW3" s="44" t="s">
        <v>1123</v>
      </c>
      <c r="KX3" s="44" t="s">
        <v>1124</v>
      </c>
      <c r="KY3" s="44" t="s">
        <v>1125</v>
      </c>
      <c r="KZ3" s="44" t="s">
        <v>1126</v>
      </c>
      <c r="LA3" s="44" t="s">
        <v>1127</v>
      </c>
      <c r="LB3" s="44" t="s">
        <v>1128</v>
      </c>
      <c r="LC3" s="44" t="s">
        <v>1129</v>
      </c>
      <c r="LD3" s="44" t="s">
        <v>1130</v>
      </c>
      <c r="LE3" s="44" t="s">
        <v>1131</v>
      </c>
      <c r="LF3" s="44" t="s">
        <v>1132</v>
      </c>
      <c r="LG3" s="44" t="s">
        <v>1133</v>
      </c>
      <c r="LH3" s="44" t="s">
        <v>1134</v>
      </c>
      <c r="LI3" s="44" t="s">
        <v>1135</v>
      </c>
      <c r="LJ3" s="44" t="s">
        <v>1136</v>
      </c>
      <c r="LK3" s="44" t="s">
        <v>1137</v>
      </c>
      <c r="LL3" s="44" t="s">
        <v>1138</v>
      </c>
      <c r="LM3" s="44" t="s">
        <v>1139</v>
      </c>
      <c r="LN3" s="44" t="s">
        <v>1140</v>
      </c>
      <c r="LO3" s="44" t="s">
        <v>1141</v>
      </c>
      <c r="LP3" s="44" t="s">
        <v>1142</v>
      </c>
      <c r="LQ3" s="44" t="s">
        <v>1143</v>
      </c>
      <c r="LR3" s="44" t="s">
        <v>1144</v>
      </c>
      <c r="LS3" s="44" t="s">
        <v>1145</v>
      </c>
      <c r="LT3" s="44" t="s">
        <v>1146</v>
      </c>
      <c r="LU3" s="44" t="s">
        <v>1147</v>
      </c>
      <c r="LV3" s="44" t="s">
        <v>1148</v>
      </c>
      <c r="LW3" s="44" t="s">
        <v>1149</v>
      </c>
      <c r="LX3" s="44" t="s">
        <v>1150</v>
      </c>
      <c r="LY3" s="44" t="s">
        <v>1151</v>
      </c>
      <c r="LZ3" s="44" t="s">
        <v>1152</v>
      </c>
      <c r="MA3" s="44" t="s">
        <v>1153</v>
      </c>
      <c r="MB3" s="44" t="s">
        <v>1154</v>
      </c>
      <c r="MC3" s="44" t="s">
        <v>1155</v>
      </c>
      <c r="MD3" s="44" t="s">
        <v>1156</v>
      </c>
      <c r="ME3" s="44" t="s">
        <v>1157</v>
      </c>
      <c r="MF3" s="44" t="s">
        <v>1158</v>
      </c>
      <c r="MG3" s="44" t="s">
        <v>1159</v>
      </c>
      <c r="MH3" s="44" t="s">
        <v>1160</v>
      </c>
      <c r="MI3" s="44" t="s">
        <v>1161</v>
      </c>
      <c r="MJ3" s="44" t="s">
        <v>1162</v>
      </c>
      <c r="MK3" s="44" t="s">
        <v>1163</v>
      </c>
      <c r="ML3" s="44" t="s">
        <v>1164</v>
      </c>
      <c r="MM3" s="44" t="s">
        <v>1165</v>
      </c>
      <c r="MN3" s="44" t="s">
        <v>1166</v>
      </c>
      <c r="MO3" s="44" t="s">
        <v>1167</v>
      </c>
      <c r="MP3" s="44" t="s">
        <v>1168</v>
      </c>
      <c r="MQ3" s="44" t="s">
        <v>1169</v>
      </c>
      <c r="MR3" s="44" t="s">
        <v>1170</v>
      </c>
      <c r="MS3" s="44" t="s">
        <v>1171</v>
      </c>
      <c r="MT3" s="44" t="s">
        <v>1172</v>
      </c>
      <c r="MU3" s="44" t="s">
        <v>1173</v>
      </c>
      <c r="MV3" s="44" t="s">
        <v>1174</v>
      </c>
      <c r="MW3" s="44" t="s">
        <v>1175</v>
      </c>
      <c r="MX3" s="44" t="s">
        <v>1176</v>
      </c>
      <c r="MY3" s="44" t="s">
        <v>1177</v>
      </c>
      <c r="MZ3" s="44" t="s">
        <v>1178</v>
      </c>
      <c r="NA3" s="44" t="s">
        <v>1179</v>
      </c>
      <c r="NB3" s="44" t="s">
        <v>1180</v>
      </c>
      <c r="NC3" s="44" t="s">
        <v>1181</v>
      </c>
      <c r="ND3" s="44" t="s">
        <v>1182</v>
      </c>
      <c r="NE3" s="44" t="s">
        <v>1183</v>
      </c>
      <c r="NF3" s="44" t="s">
        <v>1184</v>
      </c>
      <c r="NG3" s="44" t="s">
        <v>1185</v>
      </c>
      <c r="NH3" s="44" t="s">
        <v>1186</v>
      </c>
      <c r="NI3" s="44" t="s">
        <v>1187</v>
      </c>
      <c r="NJ3" s="44" t="s">
        <v>1188</v>
      </c>
      <c r="NK3" s="44" t="s">
        <v>1189</v>
      </c>
      <c r="NL3" s="44" t="s">
        <v>1190</v>
      </c>
      <c r="NM3" s="44" t="s">
        <v>1191</v>
      </c>
      <c r="NN3" s="44" t="s">
        <v>1192</v>
      </c>
      <c r="NO3" s="44" t="s">
        <v>1193</v>
      </c>
      <c r="NP3" s="44" t="s">
        <v>1194</v>
      </c>
      <c r="NQ3" s="44" t="s">
        <v>1195</v>
      </c>
      <c r="NR3" s="44" t="s">
        <v>1196</v>
      </c>
      <c r="NS3" s="44" t="s">
        <v>1197</v>
      </c>
      <c r="NT3" s="44" t="s">
        <v>1198</v>
      </c>
      <c r="NU3" s="44" t="s">
        <v>1199</v>
      </c>
      <c r="NV3" s="44" t="s">
        <v>1200</v>
      </c>
      <c r="NW3" s="44" t="s">
        <v>1201</v>
      </c>
      <c r="NX3" s="44" t="s">
        <v>1202</v>
      </c>
      <c r="NY3" s="44" t="s">
        <v>1203</v>
      </c>
      <c r="NZ3" s="44" t="s">
        <v>1204</v>
      </c>
      <c r="OA3" s="44" t="s">
        <v>1205</v>
      </c>
      <c r="OB3" s="44" t="s">
        <v>1206</v>
      </c>
      <c r="OC3" s="44" t="s">
        <v>1207</v>
      </c>
      <c r="OD3" s="44" t="s">
        <v>1208</v>
      </c>
      <c r="OE3" s="44" t="s">
        <v>1209</v>
      </c>
      <c r="OF3" s="44" t="s">
        <v>1210</v>
      </c>
      <c r="OG3" s="44" t="s">
        <v>1211</v>
      </c>
      <c r="OH3" s="44" t="s">
        <v>1212</v>
      </c>
      <c r="OI3" s="44" t="s">
        <v>1213</v>
      </c>
      <c r="OJ3" s="44" t="s">
        <v>1214</v>
      </c>
      <c r="OK3" s="44" t="s">
        <v>1215</v>
      </c>
      <c r="OL3" s="44" t="s">
        <v>1216</v>
      </c>
      <c r="OM3" s="44" t="s">
        <v>1217</v>
      </c>
      <c r="ON3" s="44" t="s">
        <v>1218</v>
      </c>
      <c r="OO3" s="44" t="s">
        <v>1219</v>
      </c>
      <c r="OP3" s="44" t="s">
        <v>1220</v>
      </c>
      <c r="OQ3" s="44" t="s">
        <v>1221</v>
      </c>
      <c r="OR3" s="44" t="s">
        <v>1222</v>
      </c>
      <c r="OS3" s="44" t="s">
        <v>1223</v>
      </c>
      <c r="OT3" s="44" t="s">
        <v>1224</v>
      </c>
      <c r="OU3" s="44" t="s">
        <v>1225</v>
      </c>
      <c r="OV3" s="44" t="s">
        <v>1226</v>
      </c>
      <c r="OW3" s="44" t="s">
        <v>1227</v>
      </c>
      <c r="OX3" s="44" t="s">
        <v>1228</v>
      </c>
      <c r="OY3" s="44" t="s">
        <v>1229</v>
      </c>
      <c r="OZ3" s="44" t="s">
        <v>1230</v>
      </c>
      <c r="PA3" s="44" t="s">
        <v>1231</v>
      </c>
      <c r="PB3" s="44" t="s">
        <v>1232</v>
      </c>
      <c r="PC3" s="44" t="s">
        <v>1233</v>
      </c>
      <c r="PD3" s="44" t="s">
        <v>1234</v>
      </c>
      <c r="PE3" s="44" t="s">
        <v>1235</v>
      </c>
      <c r="PF3" s="44" t="s">
        <v>1236</v>
      </c>
      <c r="PG3" s="44" t="s">
        <v>1237</v>
      </c>
      <c r="PH3" s="44" t="s">
        <v>1238</v>
      </c>
      <c r="PI3" s="44" t="s">
        <v>1239</v>
      </c>
      <c r="PJ3" s="44" t="s">
        <v>1240</v>
      </c>
      <c r="PK3" s="44" t="s">
        <v>1241</v>
      </c>
      <c r="PL3" s="44" t="s">
        <v>1242</v>
      </c>
      <c r="PM3" s="44" t="s">
        <v>1243</v>
      </c>
      <c r="PN3" s="44" t="s">
        <v>1244</v>
      </c>
      <c r="PO3" s="44" t="s">
        <v>1245</v>
      </c>
      <c r="PP3" s="44" t="s">
        <v>1246</v>
      </c>
      <c r="PQ3" s="44" t="s">
        <v>1247</v>
      </c>
      <c r="PR3" s="44" t="s">
        <v>1248</v>
      </c>
      <c r="PS3" s="44" t="s">
        <v>1249</v>
      </c>
      <c r="PT3" s="44" t="s">
        <v>1250</v>
      </c>
      <c r="PU3" s="44" t="s">
        <v>1251</v>
      </c>
      <c r="PV3" s="44" t="s">
        <v>1252</v>
      </c>
      <c r="PW3" s="44" t="s">
        <v>1253</v>
      </c>
      <c r="PX3" s="44" t="s">
        <v>1254</v>
      </c>
      <c r="PY3" s="44" t="s">
        <v>1255</v>
      </c>
      <c r="PZ3" s="44" t="s">
        <v>1256</v>
      </c>
      <c r="QA3" s="44" t="s">
        <v>1257</v>
      </c>
      <c r="QB3" s="44" t="s">
        <v>1258</v>
      </c>
      <c r="QC3" s="44" t="s">
        <v>1259</v>
      </c>
      <c r="QD3" s="44" t="s">
        <v>1260</v>
      </c>
      <c r="QE3" s="44" t="s">
        <v>1261</v>
      </c>
      <c r="QF3" s="44" t="s">
        <v>1262</v>
      </c>
      <c r="QG3" s="44" t="s">
        <v>1263</v>
      </c>
      <c r="QH3" s="44" t="s">
        <v>1264</v>
      </c>
      <c r="QI3" s="44" t="s">
        <v>1265</v>
      </c>
      <c r="QJ3" s="44" t="s">
        <v>1266</v>
      </c>
      <c r="QK3" s="44" t="s">
        <v>1267</v>
      </c>
      <c r="QL3" s="44" t="s">
        <v>1268</v>
      </c>
      <c r="QM3" s="44" t="s">
        <v>1269</v>
      </c>
      <c r="QN3" s="44" t="s">
        <v>1270</v>
      </c>
      <c r="QO3" s="44" t="s">
        <v>1271</v>
      </c>
      <c r="QP3" s="44" t="s">
        <v>1272</v>
      </c>
      <c r="QQ3" s="44" t="s">
        <v>1273</v>
      </c>
      <c r="QR3" s="44" t="s">
        <v>1274</v>
      </c>
      <c r="QS3" s="44" t="s">
        <v>1275</v>
      </c>
      <c r="QT3" s="44" t="s">
        <v>1276</v>
      </c>
      <c r="QU3" s="44" t="s">
        <v>1277</v>
      </c>
      <c r="QV3" s="44" t="s">
        <v>1278</v>
      </c>
      <c r="QW3" s="44" t="s">
        <v>1279</v>
      </c>
      <c r="QX3" s="44" t="s">
        <v>1280</v>
      </c>
      <c r="QY3" s="44" t="s">
        <v>1281</v>
      </c>
      <c r="QZ3" s="44" t="s">
        <v>1282</v>
      </c>
      <c r="RA3" s="44" t="s">
        <v>1283</v>
      </c>
      <c r="RB3" s="44" t="s">
        <v>1284</v>
      </c>
      <c r="RC3" s="44" t="s">
        <v>1285</v>
      </c>
      <c r="RD3" s="44" t="s">
        <v>1286</v>
      </c>
      <c r="RE3" s="44" t="s">
        <v>1287</v>
      </c>
      <c r="RF3" s="44" t="s">
        <v>1288</v>
      </c>
      <c r="RG3" s="44" t="s">
        <v>1289</v>
      </c>
      <c r="RH3" s="44" t="s">
        <v>1290</v>
      </c>
      <c r="RI3" s="44" t="s">
        <v>1291</v>
      </c>
      <c r="RJ3" s="44" t="s">
        <v>1292</v>
      </c>
      <c r="RK3" s="44" t="s">
        <v>1293</v>
      </c>
      <c r="RL3" s="44" t="s">
        <v>1294</v>
      </c>
      <c r="RM3" s="44" t="s">
        <v>1295</v>
      </c>
      <c r="RN3" s="44" t="s">
        <v>1296</v>
      </c>
      <c r="RO3" s="44" t="s">
        <v>1297</v>
      </c>
      <c r="RP3" s="44" t="s">
        <v>1298</v>
      </c>
      <c r="RQ3" s="44" t="s">
        <v>1299</v>
      </c>
      <c r="RR3" s="44" t="s">
        <v>1300</v>
      </c>
      <c r="RS3" s="44" t="s">
        <v>1301</v>
      </c>
      <c r="RT3" s="44" t="s">
        <v>1302</v>
      </c>
      <c r="RU3" s="44" t="s">
        <v>1303</v>
      </c>
      <c r="RV3" s="44" t="s">
        <v>1304</v>
      </c>
      <c r="RW3" s="44" t="s">
        <v>1305</v>
      </c>
      <c r="RX3" s="44" t="s">
        <v>1306</v>
      </c>
      <c r="RY3" s="44" t="s">
        <v>1307</v>
      </c>
      <c r="RZ3" s="44" t="s">
        <v>1308</v>
      </c>
      <c r="SA3" s="44" t="s">
        <v>1309</v>
      </c>
      <c r="SB3" s="44" t="s">
        <v>1310</v>
      </c>
      <c r="SC3" s="44" t="s">
        <v>1311</v>
      </c>
      <c r="SD3" s="44" t="s">
        <v>1312</v>
      </c>
      <c r="SE3" s="44" t="s">
        <v>1313</v>
      </c>
      <c r="SF3" s="44" t="s">
        <v>1314</v>
      </c>
      <c r="SG3" s="44" t="s">
        <v>1315</v>
      </c>
      <c r="SH3" s="44" t="s">
        <v>1316</v>
      </c>
      <c r="SI3" s="44" t="s">
        <v>1317</v>
      </c>
      <c r="SJ3" s="44" t="s">
        <v>1318</v>
      </c>
      <c r="SK3" s="44" t="s">
        <v>1319</v>
      </c>
      <c r="SL3" s="44" t="s">
        <v>1320</v>
      </c>
      <c r="SM3" s="44" t="s">
        <v>1321</v>
      </c>
      <c r="SN3" s="44" t="s">
        <v>1322</v>
      </c>
      <c r="SO3" s="44" t="s">
        <v>1323</v>
      </c>
      <c r="SP3" s="44" t="s">
        <v>1324</v>
      </c>
      <c r="SQ3" s="44" t="s">
        <v>1325</v>
      </c>
      <c r="SR3" s="44" t="s">
        <v>1326</v>
      </c>
      <c r="SS3" s="44" t="s">
        <v>1327</v>
      </c>
      <c r="ST3" s="44" t="s">
        <v>1328</v>
      </c>
      <c r="SU3" s="44" t="s">
        <v>1329</v>
      </c>
      <c r="SV3" s="44" t="s">
        <v>1330</v>
      </c>
      <c r="SW3" s="44" t="s">
        <v>1331</v>
      </c>
      <c r="SX3" s="44" t="s">
        <v>1332</v>
      </c>
      <c r="SY3" s="44" t="s">
        <v>1333</v>
      </c>
      <c r="SZ3" s="44" t="s">
        <v>1334</v>
      </c>
      <c r="TA3" s="44" t="s">
        <v>1335</v>
      </c>
      <c r="TB3" s="44" t="s">
        <v>1336</v>
      </c>
      <c r="TC3" s="44" t="s">
        <v>1337</v>
      </c>
      <c r="TD3" s="44" t="s">
        <v>1338</v>
      </c>
      <c r="TE3" s="44" t="s">
        <v>1339</v>
      </c>
      <c r="TF3" s="44" t="s">
        <v>1340</v>
      </c>
      <c r="TG3" s="44" t="s">
        <v>1341</v>
      </c>
    </row>
    <row r="4" spans="1:527" s="40" customFormat="1" ht="55.5" customHeight="1" x14ac:dyDescent="0.2">
      <c r="A4" s="65" t="s">
        <v>1356</v>
      </c>
      <c r="B4" s="45" t="s">
        <v>45</v>
      </c>
      <c r="C4" s="65" t="s">
        <v>1360</v>
      </c>
      <c r="D4" s="65" t="s">
        <v>1362</v>
      </c>
      <c r="E4" s="66" t="s">
        <v>1357</v>
      </c>
      <c r="F4" s="39" t="str">
        <f>F3&amp;Barefoot!$I$2</f>
        <v>Marker1</v>
      </c>
      <c r="G4" s="39" t="str">
        <f>G3&amp;Barefoot!$I$2</f>
        <v>Marker2</v>
      </c>
      <c r="H4" s="39" t="str">
        <f>H3&amp;Barefoot!$I$2</f>
        <v>ShStep1SwingsideT1</v>
      </c>
      <c r="I4" s="39" t="str">
        <f>I3&amp;Barefoot!$I$2</f>
        <v>ShStep1StepLengthT1</v>
      </c>
      <c r="J4" s="39" t="str">
        <f>J3&amp;Barefoot!$I$2</f>
        <v>ShStep1StepTimeT1</v>
      </c>
      <c r="K4" s="39" t="str">
        <f>K3&amp;Barefoot!$I$2</f>
        <v>ShStep1DoubleSupportTimeT1</v>
      </c>
      <c r="L4" s="39" t="str">
        <f>L3&amp;Barefoot!$I$2</f>
        <v>ShStep1StanceTimeT1</v>
      </c>
      <c r="M4" s="39" t="str">
        <f>M3&amp;Barefoot!$I$2</f>
        <v>ShStep2SwingsideT1</v>
      </c>
      <c r="N4" s="39" t="str">
        <f>N3&amp;Barefoot!$I$2</f>
        <v>ShStep2StepLengthT1</v>
      </c>
      <c r="O4" s="39" t="str">
        <f>O3&amp;Barefoot!$I$2</f>
        <v>ShStep2StepTimeT1</v>
      </c>
      <c r="P4" s="39" t="str">
        <f>P3&amp;Barefoot!$I$2</f>
        <v>ShStep2DoubleSupportTimeT1</v>
      </c>
      <c r="Q4" s="39" t="str">
        <f>Q3&amp;Barefoot!$I$2</f>
        <v>ShStep2StanceTimeT1</v>
      </c>
      <c r="R4" s="39" t="str">
        <f>R3&amp;Barefoot!$I$2</f>
        <v>ShStep3SwingsideT1</v>
      </c>
      <c r="S4" s="39" t="str">
        <f>S3&amp;Barefoot!$I$2</f>
        <v>ShStep3StepLengthT1</v>
      </c>
      <c r="T4" s="39" t="str">
        <f>T3&amp;Barefoot!$I$2</f>
        <v>ShStep3StepTimeT1</v>
      </c>
      <c r="U4" s="39" t="str">
        <f>U3&amp;Barefoot!$I$2</f>
        <v>ShStep3DoubleSupportTimeT1</v>
      </c>
      <c r="V4" s="39" t="str">
        <f>V3&amp;Barefoot!$I$2</f>
        <v>ShStep3StanceTimeT1</v>
      </c>
      <c r="W4" s="39" t="str">
        <f>W3&amp;Barefoot!$I$2</f>
        <v>ShStride1SideT1</v>
      </c>
      <c r="X4" s="39" t="str">
        <f>X3&amp;Barefoot!$I$2</f>
        <v>ShStride1StrideLengthT1</v>
      </c>
      <c r="Y4" s="39" t="str">
        <f>Y3&amp;Barefoot!$I$2</f>
        <v>ShStride1StrideTimeT1</v>
      </c>
      <c r="Z4" s="39" t="str">
        <f>Z3&amp;Barefoot!$I$2</f>
        <v>ShStride1SwingTimeT1</v>
      </c>
      <c r="AA4" s="39" t="str">
        <f>AA3&amp;Barefoot!$I$2</f>
        <v>ShStride2SideT1</v>
      </c>
      <c r="AB4" s="39" t="str">
        <f>AB3&amp;Barefoot!$I$2</f>
        <v>ShStride2StrideLengthT1</v>
      </c>
      <c r="AC4" s="39" t="str">
        <f>AC3&amp;Barefoot!$I$2</f>
        <v>ShStride2StrideTimeT1</v>
      </c>
      <c r="AD4" s="39" t="str">
        <f>AD3&amp;Barefoot!$I$2</f>
        <v>ShStride2SwingTimeT1</v>
      </c>
      <c r="AE4" s="39" t="str">
        <f>AE3&amp;Barefoot!$I$2</f>
        <v>ShStep1SwingsideT2</v>
      </c>
      <c r="AF4" s="39" t="str">
        <f>AF3&amp;Barefoot!$I$2</f>
        <v>ShStep1StepLengthT2</v>
      </c>
      <c r="AG4" s="39" t="str">
        <f>AG3&amp;Barefoot!$I$2</f>
        <v>ShStep1StepTimeT2</v>
      </c>
      <c r="AH4" s="39" t="str">
        <f>AH3&amp;Barefoot!$I$2</f>
        <v>ShStep1DoubleSupportTimeT2</v>
      </c>
      <c r="AI4" s="39" t="str">
        <f>AI3&amp;Barefoot!$I$2</f>
        <v>ShStep1StanceTimeT2</v>
      </c>
      <c r="AJ4" s="39" t="str">
        <f>AJ3&amp;Barefoot!$I$2</f>
        <v>ShStep2SwingsideT2</v>
      </c>
      <c r="AK4" s="39" t="str">
        <f>AK3&amp;Barefoot!$I$2</f>
        <v>ShStep2StepLengthT2</v>
      </c>
      <c r="AL4" s="39" t="str">
        <f>AL3&amp;Barefoot!$I$2</f>
        <v>ShStep2StepTimeT2</v>
      </c>
      <c r="AM4" s="39" t="str">
        <f>AM3&amp;Barefoot!$I$2</f>
        <v>ShStep2DoubleSupportTimeT2</v>
      </c>
      <c r="AN4" s="39" t="str">
        <f>AN3&amp;Barefoot!$I$2</f>
        <v>ShStep2StanceTimeT2</v>
      </c>
      <c r="AO4" s="39" t="str">
        <f>AO3&amp;Barefoot!$I$2</f>
        <v>ShStep3SwingsideT2</v>
      </c>
      <c r="AP4" s="39" t="str">
        <f>AP3&amp;Barefoot!$I$2</f>
        <v>ShStep3StepLengthT2</v>
      </c>
      <c r="AQ4" s="39" t="str">
        <f>AQ3&amp;Barefoot!$I$2</f>
        <v>ShStep3StepTimeT2</v>
      </c>
      <c r="AR4" s="39" t="str">
        <f>AR3&amp;Barefoot!$I$2</f>
        <v>ShStep3DoubleSupportTimeT2</v>
      </c>
      <c r="AS4" s="39" t="str">
        <f>AS3&amp;Barefoot!$I$2</f>
        <v>ShStep3StanceTimeT2</v>
      </c>
      <c r="AT4" s="39" t="str">
        <f>AT3&amp;Barefoot!$I$2</f>
        <v>ShStride1SideT2</v>
      </c>
      <c r="AU4" s="39" t="str">
        <f>AU3&amp;Barefoot!$I$2</f>
        <v>ShStride1StrideLengthT2</v>
      </c>
      <c r="AV4" s="39" t="str">
        <f>AV3&amp;Barefoot!$I$2</f>
        <v>ShStride1StrideTimeT2</v>
      </c>
      <c r="AW4" s="39" t="str">
        <f>AW3&amp;Barefoot!$I$2</f>
        <v>ShStride1SwingTimeT2</v>
      </c>
      <c r="AX4" s="39" t="str">
        <f>AX3&amp;Barefoot!$I$2</f>
        <v>ShStride2SideT2</v>
      </c>
      <c r="AY4" s="39" t="str">
        <f>AY3&amp;Barefoot!$I$2</f>
        <v>ShStride2StrideLengthT2</v>
      </c>
      <c r="AZ4" s="39" t="str">
        <f>AZ3&amp;Barefoot!$I$2</f>
        <v>ShStride2StrideTimeT2</v>
      </c>
      <c r="BA4" s="39" t="str">
        <f>BA3&amp;Barefoot!$I$2</f>
        <v>ShStride2SwingTimeT2</v>
      </c>
      <c r="BB4" s="39" t="str">
        <f>BB3&amp;Barefoot!$I$2</f>
        <v>ShStep1SwingsideT3</v>
      </c>
      <c r="BC4" s="39" t="str">
        <f>BC3&amp;Barefoot!$I$2</f>
        <v>ShStep1StepLengthT3</v>
      </c>
      <c r="BD4" s="39" t="str">
        <f>BD3&amp;Barefoot!$I$2</f>
        <v>ShStep1StepTimeT3</v>
      </c>
      <c r="BE4" s="39" t="str">
        <f>BE3&amp;Barefoot!$I$2</f>
        <v>ShStep1DoubleSupportTimeT3</v>
      </c>
      <c r="BF4" s="39" t="str">
        <f>BF3&amp;Barefoot!$I$2</f>
        <v>ShStep1StanceTimeT3</v>
      </c>
      <c r="BG4" s="39" t="str">
        <f>BG3&amp;Barefoot!$I$2</f>
        <v>ShStep2SwingsideT3</v>
      </c>
      <c r="BH4" s="39" t="str">
        <f>BH3&amp;Barefoot!$I$2</f>
        <v>ShStep2StepLengthT3</v>
      </c>
      <c r="BI4" s="39" t="str">
        <f>BI3&amp;Barefoot!$I$2</f>
        <v>ShStep2StepTimeT3</v>
      </c>
      <c r="BJ4" s="39" t="str">
        <f>BJ3&amp;Barefoot!$I$2</f>
        <v>ShStep2DoubleSupportTimeT3</v>
      </c>
      <c r="BK4" s="39" t="str">
        <f>BK3&amp;Barefoot!$I$2</f>
        <v>ShStep2StanceTimeT3</v>
      </c>
      <c r="BL4" s="39" t="str">
        <f>BL3&amp;Barefoot!$I$2</f>
        <v>ShStep3SwingsideT3</v>
      </c>
      <c r="BM4" s="39" t="str">
        <f>BM3&amp;Barefoot!$I$2</f>
        <v>ShStep3StepLengthT3</v>
      </c>
      <c r="BN4" s="39" t="str">
        <f>BN3&amp;Barefoot!$I$2</f>
        <v>ShStep3StepTimeT3</v>
      </c>
      <c r="BO4" s="39" t="str">
        <f>BO3&amp;Barefoot!$I$2</f>
        <v>ShStep3DoubleSupportTimeT3</v>
      </c>
      <c r="BP4" s="39" t="str">
        <f>BP3&amp;Barefoot!$I$2</f>
        <v>ShStep3StanceTimeT3</v>
      </c>
      <c r="BQ4" s="39" t="str">
        <f>BQ3&amp;Barefoot!$I$2</f>
        <v>ShStride1SideT3</v>
      </c>
      <c r="BR4" s="39" t="str">
        <f>BR3&amp;Barefoot!$I$2</f>
        <v>ShStride1StrideLengthT3</v>
      </c>
      <c r="BS4" s="39" t="str">
        <f>BS3&amp;Barefoot!$I$2</f>
        <v>ShStride1StrideTimeT3</v>
      </c>
      <c r="BT4" s="39" t="str">
        <f>BT3&amp;Barefoot!$I$2</f>
        <v>ShStride1SwingTimeT3</v>
      </c>
      <c r="BU4" s="39" t="str">
        <f>BU3&amp;Barefoot!$I$2</f>
        <v>ShStride2SideT3</v>
      </c>
      <c r="BV4" s="39" t="str">
        <f>BV3&amp;Barefoot!$I$2</f>
        <v>ShStride2StrideLengthT3</v>
      </c>
      <c r="BW4" s="39" t="str">
        <f>BW3&amp;Barefoot!$I$2</f>
        <v>ShStride2StrideTimeT3</v>
      </c>
      <c r="BX4" s="39" t="str">
        <f>BX3&amp;Barefoot!$I$2</f>
        <v>ShStride2SwingTimeT3</v>
      </c>
      <c r="BY4" s="39" t="str">
        <f>BY3&amp;Barefoot!$I$2</f>
        <v>ShStep1SwingsideT4</v>
      </c>
      <c r="BZ4" s="39" t="str">
        <f>BZ3&amp;Barefoot!$I$2</f>
        <v>ShStep1StepLengthT4</v>
      </c>
      <c r="CA4" s="39" t="str">
        <f>CA3&amp;Barefoot!$I$2</f>
        <v>ShStep1StepTimeT4</v>
      </c>
      <c r="CB4" s="39" t="str">
        <f>CB3&amp;Barefoot!$I$2</f>
        <v>ShStep1DoubleSupportTimeT4</v>
      </c>
      <c r="CC4" s="39" t="str">
        <f>CC3&amp;Barefoot!$I$2</f>
        <v>ShStep1StanceTimeT4</v>
      </c>
      <c r="CD4" s="39" t="str">
        <f>CD3&amp;Barefoot!$I$2</f>
        <v>ShStep2SwingsideT4</v>
      </c>
      <c r="CE4" s="39" t="str">
        <f>CE3&amp;Barefoot!$I$2</f>
        <v>ShStep2StepLengthT4</v>
      </c>
      <c r="CF4" s="39" t="str">
        <f>CF3&amp;Barefoot!$I$2</f>
        <v>ShStep2StepTimeT4</v>
      </c>
      <c r="CG4" s="39" t="str">
        <f>CG3&amp;Barefoot!$I$2</f>
        <v>ShStep2DoubleSupportTimeT4</v>
      </c>
      <c r="CH4" s="39" t="str">
        <f>CH3&amp;Barefoot!$I$2</f>
        <v>ShStep2StanceTimeT4</v>
      </c>
      <c r="CI4" s="39" t="str">
        <f>CI3&amp;Barefoot!$I$2</f>
        <v>ShStep3SwingsideT4</v>
      </c>
      <c r="CJ4" s="39" t="str">
        <f>CJ3&amp;Barefoot!$I$2</f>
        <v>ShStep3StepLengthT4</v>
      </c>
      <c r="CK4" s="39" t="str">
        <f>CK3&amp;Barefoot!$I$2</f>
        <v>ShStep3StepTimeT4</v>
      </c>
      <c r="CL4" s="39" t="str">
        <f>CL3&amp;Barefoot!$I$2</f>
        <v>ShStep3DoubleSupportTimeT4</v>
      </c>
      <c r="CM4" s="39" t="str">
        <f>CM3&amp;Barefoot!$I$2</f>
        <v>ShStep3StanceTimeT4</v>
      </c>
      <c r="CN4" s="39" t="str">
        <f>CN3&amp;Barefoot!$I$2</f>
        <v>ShStride1SideT4</v>
      </c>
      <c r="CO4" s="39" t="str">
        <f>CO3&amp;Barefoot!$I$2</f>
        <v>ShStride1StrideLengthT4</v>
      </c>
      <c r="CP4" s="39" t="str">
        <f>CP3&amp;Barefoot!$I$2</f>
        <v>ShStride1StrideTimeT4</v>
      </c>
      <c r="CQ4" s="39" t="str">
        <f>CQ3&amp;Barefoot!$I$2</f>
        <v>ShStride1SwingTimeT4</v>
      </c>
      <c r="CR4" s="39" t="str">
        <f>CR3&amp;Barefoot!$I$2</f>
        <v>ShStride2SideT4</v>
      </c>
      <c r="CS4" s="39" t="str">
        <f>CS3&amp;Barefoot!$I$2</f>
        <v>ShStride2StrideLengthT4</v>
      </c>
      <c r="CT4" s="39" t="str">
        <f>CT3&amp;Barefoot!$I$2</f>
        <v>ShStride2StrideTimeT4</v>
      </c>
      <c r="CU4" s="39" t="str">
        <f>CU3&amp;Barefoot!$I$2</f>
        <v>ShStride2SwingTimeT4</v>
      </c>
      <c r="CV4" s="39" t="str">
        <f>CV3&amp;Barefoot!$I$2</f>
        <v>ShStep1SwingsideT5</v>
      </c>
      <c r="CW4" s="39" t="str">
        <f>CW3&amp;Barefoot!$I$2</f>
        <v>ShStep1StepLengthT5</v>
      </c>
      <c r="CX4" s="39" t="str">
        <f>CX3&amp;Barefoot!$I$2</f>
        <v>ShStep1StepTimeT5</v>
      </c>
      <c r="CY4" s="39" t="str">
        <f>CY3&amp;Barefoot!$I$2</f>
        <v>ShStep1DoubleSupportTimeT5</v>
      </c>
      <c r="CZ4" s="39" t="str">
        <f>CZ3&amp;Barefoot!$I$2</f>
        <v>ShStep1StanceTimeT5</v>
      </c>
      <c r="DA4" s="39" t="str">
        <f>DA3&amp;Barefoot!$I$2</f>
        <v>ShStep2SwingsideT5</v>
      </c>
      <c r="DB4" s="39" t="str">
        <f>DB3&amp;Barefoot!$I$2</f>
        <v>ShStep2StepLengthT5</v>
      </c>
      <c r="DC4" s="39" t="str">
        <f>DC3&amp;Barefoot!$I$2</f>
        <v>ShStep2StepTimeT5</v>
      </c>
      <c r="DD4" s="39" t="str">
        <f>DD3&amp;Barefoot!$I$2</f>
        <v>ShStep2DoubleSupportTimeT5</v>
      </c>
      <c r="DE4" s="39" t="str">
        <f>DE3&amp;Barefoot!$I$2</f>
        <v>ShStep2StanceTimeT5</v>
      </c>
      <c r="DF4" s="39" t="str">
        <f>DF3&amp;Barefoot!$I$2</f>
        <v>ShStep3SwingsideT5</v>
      </c>
      <c r="DG4" s="39" t="str">
        <f>DG3&amp;Barefoot!$I$2</f>
        <v>ShStep3StepLengthT5</v>
      </c>
      <c r="DH4" s="39" t="str">
        <f>DH3&amp;Barefoot!$I$2</f>
        <v>ShStep3StepTimeT5</v>
      </c>
      <c r="DI4" s="39" t="str">
        <f>DI3&amp;Barefoot!$I$2</f>
        <v>ShStep3DoubleSupportTimeT5</v>
      </c>
      <c r="DJ4" s="39" t="str">
        <f>DJ3&amp;Barefoot!$I$2</f>
        <v>ShStep3StanceTimeT5</v>
      </c>
      <c r="DK4" s="39" t="str">
        <f>DK3&amp;Barefoot!$I$2</f>
        <v>ShStride1SideT5</v>
      </c>
      <c r="DL4" s="39" t="str">
        <f>DL3&amp;Barefoot!$I$2</f>
        <v>ShStride1StrideLengthT5</v>
      </c>
      <c r="DM4" s="39" t="str">
        <f>DM3&amp;Barefoot!$I$2</f>
        <v>ShStride1StrideTimeT5</v>
      </c>
      <c r="DN4" s="39" t="str">
        <f>DN3&amp;Barefoot!$I$2</f>
        <v>ShStride1SwingTimeT5</v>
      </c>
      <c r="DO4" s="39" t="str">
        <f>DO3&amp;Barefoot!$I$2</f>
        <v>ShStride2SideT5</v>
      </c>
      <c r="DP4" s="39" t="str">
        <f>DP3&amp;Barefoot!$I$2</f>
        <v>ShStride2StrideLengthT5</v>
      </c>
      <c r="DQ4" s="39" t="str">
        <f>DQ3&amp;Barefoot!$I$2</f>
        <v>ShStride2StrideTimeT5</v>
      </c>
      <c r="DR4" s="39" t="str">
        <f>DR3&amp;Barefoot!$I$2</f>
        <v>ShStride2SwingTimeT5</v>
      </c>
      <c r="DS4" s="39" t="str">
        <f>DS3&amp;Barefoot!$I$2</f>
        <v>ShStep1SwingsideT6</v>
      </c>
      <c r="DT4" s="39" t="str">
        <f>DT3&amp;Barefoot!$I$2</f>
        <v>ShStep1StepLengthT6</v>
      </c>
      <c r="DU4" s="39" t="str">
        <f>DU3&amp;Barefoot!$I$2</f>
        <v>ShStep1StepTimeT6</v>
      </c>
      <c r="DV4" s="39" t="str">
        <f>DV3&amp;Barefoot!$I$2</f>
        <v>ShStep1DoubleSupportTimeT6</v>
      </c>
      <c r="DW4" s="39" t="str">
        <f>DW3&amp;Barefoot!$I$2</f>
        <v>ShStep1StanceTimeT6</v>
      </c>
      <c r="DX4" s="39" t="str">
        <f>DX3&amp;Barefoot!$I$2</f>
        <v>ShStep2SwingsideT6</v>
      </c>
      <c r="DY4" s="39" t="str">
        <f>DY3&amp;Barefoot!$I$2</f>
        <v>ShStep2StepLengthT6</v>
      </c>
      <c r="DZ4" s="39" t="str">
        <f>DZ3&amp;Barefoot!$I$2</f>
        <v>ShStep2StepTimeT6</v>
      </c>
      <c r="EA4" s="39" t="str">
        <f>EA3&amp;Barefoot!$I$2</f>
        <v>ShStep2DoubleSupportTimeT6</v>
      </c>
      <c r="EB4" s="39" t="str">
        <f>EB3&amp;Barefoot!$I$2</f>
        <v>ShStep2StanceTimeT6</v>
      </c>
      <c r="EC4" s="39" t="str">
        <f>EC3&amp;Barefoot!$I$2</f>
        <v>ShStep3SwingsideT6</v>
      </c>
      <c r="ED4" s="39" t="str">
        <f>ED3&amp;Barefoot!$I$2</f>
        <v>ShStep3StepLengthT6</v>
      </c>
      <c r="EE4" s="39" t="str">
        <f>EE3&amp;Barefoot!$I$2</f>
        <v>ShStep3StepTimeT6</v>
      </c>
      <c r="EF4" s="39" t="str">
        <f>EF3&amp;Barefoot!$I$2</f>
        <v>ShStep3DoubleSupportTimeT6</v>
      </c>
      <c r="EG4" s="39" t="str">
        <f>EG3&amp;Barefoot!$I$2</f>
        <v>ShStep3StanceTimeT6</v>
      </c>
      <c r="EH4" s="39" t="str">
        <f>EH3&amp;Barefoot!$I$2</f>
        <v>ShStride1SideT6</v>
      </c>
      <c r="EI4" s="39" t="str">
        <f>EI3&amp;Barefoot!$I$2</f>
        <v>ShStride1StrideLengthT6</v>
      </c>
      <c r="EJ4" s="39" t="str">
        <f>EJ3&amp;Barefoot!$I$2</f>
        <v>ShStride1StrideTimeT6</v>
      </c>
      <c r="EK4" s="39" t="str">
        <f>EK3&amp;Barefoot!$I$2</f>
        <v>ShStride1SwingTimeT6</v>
      </c>
      <c r="EL4" s="39" t="str">
        <f>EL3&amp;Barefoot!$I$2</f>
        <v>ShStride2SideT6</v>
      </c>
      <c r="EM4" s="39" t="str">
        <f>EM3&amp;Barefoot!$I$2</f>
        <v>ShStride2StrideLengthT6</v>
      </c>
      <c r="EN4" s="39" t="str">
        <f>EN3&amp;Barefoot!$I$2</f>
        <v>ShStride2StrideTimeT6</v>
      </c>
      <c r="EO4" s="39" t="str">
        <f>EO3&amp;Barefoot!$I$2</f>
        <v>ShStride2SwingTimeT6</v>
      </c>
      <c r="EP4" s="39" t="str">
        <f>EP3&amp;Barefoot!$I$2</f>
        <v>ShStep1SwingsideT7</v>
      </c>
      <c r="EQ4" s="39" t="str">
        <f>EQ3&amp;Barefoot!$I$2</f>
        <v>ShStep1StepLengthT7</v>
      </c>
      <c r="ER4" s="39" t="str">
        <f>ER3&amp;Barefoot!$I$2</f>
        <v>ShStep1StepTimeT7</v>
      </c>
      <c r="ES4" s="39" t="str">
        <f>ES3&amp;Barefoot!$I$2</f>
        <v>ShStep1DoubleSupportTimeT7</v>
      </c>
      <c r="ET4" s="39" t="str">
        <f>ET3&amp;Barefoot!$I$2</f>
        <v>ShStep1StanceTimeT7</v>
      </c>
      <c r="EU4" s="39" t="str">
        <f>EU3&amp;Barefoot!$I$2</f>
        <v>ShStep2SwingsideT7</v>
      </c>
      <c r="EV4" s="39" t="str">
        <f>EV3&amp;Barefoot!$I$2</f>
        <v>ShStep2StepLengthT7</v>
      </c>
      <c r="EW4" s="39" t="str">
        <f>EW3&amp;Barefoot!$I$2</f>
        <v>ShStep2StepTimeT7</v>
      </c>
      <c r="EX4" s="39" t="str">
        <f>EX3&amp;Barefoot!$I$2</f>
        <v>ShStep2DoubleSupportTimeT7</v>
      </c>
      <c r="EY4" s="39" t="str">
        <f>EY3&amp;Barefoot!$I$2</f>
        <v>ShStep2StanceTimeT7</v>
      </c>
      <c r="EZ4" s="39" t="str">
        <f>EZ3&amp;Barefoot!$I$2</f>
        <v>ShStep3SwingsideT7</v>
      </c>
      <c r="FA4" s="39" t="str">
        <f>FA3&amp;Barefoot!$I$2</f>
        <v>ShStep3StepLengthT7</v>
      </c>
      <c r="FB4" s="39" t="str">
        <f>FB3&amp;Barefoot!$I$2</f>
        <v>ShStep3StepTimeT7</v>
      </c>
      <c r="FC4" s="39" t="str">
        <f>FC3&amp;Barefoot!$I$2</f>
        <v>ShStep3DoubleSupportTimeT7</v>
      </c>
      <c r="FD4" s="39" t="str">
        <f>FD3&amp;Barefoot!$I$2</f>
        <v>ShStep3StanceTimeT7</v>
      </c>
      <c r="FE4" s="39" t="str">
        <f>FE3&amp;Barefoot!$I$2</f>
        <v>ShStride1SideT7</v>
      </c>
      <c r="FF4" s="39" t="str">
        <f>FF3&amp;Barefoot!$I$2</f>
        <v>ShStride1StrideLengthT7</v>
      </c>
      <c r="FG4" s="39" t="str">
        <f>FG3&amp;Barefoot!$I$2</f>
        <v>ShStride1StrideTimeT7</v>
      </c>
      <c r="FH4" s="39" t="str">
        <f>FH3&amp;Barefoot!$I$2</f>
        <v>ShStride1SwingTimeT7</v>
      </c>
      <c r="FI4" s="39" t="str">
        <f>FI3&amp;Barefoot!$I$2</f>
        <v>ShStride2SideT7</v>
      </c>
      <c r="FJ4" s="39" t="str">
        <f>FJ3&amp;Barefoot!$I$2</f>
        <v>ShStride2StrideLengthT7</v>
      </c>
      <c r="FK4" s="39" t="str">
        <f>FK3&amp;Barefoot!$I$2</f>
        <v>ShStride2StrideTimeT7</v>
      </c>
      <c r="FL4" s="39" t="str">
        <f>FL3&amp;Barefoot!$I$2</f>
        <v>ShStride2SwingTimeT7</v>
      </c>
      <c r="FM4" s="39" t="str">
        <f>FM3&amp;Barefoot!$I$2</f>
        <v>ShStep1SwingsideT8</v>
      </c>
      <c r="FN4" s="39" t="str">
        <f>FN3&amp;Barefoot!$I$2</f>
        <v>ShStep1StepLengthT8</v>
      </c>
      <c r="FO4" s="39" t="str">
        <f>FO3&amp;Barefoot!$I$2</f>
        <v>ShStep1StepTimeT8</v>
      </c>
      <c r="FP4" s="39" t="str">
        <f>FP3&amp;Barefoot!$I$2</f>
        <v>ShStep1DoubleSupportTimeT8</v>
      </c>
      <c r="FQ4" s="39" t="str">
        <f>FQ3&amp;Barefoot!$I$2</f>
        <v>ShStep1StanceTimeT8</v>
      </c>
      <c r="FR4" s="39" t="str">
        <f>FR3&amp;Barefoot!$I$2</f>
        <v>ShStep2SwingsideT8</v>
      </c>
      <c r="FS4" s="39" t="str">
        <f>FS3&amp;Barefoot!$I$2</f>
        <v>ShStep2StepLengthT8</v>
      </c>
      <c r="FT4" s="39" t="str">
        <f>FT3&amp;Barefoot!$I$2</f>
        <v>ShStep2StepTimeT8</v>
      </c>
      <c r="FU4" s="39" t="str">
        <f>FU3&amp;Barefoot!$I$2</f>
        <v>ShStep2DoubleSupportTimeT8</v>
      </c>
      <c r="FV4" s="39" t="str">
        <f>FV3&amp;Barefoot!$I$2</f>
        <v>ShStep2StanceTimeT8</v>
      </c>
      <c r="FW4" s="39" t="str">
        <f>FW3&amp;Barefoot!$I$2</f>
        <v>ShStep3SwingsideT8</v>
      </c>
      <c r="FX4" s="39" t="str">
        <f>FX3&amp;Barefoot!$I$2</f>
        <v>ShStep3StepLengthT8</v>
      </c>
      <c r="FY4" s="39" t="str">
        <f>FY3&amp;Barefoot!$I$2</f>
        <v>ShStep3StepTimeT8</v>
      </c>
      <c r="FZ4" s="39" t="str">
        <f>FZ3&amp;Barefoot!$I$2</f>
        <v>ShStep3DoubleSupportTimeT8</v>
      </c>
      <c r="GA4" s="39" t="str">
        <f>GA3&amp;Barefoot!$I$2</f>
        <v>ShStep3StanceTimeT8</v>
      </c>
      <c r="GB4" s="39" t="str">
        <f>GB3&amp;Barefoot!$I$2</f>
        <v>ShStride1SideT8</v>
      </c>
      <c r="GC4" s="39" t="str">
        <f>GC3&amp;Barefoot!$I$2</f>
        <v>ShStride1StrideLengthT8</v>
      </c>
      <c r="GD4" s="39" t="str">
        <f>GD3&amp;Barefoot!$I$2</f>
        <v>ShStride1StrideTimeT8</v>
      </c>
      <c r="GE4" s="39" t="str">
        <f>GE3&amp;Barefoot!$I$2</f>
        <v>ShStride1SwingTimeT8</v>
      </c>
      <c r="GF4" s="39" t="str">
        <f>GF3&amp;Barefoot!$I$2</f>
        <v>ShStride2SideT8</v>
      </c>
      <c r="GG4" s="39" t="str">
        <f>GG3&amp;Barefoot!$I$2</f>
        <v>ShStride2StrideLengthT8</v>
      </c>
      <c r="GH4" s="39" t="str">
        <f>GH3&amp;Barefoot!$I$2</f>
        <v>ShStride2StrideTimeT8</v>
      </c>
      <c r="GI4" s="39" t="str">
        <f>GI3&amp;Barefoot!$I$2</f>
        <v>ShStride2SwingTimeT8</v>
      </c>
      <c r="GJ4" s="39" t="str">
        <f>GJ3&amp;Barefoot!$I$2</f>
        <v>ShStep1SwingsideT9</v>
      </c>
      <c r="GK4" s="39" t="str">
        <f>GK3&amp;Barefoot!$I$2</f>
        <v>ShStep1StepLengthT9</v>
      </c>
      <c r="GL4" s="39" t="str">
        <f>GL3&amp;Barefoot!$I$2</f>
        <v>ShStep1StepTimeT9</v>
      </c>
      <c r="GM4" s="39" t="str">
        <f>GM3&amp;Barefoot!$I$2</f>
        <v>ShStep1DoubleSupportTimeT9</v>
      </c>
      <c r="GN4" s="39" t="str">
        <f>GN3&amp;Barefoot!$I$2</f>
        <v>ShStep1StanceTimeT9</v>
      </c>
      <c r="GO4" s="39" t="str">
        <f>GO3&amp;Barefoot!$I$2</f>
        <v>ShStep2SwingsideT9</v>
      </c>
      <c r="GP4" s="39" t="str">
        <f>GP3&amp;Barefoot!$I$2</f>
        <v>ShStep2StepLengthT9</v>
      </c>
      <c r="GQ4" s="39" t="str">
        <f>GQ3&amp;Barefoot!$I$2</f>
        <v>ShStep2StepTimeT9</v>
      </c>
      <c r="GR4" s="39" t="str">
        <f>GR3&amp;Barefoot!$I$2</f>
        <v>ShStep2DoubleSupportTimeT9</v>
      </c>
      <c r="GS4" s="39" t="str">
        <f>GS3&amp;Barefoot!$I$2</f>
        <v>ShStep2StanceTimeT9</v>
      </c>
      <c r="GT4" s="39" t="str">
        <f>GT3&amp;Barefoot!$I$2</f>
        <v>ShStep3SwingsideT9</v>
      </c>
      <c r="GU4" s="39" t="str">
        <f>GU3&amp;Barefoot!$I$2</f>
        <v>ShStep3StepLengthT9</v>
      </c>
      <c r="GV4" s="39" t="str">
        <f>GV3&amp;Barefoot!$I$2</f>
        <v>ShStep3StepTimeT9</v>
      </c>
      <c r="GW4" s="39" t="str">
        <f>GW3&amp;Barefoot!$I$2</f>
        <v>ShStep3DoubleSupportTimeT9</v>
      </c>
      <c r="GX4" s="39" t="str">
        <f>GX3&amp;Barefoot!$I$2</f>
        <v>ShStep3StanceTimeT9</v>
      </c>
      <c r="GY4" s="39" t="str">
        <f>GY3&amp;Barefoot!$I$2</f>
        <v>ShStride1SideT9</v>
      </c>
      <c r="GZ4" s="39" t="str">
        <f>GZ3&amp;Barefoot!$I$2</f>
        <v>ShStride1StrideLengthT9</v>
      </c>
      <c r="HA4" s="39" t="str">
        <f>HA3&amp;Barefoot!$I$2</f>
        <v>ShStride1StrideTimeT9</v>
      </c>
      <c r="HB4" s="39" t="str">
        <f>HB3&amp;Barefoot!$I$2</f>
        <v>ShStride1SwingTimeT9</v>
      </c>
      <c r="HC4" s="39" t="str">
        <f>HC3&amp;Barefoot!$I$2</f>
        <v>ShStride2SideT9</v>
      </c>
      <c r="HD4" s="39" t="str">
        <f>HD3&amp;Barefoot!$I$2</f>
        <v>ShStride2StrideLengthT9</v>
      </c>
      <c r="HE4" s="39" t="str">
        <f>HE3&amp;Barefoot!$I$2</f>
        <v>ShStride2StrideTimeT9</v>
      </c>
      <c r="HF4" s="39" t="str">
        <f>HF3&amp;Barefoot!$I$2</f>
        <v>ShStride2SwingTimeT9</v>
      </c>
      <c r="HG4" s="39" t="str">
        <f>HG3&amp;Barefoot!$I$2</f>
        <v>ShStep1SwingsideT10</v>
      </c>
      <c r="HH4" s="39" t="str">
        <f>HH3&amp;Barefoot!$I$2</f>
        <v>ShStep1StepLengthT10</v>
      </c>
      <c r="HI4" s="39" t="str">
        <f>HI3&amp;Barefoot!$I$2</f>
        <v>ShStep1StepTimeT10</v>
      </c>
      <c r="HJ4" s="39" t="str">
        <f>HJ3&amp;Barefoot!$I$2</f>
        <v>ShStep1DoubleSupportTimeT10</v>
      </c>
      <c r="HK4" s="39" t="str">
        <f>HK3&amp;Barefoot!$I$2</f>
        <v>ShStep1StanceTimeT10</v>
      </c>
      <c r="HL4" s="39" t="str">
        <f>HL3&amp;Barefoot!$I$2</f>
        <v>ShStep2SwingsideT10</v>
      </c>
      <c r="HM4" s="39" t="str">
        <f>HM3&amp;Barefoot!$I$2</f>
        <v>ShStep2StepLengthT10</v>
      </c>
      <c r="HN4" s="39" t="str">
        <f>HN3&amp;Barefoot!$I$2</f>
        <v>ShStep2StepTimeT10</v>
      </c>
      <c r="HO4" s="39" t="str">
        <f>HO3&amp;Barefoot!$I$2</f>
        <v>ShStep2DoubleSupportTimeT10</v>
      </c>
      <c r="HP4" s="39" t="str">
        <f>HP3&amp;Barefoot!$I$2</f>
        <v>ShStep2StanceTimeT10</v>
      </c>
      <c r="HQ4" s="39" t="str">
        <f>HQ3&amp;Barefoot!$I$2</f>
        <v>ShStep3SwingsideT10</v>
      </c>
      <c r="HR4" s="39" t="str">
        <f>HR3&amp;Barefoot!$I$2</f>
        <v>ShStep3StepLengthT10</v>
      </c>
      <c r="HS4" s="39" t="str">
        <f>HS3&amp;Barefoot!$I$2</f>
        <v>ShStep3StepTimeT10</v>
      </c>
      <c r="HT4" s="39" t="str">
        <f>HT3&amp;Barefoot!$I$2</f>
        <v>ShStep3DoubleSupportTimeT10</v>
      </c>
      <c r="HU4" s="39" t="str">
        <f>HU3&amp;Barefoot!$I$2</f>
        <v>ShStep3StanceTimeT10</v>
      </c>
      <c r="HV4" s="39" t="str">
        <f>HV3&amp;Barefoot!$I$2</f>
        <v>ShStride1SideT10</v>
      </c>
      <c r="HW4" s="39" t="str">
        <f>HW3&amp;Barefoot!$I$2</f>
        <v>ShStride1StrideLengthT10</v>
      </c>
      <c r="HX4" s="39" t="str">
        <f>HX3&amp;Barefoot!$I$2</f>
        <v>ShStride1StrideTimeT10</v>
      </c>
      <c r="HY4" s="39" t="str">
        <f>HY3&amp;Barefoot!$I$2</f>
        <v>ShStride1SwingTimeT10</v>
      </c>
      <c r="HZ4" s="39" t="str">
        <f>HZ3&amp;Barefoot!$I$2</f>
        <v>ShStride2SideT10</v>
      </c>
      <c r="IA4" s="39" t="str">
        <f>IA3&amp;Barefoot!$I$2</f>
        <v>ShStride2StrideLengthT10</v>
      </c>
      <c r="IB4" s="39" t="str">
        <f>IB3&amp;Barefoot!$I$2</f>
        <v>ShStride2StrideTimeT10</v>
      </c>
      <c r="IC4" s="39" t="str">
        <f>IC3&amp;Barefoot!$I$2</f>
        <v>ShStride2SwingTimeT10</v>
      </c>
      <c r="ID4" s="39" t="str">
        <f>ID3&amp;Barefoot!$I$2</f>
        <v>ShStep1SwingsideT11</v>
      </c>
      <c r="IE4" s="39" t="str">
        <f>IE3&amp;Barefoot!$I$2</f>
        <v>ShStep1StepLengthT11</v>
      </c>
      <c r="IF4" s="39" t="str">
        <f>IF3&amp;Barefoot!$I$2</f>
        <v>ShStep1StepTimeT11</v>
      </c>
      <c r="IG4" s="39" t="str">
        <f>IG3&amp;Barefoot!$I$2</f>
        <v>ShStep1DoubleSupportTimeT11</v>
      </c>
      <c r="IH4" s="39" t="str">
        <f>IH3&amp;Barefoot!$I$2</f>
        <v>ShStep1StanceTimeT11</v>
      </c>
      <c r="II4" s="39" t="str">
        <f>II3&amp;Barefoot!$I$2</f>
        <v>ShStep2SwingsideT11</v>
      </c>
      <c r="IJ4" s="39" t="str">
        <f>IJ3&amp;Barefoot!$I$2</f>
        <v>ShStep2StepLengthT11</v>
      </c>
      <c r="IK4" s="39" t="str">
        <f>IK3&amp;Barefoot!$I$2</f>
        <v>ShStep2StepTimeT11</v>
      </c>
      <c r="IL4" s="39" t="str">
        <f>IL3&amp;Barefoot!$I$2</f>
        <v>ShStep2DoubleSupportTimeT11</v>
      </c>
      <c r="IM4" s="39" t="str">
        <f>IM3&amp;Barefoot!$I$2</f>
        <v>ShStep2StanceTimeT11</v>
      </c>
      <c r="IN4" s="39" t="str">
        <f>IN3&amp;Barefoot!$I$2</f>
        <v>ShStep3SwingsideT11</v>
      </c>
      <c r="IO4" s="39" t="str">
        <f>IO3&amp;Barefoot!$I$2</f>
        <v>ShStep3StepLengthT11</v>
      </c>
      <c r="IP4" s="39" t="str">
        <f>IP3&amp;Barefoot!$I$2</f>
        <v>ShStep3StepTimeT11</v>
      </c>
      <c r="IQ4" s="39" t="str">
        <f>IQ3&amp;Barefoot!$I$2</f>
        <v>ShStep3DoubleSupportTimeT11</v>
      </c>
      <c r="IR4" s="39" t="str">
        <f>IR3&amp;Barefoot!$I$2</f>
        <v>ShStep3StanceTimeT11</v>
      </c>
      <c r="IS4" s="39" t="str">
        <f>IS3&amp;Barefoot!$I$2</f>
        <v>ShStride1SideT11</v>
      </c>
      <c r="IT4" s="39" t="str">
        <f>IT3&amp;Barefoot!$I$2</f>
        <v>ShStride1StrideLengthT11</v>
      </c>
      <c r="IU4" s="39" t="str">
        <f>IU3&amp;Barefoot!$I$2</f>
        <v>ShStride1StrideTimeT11</v>
      </c>
      <c r="IV4" s="39" t="str">
        <f>IV3&amp;Barefoot!$I$2</f>
        <v>ShStride1SwingTimeT11</v>
      </c>
      <c r="IW4" s="39" t="str">
        <f>IW3&amp;Barefoot!$I$2</f>
        <v>ShStride2SideT11</v>
      </c>
      <c r="IX4" s="39" t="str">
        <f>IX3&amp;Barefoot!$I$2</f>
        <v>ShStride2StrideLengthT11</v>
      </c>
      <c r="IY4" s="39" t="str">
        <f>IY3&amp;Barefoot!$I$2</f>
        <v>ShStride2StrideTimeT11</v>
      </c>
      <c r="IZ4" s="39" t="str">
        <f>IZ3&amp;Barefoot!$I$2</f>
        <v>ShStride2SwingTimeT11</v>
      </c>
      <c r="JA4" s="39" t="str">
        <f>JA3&amp;Barefoot!$I$2</f>
        <v>ShStep1SwingsideT12</v>
      </c>
      <c r="JB4" s="39" t="str">
        <f>JB3&amp;Barefoot!$I$2</f>
        <v>ShStep1StepLengthT12</v>
      </c>
      <c r="JC4" s="39" t="str">
        <f>JC3&amp;Barefoot!$I$2</f>
        <v>ShStep1StepTimeT12</v>
      </c>
      <c r="JD4" s="39" t="str">
        <f>JD3&amp;Barefoot!$I$2</f>
        <v>ShStep1DoubleSupportTimeT12</v>
      </c>
      <c r="JE4" s="39" t="str">
        <f>JE3&amp;Barefoot!$I$2</f>
        <v>ShStep1StanceTimeT12</v>
      </c>
      <c r="JF4" s="39" t="str">
        <f>JF3&amp;Barefoot!$I$2</f>
        <v>ShStep2SwingsideT12</v>
      </c>
      <c r="JG4" s="39" t="str">
        <f>JG3&amp;Barefoot!$I$2</f>
        <v>ShStep2StepLengthT12</v>
      </c>
      <c r="JH4" s="39" t="str">
        <f>JH3&amp;Barefoot!$I$2</f>
        <v>ShStep2StepTimeT12</v>
      </c>
      <c r="JI4" s="39" t="str">
        <f>JI3&amp;Barefoot!$I$2</f>
        <v>ShStep2DoubleSupportTimeT12</v>
      </c>
      <c r="JJ4" s="39" t="str">
        <f>JJ3&amp;Barefoot!$I$2</f>
        <v>ShStep2StanceTimeT12</v>
      </c>
      <c r="JK4" s="39" t="str">
        <f>JK3&amp;Barefoot!$I$2</f>
        <v>ShStep3SwingsideT12</v>
      </c>
      <c r="JL4" s="39" t="str">
        <f>JL3&amp;Barefoot!$I$2</f>
        <v>ShStep3StepLengthT12</v>
      </c>
      <c r="JM4" s="39" t="str">
        <f>JM3&amp;Barefoot!$I$2</f>
        <v>ShStep3StepTimeT12</v>
      </c>
      <c r="JN4" s="39" t="str">
        <f>JN3&amp;Barefoot!$I$2</f>
        <v>ShStep3DoubleSupportTimeT12</v>
      </c>
      <c r="JO4" s="39" t="str">
        <f>JO3&amp;Barefoot!$I$2</f>
        <v>ShStep3StanceTimeT12</v>
      </c>
      <c r="JP4" s="39" t="str">
        <f>JP3&amp;Barefoot!$I$2</f>
        <v>ShStride1SideT12</v>
      </c>
      <c r="JQ4" s="39" t="str">
        <f>JQ3&amp;Barefoot!$I$2</f>
        <v>ShStride1StrideLengthT12</v>
      </c>
      <c r="JR4" s="39" t="str">
        <f>JR3&amp;Barefoot!$I$2</f>
        <v>ShStride1StrideTimeT12</v>
      </c>
      <c r="JS4" s="39" t="str">
        <f>JS3&amp;Barefoot!$I$2</f>
        <v>ShStride1SwingTimeT12</v>
      </c>
      <c r="JT4" s="39" t="str">
        <f>JT3&amp;Barefoot!$I$2</f>
        <v>ShStride2SideT12</v>
      </c>
      <c r="JU4" s="39" t="str">
        <f>JU3&amp;Barefoot!$I$2</f>
        <v>ShStride2StrideLengthT12</v>
      </c>
      <c r="JV4" s="39" t="str">
        <f>JV3&amp;Barefoot!$I$2</f>
        <v>ShStride2StrideTimeT12</v>
      </c>
      <c r="JW4" s="39" t="str">
        <f>JW3&amp;Barefoot!$I$2</f>
        <v>ShStride2SwingTimeT12</v>
      </c>
      <c r="JX4" s="39" t="str">
        <f>JX3&amp;Barefoot!$I$2</f>
        <v>ShStep1SwingsideT13</v>
      </c>
      <c r="JY4" s="39" t="str">
        <f>JY3&amp;Barefoot!$I$2</f>
        <v>ShStep1StepLengthT13</v>
      </c>
      <c r="JZ4" s="39" t="str">
        <f>JZ3&amp;Barefoot!$I$2</f>
        <v>ShStep1StepTimeT13</v>
      </c>
      <c r="KA4" s="39" t="str">
        <f>KA3&amp;Barefoot!$I$2</f>
        <v>ShStep1DoubleSupportTimeT13</v>
      </c>
      <c r="KB4" s="39" t="str">
        <f>KB3&amp;Barefoot!$I$2</f>
        <v>ShStep1StanceTimeT13</v>
      </c>
      <c r="KC4" s="39" t="str">
        <f>KC3&amp;Barefoot!$I$2</f>
        <v>ShStep2SwingsideT13</v>
      </c>
      <c r="KD4" s="39" t="str">
        <f>KD3&amp;Barefoot!$I$2</f>
        <v>ShStep2StepLengthT13</v>
      </c>
      <c r="KE4" s="39" t="str">
        <f>KE3&amp;Barefoot!$I$2</f>
        <v>ShStep2StepTimeT13</v>
      </c>
      <c r="KF4" s="39" t="str">
        <f>KF3&amp;Barefoot!$I$2</f>
        <v>ShStep2DoubleSupportTimeT13</v>
      </c>
      <c r="KG4" s="39" t="str">
        <f>KG3&amp;Barefoot!$I$2</f>
        <v>ShStep2StanceTimeT13</v>
      </c>
      <c r="KH4" s="39" t="str">
        <f>KH3&amp;Barefoot!$I$2</f>
        <v>ShStep3SwingsideT13</v>
      </c>
      <c r="KI4" s="39" t="str">
        <f>KI3&amp;Barefoot!$I$2</f>
        <v>ShStep3StepLengthT13</v>
      </c>
      <c r="KJ4" s="39" t="str">
        <f>KJ3&amp;Barefoot!$I$2</f>
        <v>ShStep3StepTimeT13</v>
      </c>
      <c r="KK4" s="39" t="str">
        <f>KK3&amp;Barefoot!$I$2</f>
        <v>ShStep3DoubleSupportTimeT13</v>
      </c>
      <c r="KL4" s="39" t="str">
        <f>KL3&amp;Barefoot!$I$2</f>
        <v>ShStep3StanceTimeT13</v>
      </c>
      <c r="KM4" s="39" t="str">
        <f>KM3&amp;Barefoot!$I$2</f>
        <v>ShStride1SideT13</v>
      </c>
      <c r="KN4" s="39" t="str">
        <f>KN3&amp;Barefoot!$I$2</f>
        <v>ShStride1StrideLengthT13</v>
      </c>
      <c r="KO4" s="39" t="str">
        <f>KO3&amp;Barefoot!$I$2</f>
        <v>ShStride1StrideTimeT13</v>
      </c>
      <c r="KP4" s="39" t="str">
        <f>KP3&amp;Barefoot!$I$2</f>
        <v>ShStride1SwingTimeT13</v>
      </c>
      <c r="KQ4" s="39" t="str">
        <f>KQ3&amp;Barefoot!$I$2</f>
        <v>ShStride2SideT13</v>
      </c>
      <c r="KR4" s="39" t="str">
        <f>KR3&amp;Barefoot!$I$2</f>
        <v>ShStride2StrideLengthT13</v>
      </c>
      <c r="KS4" s="39" t="str">
        <f>KS3&amp;Barefoot!$I$2</f>
        <v>ShStride2StrideTimeT13</v>
      </c>
      <c r="KT4" s="39" t="str">
        <f>KT3&amp;Barefoot!$I$2</f>
        <v>ShStride2SwingTimeT13</v>
      </c>
      <c r="KU4" s="39" t="str">
        <f>KU3&amp;Barefoot!$I$2</f>
        <v>ShStep1SwingsideT14</v>
      </c>
      <c r="KV4" s="39" t="str">
        <f>KV3&amp;Barefoot!$I$2</f>
        <v>ShStep1StepLengthT14</v>
      </c>
      <c r="KW4" s="39" t="str">
        <f>KW3&amp;Barefoot!$I$2</f>
        <v>ShStep1StepTimeT14</v>
      </c>
      <c r="KX4" s="39" t="str">
        <f>KX3&amp;Barefoot!$I$2</f>
        <v>ShStep1DoubleSupportTimeT14</v>
      </c>
      <c r="KY4" s="39" t="str">
        <f>KY3&amp;Barefoot!$I$2</f>
        <v>ShStep1StanceTimeT14</v>
      </c>
      <c r="KZ4" s="39" t="str">
        <f>KZ3&amp;Barefoot!$I$2</f>
        <v>ShStep2SwingsideT14</v>
      </c>
      <c r="LA4" s="39" t="str">
        <f>LA3&amp;Barefoot!$I$2</f>
        <v>ShStep2StepLengthT14</v>
      </c>
      <c r="LB4" s="39" t="str">
        <f>LB3&amp;Barefoot!$I$2</f>
        <v>ShStep2StepTimeT14</v>
      </c>
      <c r="LC4" s="39" t="str">
        <f>LC3&amp;Barefoot!$I$2</f>
        <v>ShStep2DoubleSupportTimeT14</v>
      </c>
      <c r="LD4" s="39" t="str">
        <f>LD3&amp;Barefoot!$I$2</f>
        <v>ShStep2StanceTimeT14</v>
      </c>
      <c r="LE4" s="39" t="str">
        <f>LE3&amp;Barefoot!$I$2</f>
        <v>ShStep3SwingsideT14</v>
      </c>
      <c r="LF4" s="39" t="str">
        <f>LF3&amp;Barefoot!$I$2</f>
        <v>ShStep3StepLengthT14</v>
      </c>
      <c r="LG4" s="39" t="str">
        <f>LG3&amp;Barefoot!$I$2</f>
        <v>ShStep3StepTimeT14</v>
      </c>
      <c r="LH4" s="39" t="str">
        <f>LH3&amp;Barefoot!$I$2</f>
        <v>ShStep3DoubleSupportTimeT14</v>
      </c>
      <c r="LI4" s="39" t="str">
        <f>LI3&amp;Barefoot!$I$2</f>
        <v>ShStep3StanceTimeT14</v>
      </c>
      <c r="LJ4" s="39" t="str">
        <f>LJ3&amp;Barefoot!$I$2</f>
        <v>ShStride1SideT14</v>
      </c>
      <c r="LK4" s="39" t="str">
        <f>LK3&amp;Barefoot!$I$2</f>
        <v>ShStride1StrideLengthT14</v>
      </c>
      <c r="LL4" s="39" t="str">
        <f>LL3&amp;Barefoot!$I$2</f>
        <v>ShStride1StrideTimeT14</v>
      </c>
      <c r="LM4" s="39" t="str">
        <f>LM3&amp;Barefoot!$I$2</f>
        <v>ShStride1SwingTimeT14</v>
      </c>
      <c r="LN4" s="39" t="str">
        <f>LN3&amp;Barefoot!$I$2</f>
        <v>ShStride2SideT14</v>
      </c>
      <c r="LO4" s="39" t="str">
        <f>LO3&amp;Barefoot!$I$2</f>
        <v>ShStride2StrideLengthT14</v>
      </c>
      <c r="LP4" s="39" t="str">
        <f>LP3&amp;Barefoot!$I$2</f>
        <v>ShStride2StrideTimeT14</v>
      </c>
      <c r="LQ4" s="39" t="str">
        <f>LQ3&amp;Barefoot!$I$2</f>
        <v>ShStride2SwingTimeT14</v>
      </c>
      <c r="LR4" s="39" t="str">
        <f>LR3&amp;Barefoot!$I$2</f>
        <v>ShStep1SwingsideT15</v>
      </c>
      <c r="LS4" s="39" t="str">
        <f>LS3&amp;Barefoot!$I$2</f>
        <v>ShStep1StepLengthT15</v>
      </c>
      <c r="LT4" s="39" t="str">
        <f>LT3&amp;Barefoot!$I$2</f>
        <v>ShStep1StepTimeT15</v>
      </c>
      <c r="LU4" s="39" t="str">
        <f>LU3&amp;Barefoot!$I$2</f>
        <v>ShStep1DoubleSupportTimeT15</v>
      </c>
      <c r="LV4" s="39" t="str">
        <f>LV3&amp;Barefoot!$I$2</f>
        <v>ShStep1StanceTimeT15</v>
      </c>
      <c r="LW4" s="39" t="str">
        <f>LW3&amp;Barefoot!$I$2</f>
        <v>ShStep2SwingsideT15</v>
      </c>
      <c r="LX4" s="39" t="str">
        <f>LX3&amp;Barefoot!$I$2</f>
        <v>ShStep2StepLengthT15</v>
      </c>
      <c r="LY4" s="39" t="str">
        <f>LY3&amp;Barefoot!$I$2</f>
        <v>ShStep2StepTimeT15</v>
      </c>
      <c r="LZ4" s="39" t="str">
        <f>LZ3&amp;Barefoot!$I$2</f>
        <v>ShStep2DoubleSupportTimeT15</v>
      </c>
      <c r="MA4" s="39" t="str">
        <f>MA3&amp;Barefoot!$I$2</f>
        <v>ShStep2StanceTimeT15</v>
      </c>
      <c r="MB4" s="39" t="str">
        <f>MB3&amp;Barefoot!$I$2</f>
        <v>ShStep3SwingsideT15</v>
      </c>
      <c r="MC4" s="39" t="str">
        <f>MC3&amp;Barefoot!$I$2</f>
        <v>ShStep3StepLengthT15</v>
      </c>
      <c r="MD4" s="39" t="str">
        <f>MD3&amp;Barefoot!$I$2</f>
        <v>ShStep3StepTimeT15</v>
      </c>
      <c r="ME4" s="39" t="str">
        <f>ME3&amp;Barefoot!$I$2</f>
        <v>ShStep3DoubleSupportTimeT15</v>
      </c>
      <c r="MF4" s="39" t="str">
        <f>MF3&amp;Barefoot!$I$2</f>
        <v>ShStep3StanceTimeT15</v>
      </c>
      <c r="MG4" s="39" t="str">
        <f>MG3&amp;Barefoot!$I$2</f>
        <v>ShStride1SideT15</v>
      </c>
      <c r="MH4" s="39" t="str">
        <f>MH3&amp;Barefoot!$I$2</f>
        <v>ShStride1StrideLengthT15</v>
      </c>
      <c r="MI4" s="39" t="str">
        <f>MI3&amp;Barefoot!$I$2</f>
        <v>ShStride1StrideTimeT15</v>
      </c>
      <c r="MJ4" s="39" t="str">
        <f>MJ3&amp;Barefoot!$I$2</f>
        <v>ShStride1SwingTimeT15</v>
      </c>
      <c r="MK4" s="39" t="str">
        <f>MK3&amp;Barefoot!$I$2</f>
        <v>ShStride2SideT15</v>
      </c>
      <c r="ML4" s="39" t="str">
        <f>ML3&amp;Barefoot!$I$2</f>
        <v>ShStride2StrideLengthT15</v>
      </c>
      <c r="MM4" s="39" t="str">
        <f>MM3&amp;Barefoot!$I$2</f>
        <v>ShStride2StrideTimeT15</v>
      </c>
      <c r="MN4" s="39" t="str">
        <f>MN3&amp;Barefoot!$I$2</f>
        <v>ShStride2SwingTimeT15</v>
      </c>
      <c r="MO4" s="39" t="str">
        <f>MO3&amp;Barefoot!$I$2</f>
        <v>ShStep1SwingsideT16</v>
      </c>
      <c r="MP4" s="39" t="str">
        <f>MP3&amp;Barefoot!$I$2</f>
        <v>ShStep1StepLengthT16</v>
      </c>
      <c r="MQ4" s="39" t="str">
        <f>MQ3&amp;Barefoot!$I$2</f>
        <v>ShStep1StepTimeT16</v>
      </c>
      <c r="MR4" s="39" t="str">
        <f>MR3&amp;Barefoot!$I$2</f>
        <v>ShStep1DoubleSupportTimeT16</v>
      </c>
      <c r="MS4" s="39" t="str">
        <f>MS3&amp;Barefoot!$I$2</f>
        <v>ShStep1StanceTimeT16</v>
      </c>
      <c r="MT4" s="39" t="str">
        <f>MT3&amp;Barefoot!$I$2</f>
        <v>ShStep2SwingsideT16</v>
      </c>
      <c r="MU4" s="39" t="str">
        <f>MU3&amp;Barefoot!$I$2</f>
        <v>ShStep2StepLengthT16</v>
      </c>
      <c r="MV4" s="39" t="str">
        <f>MV3&amp;Barefoot!$I$2</f>
        <v>ShStep2StepTimeT16</v>
      </c>
      <c r="MW4" s="39" t="str">
        <f>MW3&amp;Barefoot!$I$2</f>
        <v>ShStep2DoubleSupportTimeT16</v>
      </c>
      <c r="MX4" s="39" t="str">
        <f>MX3&amp;Barefoot!$I$2</f>
        <v>ShStep2StanceTimeT16</v>
      </c>
      <c r="MY4" s="39" t="str">
        <f>MY3&amp;Barefoot!$I$2</f>
        <v>ShStep3SwingsideT16</v>
      </c>
      <c r="MZ4" s="39" t="str">
        <f>MZ3&amp;Barefoot!$I$2</f>
        <v>ShStep3StepLengthT16</v>
      </c>
      <c r="NA4" s="39" t="str">
        <f>NA3&amp;Barefoot!$I$2</f>
        <v>ShStep3StepTimeT16</v>
      </c>
      <c r="NB4" s="39" t="str">
        <f>NB3&amp;Barefoot!$I$2</f>
        <v>ShStep3DoubleSupportTimeT16</v>
      </c>
      <c r="NC4" s="39" t="str">
        <f>NC3&amp;Barefoot!$I$2</f>
        <v>ShStep3StanceTimeT16</v>
      </c>
      <c r="ND4" s="39" t="str">
        <f>ND3&amp;Barefoot!$I$2</f>
        <v>ShStride1SideT16</v>
      </c>
      <c r="NE4" s="39" t="str">
        <f>NE3&amp;Barefoot!$I$2</f>
        <v>ShStride1StrideLengthT16</v>
      </c>
      <c r="NF4" s="39" t="str">
        <f>NF3&amp;Barefoot!$I$2</f>
        <v>ShStride1StrideTimeT16</v>
      </c>
      <c r="NG4" s="39" t="str">
        <f>NG3&amp;Barefoot!$I$2</f>
        <v>ShStride1SwingTimeT16</v>
      </c>
      <c r="NH4" s="39" t="str">
        <f>NH3&amp;Barefoot!$I$2</f>
        <v>ShStride2SideT16</v>
      </c>
      <c r="NI4" s="39" t="str">
        <f>NI3&amp;Barefoot!$I$2</f>
        <v>ShStride2StrideLengthT16</v>
      </c>
      <c r="NJ4" s="39" t="str">
        <f>NJ3&amp;Barefoot!$I$2</f>
        <v>ShStride2StrideTimeT16</v>
      </c>
      <c r="NK4" s="39" t="str">
        <f>NK3&amp;Barefoot!$I$2</f>
        <v>ShStride2SwingTimeT16</v>
      </c>
      <c r="NL4" s="39" t="str">
        <f>NL3&amp;Barefoot!$I$2</f>
        <v>ShStep1SwingsideT17</v>
      </c>
      <c r="NM4" s="39" t="str">
        <f>NM3&amp;Barefoot!$I$2</f>
        <v>ShStep1StepLengthT17</v>
      </c>
      <c r="NN4" s="39" t="str">
        <f>NN3&amp;Barefoot!$I$2</f>
        <v>ShStep1StepTimeT17</v>
      </c>
      <c r="NO4" s="39" t="str">
        <f>NO3&amp;Barefoot!$I$2</f>
        <v>ShStep1DoubleSupportTimeT17</v>
      </c>
      <c r="NP4" s="39" t="str">
        <f>NP3&amp;Barefoot!$I$2</f>
        <v>ShStep1StanceTimeT17</v>
      </c>
      <c r="NQ4" s="39" t="str">
        <f>NQ3&amp;Barefoot!$I$2</f>
        <v>ShStep2SwingsideT17</v>
      </c>
      <c r="NR4" s="39" t="str">
        <f>NR3&amp;Barefoot!$I$2</f>
        <v>ShStep2StepLengthT17</v>
      </c>
      <c r="NS4" s="39" t="str">
        <f>NS3&amp;Barefoot!$I$2</f>
        <v>ShStep2StepTimeT17</v>
      </c>
      <c r="NT4" s="39" t="str">
        <f>NT3&amp;Barefoot!$I$2</f>
        <v>ShStep2DoubleSupportTimeT17</v>
      </c>
      <c r="NU4" s="39" t="str">
        <f>NU3&amp;Barefoot!$I$2</f>
        <v>ShStep2StanceTimeT17</v>
      </c>
      <c r="NV4" s="39" t="str">
        <f>NV3&amp;Barefoot!$I$2</f>
        <v>ShStep3SwingsideT17</v>
      </c>
      <c r="NW4" s="39" t="str">
        <f>NW3&amp;Barefoot!$I$2</f>
        <v>ShStep3StepLengthT17</v>
      </c>
      <c r="NX4" s="39" t="str">
        <f>NX3&amp;Barefoot!$I$2</f>
        <v>ShStep3StepTimeT17</v>
      </c>
      <c r="NY4" s="39" t="str">
        <f>NY3&amp;Barefoot!$I$2</f>
        <v>ShStep3DoubleSupportTimeT17</v>
      </c>
      <c r="NZ4" s="39" t="str">
        <f>NZ3&amp;Barefoot!$I$2</f>
        <v>ShStep3StanceTimeT17</v>
      </c>
      <c r="OA4" s="39" t="str">
        <f>OA3&amp;Barefoot!$I$2</f>
        <v>ShStride1SideT17</v>
      </c>
      <c r="OB4" s="39" t="str">
        <f>OB3&amp;Barefoot!$I$2</f>
        <v>ShStride1StrideLengthT17</v>
      </c>
      <c r="OC4" s="39" t="str">
        <f>OC3&amp;Barefoot!$I$2</f>
        <v>ShStride1StrideTimeT17</v>
      </c>
      <c r="OD4" s="39" t="str">
        <f>OD3&amp;Barefoot!$I$2</f>
        <v>ShStride1SwingTimeT17</v>
      </c>
      <c r="OE4" s="39" t="str">
        <f>OE3&amp;Barefoot!$I$2</f>
        <v>ShStride2SideT17</v>
      </c>
      <c r="OF4" s="39" t="str">
        <f>OF3&amp;Barefoot!$I$2</f>
        <v>ShStride2StrideLengthT17</v>
      </c>
      <c r="OG4" s="39" t="str">
        <f>OG3&amp;Barefoot!$I$2</f>
        <v>ShStride2StrideTimeT17</v>
      </c>
      <c r="OH4" s="39" t="str">
        <f>OH3&amp;Barefoot!$I$2</f>
        <v>ShStride2SwingTimeT17</v>
      </c>
      <c r="OI4" s="39" t="str">
        <f>OI3&amp;Barefoot!$I$2</f>
        <v>ShStep1SwingsideT18</v>
      </c>
      <c r="OJ4" s="39" t="str">
        <f>OJ3&amp;Barefoot!$I$2</f>
        <v>ShStep1StepLengthT18</v>
      </c>
      <c r="OK4" s="39" t="str">
        <f>OK3&amp;Barefoot!$I$2</f>
        <v>ShStep1StepTimeT18</v>
      </c>
      <c r="OL4" s="39" t="str">
        <f>OL3&amp;Barefoot!$I$2</f>
        <v>ShStep1DoubleSupportTimeT18</v>
      </c>
      <c r="OM4" s="39" t="str">
        <f>OM3&amp;Barefoot!$I$2</f>
        <v>ShStep1StanceTimeT18</v>
      </c>
      <c r="ON4" s="39" t="str">
        <f>ON3&amp;Barefoot!$I$2</f>
        <v>ShStep2SwingsideT18</v>
      </c>
      <c r="OO4" s="39" t="str">
        <f>OO3&amp;Barefoot!$I$2</f>
        <v>ShStep2StepLengthT18</v>
      </c>
      <c r="OP4" s="39" t="str">
        <f>OP3&amp;Barefoot!$I$2</f>
        <v>ShStep2StepTimeT18</v>
      </c>
      <c r="OQ4" s="39" t="str">
        <f>OQ3&amp;Barefoot!$I$2</f>
        <v>ShStep2DoubleSupportTimeT18</v>
      </c>
      <c r="OR4" s="39" t="str">
        <f>OR3&amp;Barefoot!$I$2</f>
        <v>ShStep2StanceTimeT18</v>
      </c>
      <c r="OS4" s="39" t="str">
        <f>OS3&amp;Barefoot!$I$2</f>
        <v>ShStep3SwingsideT18</v>
      </c>
      <c r="OT4" s="39" t="str">
        <f>OT3&amp;Barefoot!$I$2</f>
        <v>ShStep3StepLengthT18</v>
      </c>
      <c r="OU4" s="39" t="str">
        <f>OU3&amp;Barefoot!$I$2</f>
        <v>ShStep3StepTimeT18</v>
      </c>
      <c r="OV4" s="39" t="str">
        <f>OV3&amp;Barefoot!$I$2</f>
        <v>ShStep3DoubleSupportTimeT18</v>
      </c>
      <c r="OW4" s="39" t="str">
        <f>OW3&amp;Barefoot!$I$2</f>
        <v>ShStep3StanceTimeT18</v>
      </c>
      <c r="OX4" s="39" t="str">
        <f>OX3&amp;Barefoot!$I$2</f>
        <v>ShStride1SideT18</v>
      </c>
      <c r="OY4" s="39" t="str">
        <f>OY3&amp;Barefoot!$I$2</f>
        <v>ShStride1StrideLengthT18</v>
      </c>
      <c r="OZ4" s="39" t="str">
        <f>OZ3&amp;Barefoot!$I$2</f>
        <v>ShStride1StrideTimeT18</v>
      </c>
      <c r="PA4" s="39" t="str">
        <f>PA3&amp;Barefoot!$I$2</f>
        <v>ShStride1SwingTimeT18</v>
      </c>
      <c r="PB4" s="39" t="str">
        <f>PB3&amp;Barefoot!$I$2</f>
        <v>ShStride2SideT18</v>
      </c>
      <c r="PC4" s="39" t="str">
        <f>PC3&amp;Barefoot!$I$2</f>
        <v>ShStride2StrideLengthT18</v>
      </c>
      <c r="PD4" s="39" t="str">
        <f>PD3&amp;Barefoot!$I$2</f>
        <v>ShStride2StrideTimeT18</v>
      </c>
      <c r="PE4" s="39" t="str">
        <f>PE3&amp;Barefoot!$I$2</f>
        <v>ShStride2SwingTimeT18</v>
      </c>
      <c r="PF4" s="39" t="str">
        <f>PF3&amp;Barefoot!$I$2</f>
        <v>ShStep1SwingsideT19</v>
      </c>
      <c r="PG4" s="39" t="str">
        <f>PG3&amp;Barefoot!$I$2</f>
        <v>ShStep1StepLengthT19</v>
      </c>
      <c r="PH4" s="39" t="str">
        <f>PH3&amp;Barefoot!$I$2</f>
        <v>ShStep1StepTimeT19</v>
      </c>
      <c r="PI4" s="39" t="str">
        <f>PI3&amp;Barefoot!$I$2</f>
        <v>ShStep1DoubleSupportTimeT19</v>
      </c>
      <c r="PJ4" s="39" t="str">
        <f>PJ3&amp;Barefoot!$I$2</f>
        <v>ShStep1StanceTimeT19</v>
      </c>
      <c r="PK4" s="39" t="str">
        <f>PK3&amp;Barefoot!$I$2</f>
        <v>ShStep2SwingsideT19</v>
      </c>
      <c r="PL4" s="39" t="str">
        <f>PL3&amp;Barefoot!$I$2</f>
        <v>ShStep2StepLengthT19</v>
      </c>
      <c r="PM4" s="39" t="str">
        <f>PM3&amp;Barefoot!$I$2</f>
        <v>ShStep2StepTimeT19</v>
      </c>
      <c r="PN4" s="39" t="str">
        <f>PN3&amp;Barefoot!$I$2</f>
        <v>ShStep2DoubleSupportTimeT19</v>
      </c>
      <c r="PO4" s="39" t="str">
        <f>PO3&amp;Barefoot!$I$2</f>
        <v>ShStep2StanceTimeT19</v>
      </c>
      <c r="PP4" s="39" t="str">
        <f>PP3&amp;Barefoot!$I$2</f>
        <v>ShStep3SwingsideT19</v>
      </c>
      <c r="PQ4" s="39" t="str">
        <f>PQ3&amp;Barefoot!$I$2</f>
        <v>ShStep3StepLengthT19</v>
      </c>
      <c r="PR4" s="39" t="str">
        <f>PR3&amp;Barefoot!$I$2</f>
        <v>ShStep3StepTimeT19</v>
      </c>
      <c r="PS4" s="39" t="str">
        <f>PS3&amp;Barefoot!$I$2</f>
        <v>ShStep3DoubleSupportTimeT19</v>
      </c>
      <c r="PT4" s="39" t="str">
        <f>PT3&amp;Barefoot!$I$2</f>
        <v>ShStep3StanceTimeT19</v>
      </c>
      <c r="PU4" s="39" t="str">
        <f>PU3&amp;Barefoot!$I$2</f>
        <v>ShStride1SideT19</v>
      </c>
      <c r="PV4" s="39" t="str">
        <f>PV3&amp;Barefoot!$I$2</f>
        <v>ShStride1StrideLengthT19</v>
      </c>
      <c r="PW4" s="39" t="str">
        <f>PW3&amp;Barefoot!$I$2</f>
        <v>ShStride1StrideTimeT19</v>
      </c>
      <c r="PX4" s="39" t="str">
        <f>PX3&amp;Barefoot!$I$2</f>
        <v>ShStride1SwingTimeT19</v>
      </c>
      <c r="PY4" s="39" t="str">
        <f>PY3&amp;Barefoot!$I$2</f>
        <v>ShStride2SideT19</v>
      </c>
      <c r="PZ4" s="39" t="str">
        <f>PZ3&amp;Barefoot!$I$2</f>
        <v>ShStride2StrideLengthT19</v>
      </c>
      <c r="QA4" s="39" t="str">
        <f>QA3&amp;Barefoot!$I$2</f>
        <v>ShStride2StrideTimeT19</v>
      </c>
      <c r="QB4" s="39" t="str">
        <f>QB3&amp;Barefoot!$I$2</f>
        <v>ShStride2SwingTimeT19</v>
      </c>
      <c r="QC4" s="39" t="str">
        <f>QC3&amp;Barefoot!$I$2</f>
        <v>ShStep1SwingsideT20</v>
      </c>
      <c r="QD4" s="39" t="str">
        <f>QD3&amp;Barefoot!$I$2</f>
        <v>ShStep1StepLengthT20</v>
      </c>
      <c r="QE4" s="39" t="str">
        <f>QE3&amp;Barefoot!$I$2</f>
        <v>ShStep1StepTimeT20</v>
      </c>
      <c r="QF4" s="39" t="str">
        <f>QF3&amp;Barefoot!$I$2</f>
        <v>ShStep1DoubleSupportTimeT20</v>
      </c>
      <c r="QG4" s="39" t="str">
        <f>QG3&amp;Barefoot!$I$2</f>
        <v>ShStep1StanceTimeT20</v>
      </c>
      <c r="QH4" s="39" t="str">
        <f>QH3&amp;Barefoot!$I$2</f>
        <v>ShStep2SwingsideT20</v>
      </c>
      <c r="QI4" s="39" t="str">
        <f>QI3&amp;Barefoot!$I$2</f>
        <v>ShStep2StepLengthT20</v>
      </c>
      <c r="QJ4" s="39" t="str">
        <f>QJ3&amp;Barefoot!$I$2</f>
        <v>ShStep2StepTimeT20</v>
      </c>
      <c r="QK4" s="39" t="str">
        <f>QK3&amp;Barefoot!$I$2</f>
        <v>ShStep2DoubleSupportTimeT20</v>
      </c>
      <c r="QL4" s="39" t="str">
        <f>QL3&amp;Barefoot!$I$2</f>
        <v>ShStep2StanceTimeT20</v>
      </c>
      <c r="QM4" s="39" t="str">
        <f>QM3&amp;Barefoot!$I$2</f>
        <v>ShStep3SwingsideT20</v>
      </c>
      <c r="QN4" s="39" t="str">
        <f>QN3&amp;Barefoot!$I$2</f>
        <v>ShStep3StepLengthT20</v>
      </c>
      <c r="QO4" s="39" t="str">
        <f>QO3&amp;Barefoot!$I$2</f>
        <v>ShStep3StepTimeT20</v>
      </c>
      <c r="QP4" s="39" t="str">
        <f>QP3&amp;Barefoot!$I$2</f>
        <v>ShStep3DoubleSupportTimeT20</v>
      </c>
      <c r="QQ4" s="39" t="str">
        <f>QQ3&amp;Barefoot!$I$2</f>
        <v>ShStep3StanceTimeT20</v>
      </c>
      <c r="QR4" s="39" t="str">
        <f>QR3&amp;Barefoot!$I$2</f>
        <v>ShStride1SideT20</v>
      </c>
      <c r="QS4" s="39" t="str">
        <f>QS3&amp;Barefoot!$I$2</f>
        <v>ShStride1StrideLengthT20</v>
      </c>
      <c r="QT4" s="39" t="str">
        <f>QT3&amp;Barefoot!$I$2</f>
        <v>ShStride1StrideTimeT20</v>
      </c>
      <c r="QU4" s="39" t="str">
        <f>QU3&amp;Barefoot!$I$2</f>
        <v>ShStride1SwingTimeT20</v>
      </c>
      <c r="QV4" s="39" t="str">
        <f>QV3&amp;Barefoot!$I$2</f>
        <v>ShStride2SideT20</v>
      </c>
      <c r="QW4" s="39" t="str">
        <f>QW3&amp;Barefoot!$I$2</f>
        <v>ShStride2StrideLengthT20</v>
      </c>
      <c r="QX4" s="39" t="str">
        <f>QX3&amp;Barefoot!$I$2</f>
        <v>ShStride2StrideTimeT20</v>
      </c>
      <c r="QY4" s="39" t="str">
        <f>QY3&amp;Barefoot!$I$2</f>
        <v>ShStride2SwingTimeT20</v>
      </c>
      <c r="QZ4" s="39" t="str">
        <f>QZ3&amp;Barefoot!$I$2</f>
        <v>ShStep1WalkwayT1</v>
      </c>
      <c r="RA4" s="39" t="str">
        <f>RA3&amp;Barefoot!$I$2</f>
        <v>ShStep1WalkwayT2</v>
      </c>
      <c r="RB4" s="39" t="str">
        <f>RB3&amp;Barefoot!$I$2</f>
        <v>ShStep1WalkwayT3</v>
      </c>
      <c r="RC4" s="39" t="str">
        <f>RC3&amp;Barefoot!$I$2</f>
        <v>ShStep1WalkwayT4</v>
      </c>
      <c r="RD4" s="39" t="str">
        <f>RD3&amp;Barefoot!$I$2</f>
        <v>ShStep1WalkwayT5</v>
      </c>
      <c r="RE4" s="39" t="str">
        <f>RE3&amp;Barefoot!$I$2</f>
        <v>ShStep1WalkwayT6</v>
      </c>
      <c r="RF4" s="39" t="str">
        <f>RF3&amp;Barefoot!$I$2</f>
        <v>ShStep1WalkwayT7</v>
      </c>
      <c r="RG4" s="39" t="str">
        <f>RG3&amp;Barefoot!$I$2</f>
        <v>ShStep1WalkwayT8</v>
      </c>
      <c r="RH4" s="39" t="str">
        <f>RH3&amp;Barefoot!$I$2</f>
        <v>ShStep1WalkwayT9</v>
      </c>
      <c r="RI4" s="39" t="str">
        <f>RI3&amp;Barefoot!$I$2</f>
        <v>ShStep1WalkwayT10</v>
      </c>
      <c r="RJ4" s="39" t="str">
        <f>RJ3&amp;Barefoot!$I$2</f>
        <v>ShStep1WalkwayT11</v>
      </c>
      <c r="RK4" s="39" t="str">
        <f>RK3&amp;Barefoot!$I$2</f>
        <v>ShStep1WalkwayT12</v>
      </c>
      <c r="RL4" s="39" t="str">
        <f>RL3&amp;Barefoot!$I$2</f>
        <v>ShStep1WalkwayT13</v>
      </c>
      <c r="RM4" s="39" t="str">
        <f>RM3&amp;Barefoot!$I$2</f>
        <v>ShStep1WalkwayT14</v>
      </c>
      <c r="RN4" s="39" t="str">
        <f>RN3&amp;Barefoot!$I$2</f>
        <v>ShStep1WalkwayT15</v>
      </c>
      <c r="RO4" s="39" t="str">
        <f>RO3&amp;Barefoot!$I$2</f>
        <v>ShStep1WalkwayT16</v>
      </c>
      <c r="RP4" s="39" t="str">
        <f>RP3&amp;Barefoot!$I$2</f>
        <v>ShStep1WalkwayT17</v>
      </c>
      <c r="RQ4" s="39" t="str">
        <f>RQ3&amp;Barefoot!$I$2</f>
        <v>ShStep1WalkwayT18</v>
      </c>
      <c r="RR4" s="39" t="str">
        <f>RR3&amp;Barefoot!$I$2</f>
        <v>ShStep1WalkwayT19</v>
      </c>
      <c r="RS4" s="39" t="str">
        <f>RS3&amp;Barefoot!$I$2</f>
        <v>ShStep1WalkwayT20</v>
      </c>
      <c r="RT4" s="39" t="str">
        <f>RT3&amp;Barefoot!$I$2</f>
        <v>ShStep2WalkwayT1</v>
      </c>
      <c r="RU4" s="39" t="str">
        <f>RU3&amp;Barefoot!$I$2</f>
        <v>ShStep2WalkwayT2</v>
      </c>
      <c r="RV4" s="39" t="str">
        <f>RV3&amp;Barefoot!$I$2</f>
        <v>ShStep2WalkwayT3</v>
      </c>
      <c r="RW4" s="39" t="str">
        <f>RW3&amp;Barefoot!$I$2</f>
        <v>ShStep2WalkwayT4</v>
      </c>
      <c r="RX4" s="39" t="str">
        <f>RX3&amp;Barefoot!$I$2</f>
        <v>ShStep2WalkwayT5</v>
      </c>
      <c r="RY4" s="39" t="str">
        <f>RY3&amp;Barefoot!$I$2</f>
        <v>ShStep2WalkwayT6</v>
      </c>
      <c r="RZ4" s="39" t="str">
        <f>RZ3&amp;Barefoot!$I$2</f>
        <v>ShStep2WalkwayT7</v>
      </c>
      <c r="SA4" s="39" t="str">
        <f>SA3&amp;Barefoot!$I$2</f>
        <v>ShStep2WalkwayT8</v>
      </c>
      <c r="SB4" s="39" t="str">
        <f>SB3&amp;Barefoot!$I$2</f>
        <v>ShStep2WalkwayT9</v>
      </c>
      <c r="SC4" s="39" t="str">
        <f>SC3&amp;Barefoot!$I$2</f>
        <v>ShStep2WalkwayT10</v>
      </c>
      <c r="SD4" s="39" t="str">
        <f>SD3&amp;Barefoot!$I$2</f>
        <v>ShStep2WalkwayT11</v>
      </c>
      <c r="SE4" s="39" t="str">
        <f>SE3&amp;Barefoot!$I$2</f>
        <v>ShStep2WalkwayT12</v>
      </c>
      <c r="SF4" s="39" t="str">
        <f>SF3&amp;Barefoot!$I$2</f>
        <v>ShStep2WalkwayT13</v>
      </c>
      <c r="SG4" s="39" t="str">
        <f>SG3&amp;Barefoot!$I$2</f>
        <v>ShStep2WalkwayT14</v>
      </c>
      <c r="SH4" s="39" t="str">
        <f>SH3&amp;Barefoot!$I$2</f>
        <v>ShStep2WalkwayT15</v>
      </c>
      <c r="SI4" s="39" t="str">
        <f>SI3&amp;Barefoot!$I$2</f>
        <v>ShStep2WalkwayT16</v>
      </c>
      <c r="SJ4" s="39" t="str">
        <f>SJ3&amp;Barefoot!$I$2</f>
        <v>ShStep2WalkwayT17</v>
      </c>
      <c r="SK4" s="39" t="str">
        <f>SK3&amp;Barefoot!$I$2</f>
        <v>ShStep2WalkwayT18</v>
      </c>
      <c r="SL4" s="39" t="str">
        <f>SL3&amp;Barefoot!$I$2</f>
        <v>ShStep2WalkwayT19</v>
      </c>
      <c r="SM4" s="39" t="str">
        <f>SM3&amp;Barefoot!$I$2</f>
        <v>ShStep2WalkwayT20</v>
      </c>
      <c r="SN4" s="39" t="str">
        <f>SN3&amp;Barefoot!$I$2</f>
        <v>ShStep3WalkwayT1</v>
      </c>
      <c r="SO4" s="39" t="str">
        <f>SO3&amp;Barefoot!$I$2</f>
        <v>ShStep3WalkwayT2</v>
      </c>
      <c r="SP4" s="39" t="str">
        <f>SP3&amp;Barefoot!$I$2</f>
        <v>ShStep3WalkwayT3</v>
      </c>
      <c r="SQ4" s="39" t="str">
        <f>SQ3&amp;Barefoot!$I$2</f>
        <v>ShStep3WalkwayT4</v>
      </c>
      <c r="SR4" s="39" t="str">
        <f>SR3&amp;Barefoot!$I$2</f>
        <v>ShStep3WalkwayT5</v>
      </c>
      <c r="SS4" s="39" t="str">
        <f>SS3&amp;Barefoot!$I$2</f>
        <v>ShStep3WalkwayT6</v>
      </c>
      <c r="ST4" s="39" t="str">
        <f>ST3&amp;Barefoot!$I$2</f>
        <v>ShStep3WalkwayT7</v>
      </c>
      <c r="SU4" s="39" t="str">
        <f>SU3&amp;Barefoot!$I$2</f>
        <v>ShStep3WalkwayT8</v>
      </c>
      <c r="SV4" s="39" t="str">
        <f>SV3&amp;Barefoot!$I$2</f>
        <v>ShStep3WalkwayT9</v>
      </c>
      <c r="SW4" s="39" t="str">
        <f>SW3&amp;Barefoot!$I$2</f>
        <v>ShStep3WalkwayT10</v>
      </c>
      <c r="SX4" s="39" t="str">
        <f>SX3&amp;Barefoot!$I$2</f>
        <v>ShStep3WalkwayT11</v>
      </c>
      <c r="SY4" s="39" t="str">
        <f>SY3&amp;Barefoot!$I$2</f>
        <v>ShStep3WalkwayT12</v>
      </c>
      <c r="SZ4" s="39" t="str">
        <f>SZ3&amp;Barefoot!$I$2</f>
        <v>ShStep3WalkwayT13</v>
      </c>
      <c r="TA4" s="39" t="str">
        <f>TA3&amp;Barefoot!$I$2</f>
        <v>ShStep3WalkwayT14</v>
      </c>
      <c r="TB4" s="39" t="str">
        <f>TB3&amp;Barefoot!$I$2</f>
        <v>ShStep3WalkwayT15</v>
      </c>
      <c r="TC4" s="39" t="str">
        <f>TC3&amp;Barefoot!$I$2</f>
        <v>ShStep3WalkwayT16</v>
      </c>
      <c r="TD4" s="39" t="str">
        <f>TD3&amp;Barefoot!$I$2</f>
        <v>ShStep3WalkwayT17</v>
      </c>
      <c r="TE4" s="39" t="str">
        <f>TE3&amp;Barefoot!$I$2</f>
        <v>ShStep3WalkwayT18</v>
      </c>
      <c r="TF4" s="39" t="str">
        <f>TF3&amp;Barefoot!$I$2</f>
        <v>ShStep3WalkwayT19</v>
      </c>
      <c r="TG4" s="39" t="str">
        <f>TG3&amp;Barefoot!$I$2</f>
        <v>ShStep3WalkwayT20</v>
      </c>
    </row>
    <row r="5" spans="1:527" x14ac:dyDescent="0.2">
      <c r="A5" s="42" t="s">
        <v>1359</v>
      </c>
      <c r="B5" s="5">
        <f>IF(Shod!G2="",9999,Shod!G2)</f>
        <v>0</v>
      </c>
      <c r="C5" s="5">
        <f>IF(Shod!P2="",9999,Shod!P2)</f>
        <v>9999</v>
      </c>
      <c r="D5" s="5">
        <f>IF(Shod!I2="",9999,TEXT(Shod!I2,"dd.mm.yyyy"))</f>
        <v>9999</v>
      </c>
      <c r="E5" s="5">
        <f>IF(Shod!N2="",9999,Shod!N2)</f>
        <v>9999</v>
      </c>
      <c r="F5" s="5">
        <f>IF(Shod!C2="",9999,Shod!C2)</f>
        <v>9999</v>
      </c>
      <c r="G5" s="5">
        <f>IF(Shod!E2="",9999,Shod!E2)</f>
        <v>9999</v>
      </c>
      <c r="H5" s="5">
        <f ca="1">INDIRECT(CONCATENATE($A5,"!",LEFT(H$2,1),MID(H$2,2,256)+H$1-1))</f>
        <v>9999</v>
      </c>
      <c r="I5" s="5">
        <f t="shared" ref="I5:BT5" ca="1" si="0">INDIRECT(CONCATENATE($A5,"!",LEFT(I$2,1),MID(I$2,2,256)+I$1-1))</f>
        <v>9999</v>
      </c>
      <c r="J5" s="5">
        <f t="shared" ca="1" si="0"/>
        <v>9999</v>
      </c>
      <c r="K5" s="5">
        <f t="shared" ca="1" si="0"/>
        <v>9999</v>
      </c>
      <c r="L5" s="5">
        <f t="shared" ca="1" si="0"/>
        <v>9999</v>
      </c>
      <c r="M5" s="5">
        <f t="shared" ca="1" si="0"/>
        <v>9999</v>
      </c>
      <c r="N5" s="5">
        <f t="shared" ca="1" si="0"/>
        <v>9999</v>
      </c>
      <c r="O5" s="5">
        <f t="shared" ca="1" si="0"/>
        <v>9999</v>
      </c>
      <c r="P5" s="5">
        <f t="shared" ca="1" si="0"/>
        <v>9999</v>
      </c>
      <c r="Q5" s="5">
        <f t="shared" ca="1" si="0"/>
        <v>9999</v>
      </c>
      <c r="R5" s="5">
        <f t="shared" ca="1" si="0"/>
        <v>9999</v>
      </c>
      <c r="S5" s="5">
        <f t="shared" ca="1" si="0"/>
        <v>9999</v>
      </c>
      <c r="T5" s="5">
        <f t="shared" ca="1" si="0"/>
        <v>9999</v>
      </c>
      <c r="U5" s="5">
        <f t="shared" ca="1" si="0"/>
        <v>9999</v>
      </c>
      <c r="V5" s="5">
        <f t="shared" ca="1" si="0"/>
        <v>9999</v>
      </c>
      <c r="W5" s="5">
        <f t="shared" ca="1" si="0"/>
        <v>9999</v>
      </c>
      <c r="X5" s="5">
        <f t="shared" ca="1" si="0"/>
        <v>9999</v>
      </c>
      <c r="Y5" s="5">
        <f t="shared" ca="1" si="0"/>
        <v>9999</v>
      </c>
      <c r="Z5" s="5">
        <f t="shared" ca="1" si="0"/>
        <v>9999</v>
      </c>
      <c r="AA5" s="5">
        <f t="shared" ca="1" si="0"/>
        <v>9999</v>
      </c>
      <c r="AB5" s="5">
        <f t="shared" ca="1" si="0"/>
        <v>9999</v>
      </c>
      <c r="AC5" s="5">
        <f t="shared" ca="1" si="0"/>
        <v>9999</v>
      </c>
      <c r="AD5" s="5">
        <f t="shared" ca="1" si="0"/>
        <v>9999</v>
      </c>
      <c r="AE5" s="5">
        <f t="shared" ca="1" si="0"/>
        <v>9999</v>
      </c>
      <c r="AF5" s="5">
        <f t="shared" ca="1" si="0"/>
        <v>9999</v>
      </c>
      <c r="AG5" s="5">
        <f t="shared" ca="1" si="0"/>
        <v>9999</v>
      </c>
      <c r="AH5" s="5">
        <f t="shared" ca="1" si="0"/>
        <v>9999</v>
      </c>
      <c r="AI5" s="5">
        <f t="shared" ca="1" si="0"/>
        <v>9999</v>
      </c>
      <c r="AJ5" s="5">
        <f t="shared" ca="1" si="0"/>
        <v>9999</v>
      </c>
      <c r="AK5" s="5">
        <f t="shared" ca="1" si="0"/>
        <v>9999</v>
      </c>
      <c r="AL5" s="5">
        <f t="shared" ca="1" si="0"/>
        <v>9999</v>
      </c>
      <c r="AM5" s="5">
        <f t="shared" ca="1" si="0"/>
        <v>9999</v>
      </c>
      <c r="AN5" s="5">
        <f t="shared" ca="1" si="0"/>
        <v>9999</v>
      </c>
      <c r="AO5" s="5">
        <f t="shared" ca="1" si="0"/>
        <v>9999</v>
      </c>
      <c r="AP5" s="5">
        <f t="shared" ca="1" si="0"/>
        <v>9999</v>
      </c>
      <c r="AQ5" s="5">
        <f t="shared" ca="1" si="0"/>
        <v>9999</v>
      </c>
      <c r="AR5" s="5">
        <f t="shared" ca="1" si="0"/>
        <v>9999</v>
      </c>
      <c r="AS5" s="5">
        <f t="shared" ca="1" si="0"/>
        <v>9999</v>
      </c>
      <c r="AT5" s="5">
        <f t="shared" ca="1" si="0"/>
        <v>9999</v>
      </c>
      <c r="AU5" s="5">
        <f t="shared" ca="1" si="0"/>
        <v>9999</v>
      </c>
      <c r="AV5" s="5">
        <f t="shared" ca="1" si="0"/>
        <v>9999</v>
      </c>
      <c r="AW5" s="5">
        <f t="shared" ca="1" si="0"/>
        <v>9999</v>
      </c>
      <c r="AX5" s="5">
        <f t="shared" ca="1" si="0"/>
        <v>9999</v>
      </c>
      <c r="AY5" s="5">
        <f t="shared" ca="1" si="0"/>
        <v>9999</v>
      </c>
      <c r="AZ5" s="5">
        <f t="shared" ca="1" si="0"/>
        <v>9999</v>
      </c>
      <c r="BA5" s="5">
        <f t="shared" ca="1" si="0"/>
        <v>9999</v>
      </c>
      <c r="BB5" s="5">
        <f t="shared" ca="1" si="0"/>
        <v>9999</v>
      </c>
      <c r="BC5" s="5">
        <f t="shared" ca="1" si="0"/>
        <v>9999</v>
      </c>
      <c r="BD5" s="5">
        <f t="shared" ca="1" si="0"/>
        <v>9999</v>
      </c>
      <c r="BE5" s="5">
        <f t="shared" ca="1" si="0"/>
        <v>9999</v>
      </c>
      <c r="BF5" s="5">
        <f t="shared" ca="1" si="0"/>
        <v>9999</v>
      </c>
      <c r="BG5" s="5">
        <f t="shared" ca="1" si="0"/>
        <v>9999</v>
      </c>
      <c r="BH5" s="5">
        <f t="shared" ca="1" si="0"/>
        <v>9999</v>
      </c>
      <c r="BI5" s="5">
        <f t="shared" ca="1" si="0"/>
        <v>9999</v>
      </c>
      <c r="BJ5" s="5">
        <f t="shared" ca="1" si="0"/>
        <v>9999</v>
      </c>
      <c r="BK5" s="5">
        <f t="shared" ca="1" si="0"/>
        <v>9999</v>
      </c>
      <c r="BL5" s="5">
        <f t="shared" ca="1" si="0"/>
        <v>9999</v>
      </c>
      <c r="BM5" s="5">
        <f t="shared" ca="1" si="0"/>
        <v>9999</v>
      </c>
      <c r="BN5" s="5">
        <f t="shared" ca="1" si="0"/>
        <v>9999</v>
      </c>
      <c r="BO5" s="5">
        <f t="shared" ca="1" si="0"/>
        <v>9999</v>
      </c>
      <c r="BP5" s="5">
        <f t="shared" ca="1" si="0"/>
        <v>9999</v>
      </c>
      <c r="BQ5" s="5">
        <f t="shared" ca="1" si="0"/>
        <v>9999</v>
      </c>
      <c r="BR5" s="5">
        <f t="shared" ca="1" si="0"/>
        <v>9999</v>
      </c>
      <c r="BS5" s="5">
        <f t="shared" ca="1" si="0"/>
        <v>9999</v>
      </c>
      <c r="BT5" s="5">
        <f t="shared" ca="1" si="0"/>
        <v>9999</v>
      </c>
      <c r="BU5" s="5">
        <f t="shared" ref="BU5:EF5" ca="1" si="1">INDIRECT(CONCATENATE($A5,"!",LEFT(BU$2,1),MID(BU$2,2,256)+BU$1-1))</f>
        <v>9999</v>
      </c>
      <c r="BV5" s="5">
        <f t="shared" ca="1" si="1"/>
        <v>9999</v>
      </c>
      <c r="BW5" s="5">
        <f t="shared" ca="1" si="1"/>
        <v>9999</v>
      </c>
      <c r="BX5" s="5">
        <f t="shared" ca="1" si="1"/>
        <v>9999</v>
      </c>
      <c r="BY5" s="5">
        <f t="shared" ca="1" si="1"/>
        <v>9999</v>
      </c>
      <c r="BZ5" s="5">
        <f t="shared" ca="1" si="1"/>
        <v>9999</v>
      </c>
      <c r="CA5" s="5">
        <f t="shared" ca="1" si="1"/>
        <v>9999</v>
      </c>
      <c r="CB5" s="5">
        <f t="shared" ca="1" si="1"/>
        <v>9999</v>
      </c>
      <c r="CC5" s="5">
        <f t="shared" ca="1" si="1"/>
        <v>9999</v>
      </c>
      <c r="CD5" s="5">
        <f t="shared" ca="1" si="1"/>
        <v>9999</v>
      </c>
      <c r="CE5" s="5">
        <f t="shared" ca="1" si="1"/>
        <v>9999</v>
      </c>
      <c r="CF5" s="5">
        <f t="shared" ca="1" si="1"/>
        <v>9999</v>
      </c>
      <c r="CG5" s="5">
        <f t="shared" ca="1" si="1"/>
        <v>9999</v>
      </c>
      <c r="CH5" s="5">
        <f t="shared" ca="1" si="1"/>
        <v>9999</v>
      </c>
      <c r="CI5" s="5">
        <f t="shared" ca="1" si="1"/>
        <v>9999</v>
      </c>
      <c r="CJ5" s="5">
        <f t="shared" ca="1" si="1"/>
        <v>9999</v>
      </c>
      <c r="CK5" s="5">
        <f t="shared" ca="1" si="1"/>
        <v>9999</v>
      </c>
      <c r="CL5" s="5">
        <f t="shared" ca="1" si="1"/>
        <v>9999</v>
      </c>
      <c r="CM5" s="5">
        <f t="shared" ca="1" si="1"/>
        <v>9999</v>
      </c>
      <c r="CN5" s="5">
        <f t="shared" ca="1" si="1"/>
        <v>9999</v>
      </c>
      <c r="CO5" s="5">
        <f t="shared" ca="1" si="1"/>
        <v>9999</v>
      </c>
      <c r="CP5" s="5">
        <f t="shared" ca="1" si="1"/>
        <v>9999</v>
      </c>
      <c r="CQ5" s="5">
        <f t="shared" ca="1" si="1"/>
        <v>9999</v>
      </c>
      <c r="CR5" s="5">
        <f t="shared" ca="1" si="1"/>
        <v>9999</v>
      </c>
      <c r="CS5" s="5">
        <f t="shared" ca="1" si="1"/>
        <v>9999</v>
      </c>
      <c r="CT5" s="5">
        <f t="shared" ca="1" si="1"/>
        <v>9999</v>
      </c>
      <c r="CU5" s="5">
        <f t="shared" ca="1" si="1"/>
        <v>9999</v>
      </c>
      <c r="CV5" s="5">
        <f t="shared" ca="1" si="1"/>
        <v>9999</v>
      </c>
      <c r="CW5" s="5">
        <f t="shared" ca="1" si="1"/>
        <v>9999</v>
      </c>
      <c r="CX5" s="5">
        <f t="shared" ca="1" si="1"/>
        <v>9999</v>
      </c>
      <c r="CY5" s="5">
        <f t="shared" ca="1" si="1"/>
        <v>9999</v>
      </c>
      <c r="CZ5" s="5">
        <f t="shared" ca="1" si="1"/>
        <v>9999</v>
      </c>
      <c r="DA5" s="5">
        <f t="shared" ca="1" si="1"/>
        <v>9999</v>
      </c>
      <c r="DB5" s="5">
        <f t="shared" ca="1" si="1"/>
        <v>9999</v>
      </c>
      <c r="DC5" s="5">
        <f t="shared" ca="1" si="1"/>
        <v>9999</v>
      </c>
      <c r="DD5" s="5">
        <f t="shared" ca="1" si="1"/>
        <v>9999</v>
      </c>
      <c r="DE5" s="5">
        <f t="shared" ca="1" si="1"/>
        <v>9999</v>
      </c>
      <c r="DF5" s="5">
        <f t="shared" ca="1" si="1"/>
        <v>9999</v>
      </c>
      <c r="DG5" s="5">
        <f t="shared" ca="1" si="1"/>
        <v>9999</v>
      </c>
      <c r="DH5" s="5">
        <f t="shared" ca="1" si="1"/>
        <v>9999</v>
      </c>
      <c r="DI5" s="5">
        <f t="shared" ca="1" si="1"/>
        <v>9999</v>
      </c>
      <c r="DJ5" s="5">
        <f t="shared" ca="1" si="1"/>
        <v>9999</v>
      </c>
      <c r="DK5" s="5">
        <f t="shared" ca="1" si="1"/>
        <v>9999</v>
      </c>
      <c r="DL5" s="5">
        <f t="shared" ca="1" si="1"/>
        <v>9999</v>
      </c>
      <c r="DM5" s="5">
        <f t="shared" ca="1" si="1"/>
        <v>9999</v>
      </c>
      <c r="DN5" s="5">
        <f t="shared" ca="1" si="1"/>
        <v>9999</v>
      </c>
      <c r="DO5" s="5">
        <f t="shared" ca="1" si="1"/>
        <v>9999</v>
      </c>
      <c r="DP5" s="5">
        <f t="shared" ca="1" si="1"/>
        <v>9999</v>
      </c>
      <c r="DQ5" s="5">
        <f t="shared" ca="1" si="1"/>
        <v>9999</v>
      </c>
      <c r="DR5" s="5">
        <f t="shared" ca="1" si="1"/>
        <v>9999</v>
      </c>
      <c r="DS5" s="5">
        <f t="shared" ca="1" si="1"/>
        <v>9999</v>
      </c>
      <c r="DT5" s="5">
        <f t="shared" ca="1" si="1"/>
        <v>9999</v>
      </c>
      <c r="DU5" s="5">
        <f t="shared" ca="1" si="1"/>
        <v>9999</v>
      </c>
      <c r="DV5" s="5">
        <f t="shared" ca="1" si="1"/>
        <v>9999</v>
      </c>
      <c r="DW5" s="5">
        <f t="shared" ca="1" si="1"/>
        <v>9999</v>
      </c>
      <c r="DX5" s="5">
        <f t="shared" ca="1" si="1"/>
        <v>9999</v>
      </c>
      <c r="DY5" s="5">
        <f t="shared" ca="1" si="1"/>
        <v>9999</v>
      </c>
      <c r="DZ5" s="5">
        <f t="shared" ca="1" si="1"/>
        <v>9999</v>
      </c>
      <c r="EA5" s="5">
        <f t="shared" ca="1" si="1"/>
        <v>9999</v>
      </c>
      <c r="EB5" s="5">
        <f t="shared" ca="1" si="1"/>
        <v>9999</v>
      </c>
      <c r="EC5" s="5">
        <f t="shared" ca="1" si="1"/>
        <v>9999</v>
      </c>
      <c r="ED5" s="5">
        <f t="shared" ca="1" si="1"/>
        <v>9999</v>
      </c>
      <c r="EE5" s="5">
        <f t="shared" ca="1" si="1"/>
        <v>9999</v>
      </c>
      <c r="EF5" s="5">
        <f t="shared" ca="1" si="1"/>
        <v>9999</v>
      </c>
      <c r="EG5" s="5">
        <f t="shared" ref="EG5:GR5" ca="1" si="2">INDIRECT(CONCATENATE($A5,"!",LEFT(EG$2,1),MID(EG$2,2,256)+EG$1-1))</f>
        <v>9999</v>
      </c>
      <c r="EH5" s="5">
        <f t="shared" ca="1" si="2"/>
        <v>9999</v>
      </c>
      <c r="EI5" s="5">
        <f t="shared" ca="1" si="2"/>
        <v>9999</v>
      </c>
      <c r="EJ5" s="5">
        <f t="shared" ca="1" si="2"/>
        <v>9999</v>
      </c>
      <c r="EK5" s="5">
        <f t="shared" ca="1" si="2"/>
        <v>9999</v>
      </c>
      <c r="EL5" s="5">
        <f t="shared" ca="1" si="2"/>
        <v>9999</v>
      </c>
      <c r="EM5" s="5">
        <f t="shared" ca="1" si="2"/>
        <v>9999</v>
      </c>
      <c r="EN5" s="5">
        <f t="shared" ca="1" si="2"/>
        <v>9999</v>
      </c>
      <c r="EO5" s="5">
        <f t="shared" ca="1" si="2"/>
        <v>9999</v>
      </c>
      <c r="EP5" s="5">
        <f t="shared" ca="1" si="2"/>
        <v>9999</v>
      </c>
      <c r="EQ5" s="5">
        <f t="shared" ca="1" si="2"/>
        <v>9999</v>
      </c>
      <c r="ER5" s="5">
        <f t="shared" ca="1" si="2"/>
        <v>9999</v>
      </c>
      <c r="ES5" s="5">
        <f t="shared" ca="1" si="2"/>
        <v>9999</v>
      </c>
      <c r="ET5" s="5">
        <f t="shared" ca="1" si="2"/>
        <v>9999</v>
      </c>
      <c r="EU5" s="5">
        <f t="shared" ca="1" si="2"/>
        <v>9999</v>
      </c>
      <c r="EV5" s="5">
        <f t="shared" ca="1" si="2"/>
        <v>9999</v>
      </c>
      <c r="EW5" s="5">
        <f t="shared" ca="1" si="2"/>
        <v>9999</v>
      </c>
      <c r="EX5" s="5">
        <f t="shared" ca="1" si="2"/>
        <v>9999</v>
      </c>
      <c r="EY5" s="5">
        <f t="shared" ca="1" si="2"/>
        <v>9999</v>
      </c>
      <c r="EZ5" s="5">
        <f t="shared" ca="1" si="2"/>
        <v>9999</v>
      </c>
      <c r="FA5" s="5">
        <f t="shared" ca="1" si="2"/>
        <v>9999</v>
      </c>
      <c r="FB5" s="5">
        <f t="shared" ca="1" si="2"/>
        <v>9999</v>
      </c>
      <c r="FC5" s="5">
        <f t="shared" ca="1" si="2"/>
        <v>9999</v>
      </c>
      <c r="FD5" s="5">
        <f t="shared" ca="1" si="2"/>
        <v>9999</v>
      </c>
      <c r="FE5" s="5">
        <f t="shared" ca="1" si="2"/>
        <v>9999</v>
      </c>
      <c r="FF5" s="5">
        <f t="shared" ca="1" si="2"/>
        <v>9999</v>
      </c>
      <c r="FG5" s="5">
        <f t="shared" ca="1" si="2"/>
        <v>9999</v>
      </c>
      <c r="FH5" s="5">
        <f t="shared" ca="1" si="2"/>
        <v>9999</v>
      </c>
      <c r="FI5" s="5">
        <f t="shared" ca="1" si="2"/>
        <v>9999</v>
      </c>
      <c r="FJ5" s="5">
        <f t="shared" ca="1" si="2"/>
        <v>9999</v>
      </c>
      <c r="FK5" s="5">
        <f t="shared" ca="1" si="2"/>
        <v>9999</v>
      </c>
      <c r="FL5" s="5">
        <f t="shared" ca="1" si="2"/>
        <v>9999</v>
      </c>
      <c r="FM5" s="5">
        <f t="shared" ca="1" si="2"/>
        <v>9999</v>
      </c>
      <c r="FN5" s="5">
        <f t="shared" ca="1" si="2"/>
        <v>9999</v>
      </c>
      <c r="FO5" s="5">
        <f t="shared" ca="1" si="2"/>
        <v>9999</v>
      </c>
      <c r="FP5" s="5">
        <f t="shared" ca="1" si="2"/>
        <v>9999</v>
      </c>
      <c r="FQ5" s="5">
        <f t="shared" ca="1" si="2"/>
        <v>9999</v>
      </c>
      <c r="FR5" s="5">
        <f t="shared" ca="1" si="2"/>
        <v>9999</v>
      </c>
      <c r="FS5" s="5">
        <f t="shared" ca="1" si="2"/>
        <v>9999</v>
      </c>
      <c r="FT5" s="5">
        <f t="shared" ca="1" si="2"/>
        <v>9999</v>
      </c>
      <c r="FU5" s="5">
        <f t="shared" ca="1" si="2"/>
        <v>9999</v>
      </c>
      <c r="FV5" s="5">
        <f t="shared" ca="1" si="2"/>
        <v>9999</v>
      </c>
      <c r="FW5" s="5">
        <f t="shared" ca="1" si="2"/>
        <v>9999</v>
      </c>
      <c r="FX5" s="5">
        <f t="shared" ca="1" si="2"/>
        <v>9999</v>
      </c>
      <c r="FY5" s="5">
        <f t="shared" ca="1" si="2"/>
        <v>9999</v>
      </c>
      <c r="FZ5" s="5">
        <f t="shared" ca="1" si="2"/>
        <v>9999</v>
      </c>
      <c r="GA5" s="5">
        <f t="shared" ca="1" si="2"/>
        <v>9999</v>
      </c>
      <c r="GB5" s="5">
        <f t="shared" ca="1" si="2"/>
        <v>9999</v>
      </c>
      <c r="GC5" s="5">
        <f t="shared" ca="1" si="2"/>
        <v>9999</v>
      </c>
      <c r="GD5" s="5">
        <f t="shared" ca="1" si="2"/>
        <v>9999</v>
      </c>
      <c r="GE5" s="5">
        <f t="shared" ca="1" si="2"/>
        <v>9999</v>
      </c>
      <c r="GF5" s="5">
        <f t="shared" ca="1" si="2"/>
        <v>9999</v>
      </c>
      <c r="GG5" s="5">
        <f t="shared" ca="1" si="2"/>
        <v>9999</v>
      </c>
      <c r="GH5" s="5">
        <f t="shared" ca="1" si="2"/>
        <v>9999</v>
      </c>
      <c r="GI5" s="5">
        <f t="shared" ca="1" si="2"/>
        <v>9999</v>
      </c>
      <c r="GJ5" s="5">
        <f t="shared" ca="1" si="2"/>
        <v>9999</v>
      </c>
      <c r="GK5" s="5">
        <f t="shared" ca="1" si="2"/>
        <v>9999</v>
      </c>
      <c r="GL5" s="5">
        <f t="shared" ca="1" si="2"/>
        <v>9999</v>
      </c>
      <c r="GM5" s="5">
        <f t="shared" ca="1" si="2"/>
        <v>9999</v>
      </c>
      <c r="GN5" s="5">
        <f t="shared" ca="1" si="2"/>
        <v>9999</v>
      </c>
      <c r="GO5" s="5">
        <f t="shared" ca="1" si="2"/>
        <v>9999</v>
      </c>
      <c r="GP5" s="5">
        <f t="shared" ca="1" si="2"/>
        <v>9999</v>
      </c>
      <c r="GQ5" s="5">
        <f t="shared" ca="1" si="2"/>
        <v>9999</v>
      </c>
      <c r="GR5" s="5">
        <f t="shared" ca="1" si="2"/>
        <v>9999</v>
      </c>
      <c r="GS5" s="5">
        <f t="shared" ref="GS5:JD5" ca="1" si="3">INDIRECT(CONCATENATE($A5,"!",LEFT(GS$2,1),MID(GS$2,2,256)+GS$1-1))</f>
        <v>9999</v>
      </c>
      <c r="GT5" s="5">
        <f t="shared" ca="1" si="3"/>
        <v>9999</v>
      </c>
      <c r="GU5" s="5">
        <f t="shared" ca="1" si="3"/>
        <v>9999</v>
      </c>
      <c r="GV5" s="5">
        <f t="shared" ca="1" si="3"/>
        <v>9999</v>
      </c>
      <c r="GW5" s="5">
        <f t="shared" ca="1" si="3"/>
        <v>9999</v>
      </c>
      <c r="GX5" s="5">
        <f t="shared" ca="1" si="3"/>
        <v>9999</v>
      </c>
      <c r="GY5" s="5">
        <f t="shared" ca="1" si="3"/>
        <v>9999</v>
      </c>
      <c r="GZ5" s="5">
        <f t="shared" ca="1" si="3"/>
        <v>9999</v>
      </c>
      <c r="HA5" s="5">
        <f t="shared" ca="1" si="3"/>
        <v>9999</v>
      </c>
      <c r="HB5" s="5">
        <f t="shared" ca="1" si="3"/>
        <v>9999</v>
      </c>
      <c r="HC5" s="5">
        <f t="shared" ca="1" si="3"/>
        <v>9999</v>
      </c>
      <c r="HD5" s="5">
        <f t="shared" ca="1" si="3"/>
        <v>9999</v>
      </c>
      <c r="HE5" s="5">
        <f t="shared" ca="1" si="3"/>
        <v>9999</v>
      </c>
      <c r="HF5" s="5">
        <f t="shared" ca="1" si="3"/>
        <v>9999</v>
      </c>
      <c r="HG5" s="5">
        <f t="shared" ca="1" si="3"/>
        <v>9999</v>
      </c>
      <c r="HH5" s="5">
        <f t="shared" ca="1" si="3"/>
        <v>9999</v>
      </c>
      <c r="HI5" s="5">
        <f t="shared" ca="1" si="3"/>
        <v>9999</v>
      </c>
      <c r="HJ5" s="5">
        <f t="shared" ca="1" si="3"/>
        <v>9999</v>
      </c>
      <c r="HK5" s="5">
        <f t="shared" ca="1" si="3"/>
        <v>9999</v>
      </c>
      <c r="HL5" s="5">
        <f t="shared" ca="1" si="3"/>
        <v>9999</v>
      </c>
      <c r="HM5" s="5">
        <f t="shared" ca="1" si="3"/>
        <v>9999</v>
      </c>
      <c r="HN5" s="5">
        <f t="shared" ca="1" si="3"/>
        <v>9999</v>
      </c>
      <c r="HO5" s="5">
        <f t="shared" ca="1" si="3"/>
        <v>9999</v>
      </c>
      <c r="HP5" s="5">
        <f t="shared" ca="1" si="3"/>
        <v>9999</v>
      </c>
      <c r="HQ5" s="5">
        <f t="shared" ca="1" si="3"/>
        <v>9999</v>
      </c>
      <c r="HR5" s="5">
        <f t="shared" ca="1" si="3"/>
        <v>9999</v>
      </c>
      <c r="HS5" s="5">
        <f t="shared" ca="1" si="3"/>
        <v>9999</v>
      </c>
      <c r="HT5" s="5">
        <f t="shared" ca="1" si="3"/>
        <v>9999</v>
      </c>
      <c r="HU5" s="5">
        <f t="shared" ca="1" si="3"/>
        <v>9999</v>
      </c>
      <c r="HV5" s="5">
        <f t="shared" ca="1" si="3"/>
        <v>9999</v>
      </c>
      <c r="HW5" s="5">
        <f t="shared" ca="1" si="3"/>
        <v>9999</v>
      </c>
      <c r="HX5" s="5">
        <f t="shared" ca="1" si="3"/>
        <v>9999</v>
      </c>
      <c r="HY5" s="5">
        <f t="shared" ca="1" si="3"/>
        <v>9999</v>
      </c>
      <c r="HZ5" s="5">
        <f t="shared" ca="1" si="3"/>
        <v>9999</v>
      </c>
      <c r="IA5" s="5">
        <f t="shared" ca="1" si="3"/>
        <v>9999</v>
      </c>
      <c r="IB5" s="5">
        <f t="shared" ca="1" si="3"/>
        <v>9999</v>
      </c>
      <c r="IC5" s="5">
        <f t="shared" ca="1" si="3"/>
        <v>9999</v>
      </c>
      <c r="ID5" s="5">
        <f t="shared" ca="1" si="3"/>
        <v>9999</v>
      </c>
      <c r="IE5" s="5">
        <f t="shared" ca="1" si="3"/>
        <v>9999</v>
      </c>
      <c r="IF5" s="5">
        <f t="shared" ca="1" si="3"/>
        <v>9999</v>
      </c>
      <c r="IG5" s="5">
        <f t="shared" ca="1" si="3"/>
        <v>9999</v>
      </c>
      <c r="IH5" s="5">
        <f t="shared" ca="1" si="3"/>
        <v>9999</v>
      </c>
      <c r="II5" s="5">
        <f t="shared" ca="1" si="3"/>
        <v>9999</v>
      </c>
      <c r="IJ5" s="5">
        <f t="shared" ca="1" si="3"/>
        <v>9999</v>
      </c>
      <c r="IK5" s="5">
        <f t="shared" ca="1" si="3"/>
        <v>9999</v>
      </c>
      <c r="IL5" s="5">
        <f t="shared" ca="1" si="3"/>
        <v>9999</v>
      </c>
      <c r="IM5" s="5">
        <f t="shared" ca="1" si="3"/>
        <v>9999</v>
      </c>
      <c r="IN5" s="5">
        <f t="shared" ca="1" si="3"/>
        <v>9999</v>
      </c>
      <c r="IO5" s="5">
        <f t="shared" ca="1" si="3"/>
        <v>9999</v>
      </c>
      <c r="IP5" s="5">
        <f t="shared" ca="1" si="3"/>
        <v>9999</v>
      </c>
      <c r="IQ5" s="5">
        <f t="shared" ca="1" si="3"/>
        <v>9999</v>
      </c>
      <c r="IR5" s="5">
        <f t="shared" ca="1" si="3"/>
        <v>9999</v>
      </c>
      <c r="IS5" s="5">
        <f t="shared" ca="1" si="3"/>
        <v>9999</v>
      </c>
      <c r="IT5" s="5">
        <f t="shared" ca="1" si="3"/>
        <v>9999</v>
      </c>
      <c r="IU5" s="5">
        <f t="shared" ca="1" si="3"/>
        <v>9999</v>
      </c>
      <c r="IV5" s="5">
        <f t="shared" ca="1" si="3"/>
        <v>9999</v>
      </c>
      <c r="IW5" s="5">
        <f t="shared" ca="1" si="3"/>
        <v>9999</v>
      </c>
      <c r="IX5" s="5">
        <f t="shared" ca="1" si="3"/>
        <v>9999</v>
      </c>
      <c r="IY5" s="5">
        <f t="shared" ca="1" si="3"/>
        <v>9999</v>
      </c>
      <c r="IZ5" s="5">
        <f t="shared" ca="1" si="3"/>
        <v>9999</v>
      </c>
      <c r="JA5" s="5">
        <f t="shared" ca="1" si="3"/>
        <v>9999</v>
      </c>
      <c r="JB5" s="5">
        <f t="shared" ca="1" si="3"/>
        <v>9999</v>
      </c>
      <c r="JC5" s="5">
        <f t="shared" ca="1" si="3"/>
        <v>9999</v>
      </c>
      <c r="JD5" s="5">
        <f t="shared" ca="1" si="3"/>
        <v>9999</v>
      </c>
      <c r="JE5" s="5">
        <f t="shared" ref="JE5:LP5" ca="1" si="4">INDIRECT(CONCATENATE($A5,"!",LEFT(JE$2,1),MID(JE$2,2,256)+JE$1-1))</f>
        <v>9999</v>
      </c>
      <c r="JF5" s="5">
        <f t="shared" ca="1" si="4"/>
        <v>9999</v>
      </c>
      <c r="JG5" s="5">
        <f t="shared" ca="1" si="4"/>
        <v>9999</v>
      </c>
      <c r="JH5" s="5">
        <f t="shared" ca="1" si="4"/>
        <v>9999</v>
      </c>
      <c r="JI5" s="5">
        <f t="shared" ca="1" si="4"/>
        <v>9999</v>
      </c>
      <c r="JJ5" s="5">
        <f t="shared" ca="1" si="4"/>
        <v>9999</v>
      </c>
      <c r="JK5" s="5">
        <f t="shared" ca="1" si="4"/>
        <v>9999</v>
      </c>
      <c r="JL5" s="5">
        <f t="shared" ca="1" si="4"/>
        <v>9999</v>
      </c>
      <c r="JM5" s="5">
        <f t="shared" ca="1" si="4"/>
        <v>9999</v>
      </c>
      <c r="JN5" s="5">
        <f t="shared" ca="1" si="4"/>
        <v>9999</v>
      </c>
      <c r="JO5" s="5">
        <f t="shared" ca="1" si="4"/>
        <v>9999</v>
      </c>
      <c r="JP5" s="5">
        <f t="shared" ca="1" si="4"/>
        <v>9999</v>
      </c>
      <c r="JQ5" s="5">
        <f t="shared" ca="1" si="4"/>
        <v>9999</v>
      </c>
      <c r="JR5" s="5">
        <f t="shared" ca="1" si="4"/>
        <v>9999</v>
      </c>
      <c r="JS5" s="5">
        <f t="shared" ca="1" si="4"/>
        <v>9999</v>
      </c>
      <c r="JT5" s="5">
        <f t="shared" ca="1" si="4"/>
        <v>9999</v>
      </c>
      <c r="JU5" s="5">
        <f t="shared" ca="1" si="4"/>
        <v>9999</v>
      </c>
      <c r="JV5" s="5">
        <f t="shared" ca="1" si="4"/>
        <v>9999</v>
      </c>
      <c r="JW5" s="5">
        <f t="shared" ca="1" si="4"/>
        <v>9999</v>
      </c>
      <c r="JX5" s="5">
        <f t="shared" ca="1" si="4"/>
        <v>9999</v>
      </c>
      <c r="JY5" s="5">
        <f t="shared" ca="1" si="4"/>
        <v>9999</v>
      </c>
      <c r="JZ5" s="5">
        <f t="shared" ca="1" si="4"/>
        <v>9999</v>
      </c>
      <c r="KA5" s="5">
        <f t="shared" ca="1" si="4"/>
        <v>9999</v>
      </c>
      <c r="KB5" s="5">
        <f t="shared" ca="1" si="4"/>
        <v>9999</v>
      </c>
      <c r="KC5" s="5">
        <f t="shared" ca="1" si="4"/>
        <v>9999</v>
      </c>
      <c r="KD5" s="5">
        <f t="shared" ca="1" si="4"/>
        <v>9999</v>
      </c>
      <c r="KE5" s="5">
        <f t="shared" ca="1" si="4"/>
        <v>9999</v>
      </c>
      <c r="KF5" s="5">
        <f t="shared" ca="1" si="4"/>
        <v>9999</v>
      </c>
      <c r="KG5" s="5">
        <f t="shared" ca="1" si="4"/>
        <v>9999</v>
      </c>
      <c r="KH5" s="5">
        <f t="shared" ca="1" si="4"/>
        <v>9999</v>
      </c>
      <c r="KI5" s="5">
        <f t="shared" ca="1" si="4"/>
        <v>9999</v>
      </c>
      <c r="KJ5" s="5">
        <f t="shared" ca="1" si="4"/>
        <v>9999</v>
      </c>
      <c r="KK5" s="5">
        <f t="shared" ca="1" si="4"/>
        <v>9999</v>
      </c>
      <c r="KL5" s="5">
        <f t="shared" ca="1" si="4"/>
        <v>9999</v>
      </c>
      <c r="KM5" s="5">
        <f t="shared" ca="1" si="4"/>
        <v>9999</v>
      </c>
      <c r="KN5" s="5">
        <f t="shared" ca="1" si="4"/>
        <v>9999</v>
      </c>
      <c r="KO5" s="5">
        <f t="shared" ca="1" si="4"/>
        <v>9999</v>
      </c>
      <c r="KP5" s="5">
        <f t="shared" ca="1" si="4"/>
        <v>9999</v>
      </c>
      <c r="KQ5" s="5">
        <f t="shared" ca="1" si="4"/>
        <v>9999</v>
      </c>
      <c r="KR5" s="5">
        <f t="shared" ca="1" si="4"/>
        <v>9999</v>
      </c>
      <c r="KS5" s="5">
        <f t="shared" ca="1" si="4"/>
        <v>9999</v>
      </c>
      <c r="KT5" s="5">
        <f t="shared" ca="1" si="4"/>
        <v>9999</v>
      </c>
      <c r="KU5" s="5">
        <f t="shared" ca="1" si="4"/>
        <v>9999</v>
      </c>
      <c r="KV5" s="5">
        <f t="shared" ca="1" si="4"/>
        <v>9999</v>
      </c>
      <c r="KW5" s="5">
        <f t="shared" ca="1" si="4"/>
        <v>9999</v>
      </c>
      <c r="KX5" s="5">
        <f t="shared" ca="1" si="4"/>
        <v>9999</v>
      </c>
      <c r="KY5" s="5">
        <f t="shared" ca="1" si="4"/>
        <v>9999</v>
      </c>
      <c r="KZ5" s="5">
        <f t="shared" ca="1" si="4"/>
        <v>9999</v>
      </c>
      <c r="LA5" s="5">
        <f t="shared" ca="1" si="4"/>
        <v>9999</v>
      </c>
      <c r="LB5" s="5">
        <f t="shared" ca="1" si="4"/>
        <v>9999</v>
      </c>
      <c r="LC5" s="5">
        <f t="shared" ca="1" si="4"/>
        <v>9999</v>
      </c>
      <c r="LD5" s="5">
        <f t="shared" ca="1" si="4"/>
        <v>9999</v>
      </c>
      <c r="LE5" s="5">
        <f t="shared" ca="1" si="4"/>
        <v>9999</v>
      </c>
      <c r="LF5" s="5">
        <f t="shared" ca="1" si="4"/>
        <v>9999</v>
      </c>
      <c r="LG5" s="5">
        <f t="shared" ca="1" si="4"/>
        <v>9999</v>
      </c>
      <c r="LH5" s="5">
        <f t="shared" ca="1" si="4"/>
        <v>9999</v>
      </c>
      <c r="LI5" s="5">
        <f t="shared" ca="1" si="4"/>
        <v>9999</v>
      </c>
      <c r="LJ5" s="5">
        <f t="shared" ca="1" si="4"/>
        <v>9999</v>
      </c>
      <c r="LK5" s="5">
        <f t="shared" ca="1" si="4"/>
        <v>9999</v>
      </c>
      <c r="LL5" s="5">
        <f t="shared" ca="1" si="4"/>
        <v>9999</v>
      </c>
      <c r="LM5" s="5">
        <f t="shared" ca="1" si="4"/>
        <v>9999</v>
      </c>
      <c r="LN5" s="5">
        <f t="shared" ca="1" si="4"/>
        <v>9999</v>
      </c>
      <c r="LO5" s="5">
        <f t="shared" ca="1" si="4"/>
        <v>9999</v>
      </c>
      <c r="LP5" s="5">
        <f t="shared" ca="1" si="4"/>
        <v>9999</v>
      </c>
      <c r="LQ5" s="5">
        <f t="shared" ref="LQ5:OB5" ca="1" si="5">INDIRECT(CONCATENATE($A5,"!",LEFT(LQ$2,1),MID(LQ$2,2,256)+LQ$1-1))</f>
        <v>9999</v>
      </c>
      <c r="LR5" s="5">
        <f t="shared" ca="1" si="5"/>
        <v>9999</v>
      </c>
      <c r="LS5" s="5">
        <f t="shared" ca="1" si="5"/>
        <v>9999</v>
      </c>
      <c r="LT5" s="5">
        <f t="shared" ca="1" si="5"/>
        <v>9999</v>
      </c>
      <c r="LU5" s="5">
        <f t="shared" ca="1" si="5"/>
        <v>9999</v>
      </c>
      <c r="LV5" s="5">
        <f t="shared" ca="1" si="5"/>
        <v>9999</v>
      </c>
      <c r="LW5" s="5">
        <f t="shared" ca="1" si="5"/>
        <v>9999</v>
      </c>
      <c r="LX5" s="5">
        <f t="shared" ca="1" si="5"/>
        <v>9999</v>
      </c>
      <c r="LY5" s="5">
        <f t="shared" ca="1" si="5"/>
        <v>9999</v>
      </c>
      <c r="LZ5" s="5">
        <f t="shared" ca="1" si="5"/>
        <v>9999</v>
      </c>
      <c r="MA5" s="5">
        <f t="shared" ca="1" si="5"/>
        <v>9999</v>
      </c>
      <c r="MB5" s="5">
        <f t="shared" ca="1" si="5"/>
        <v>9999</v>
      </c>
      <c r="MC5" s="5">
        <f t="shared" ca="1" si="5"/>
        <v>9999</v>
      </c>
      <c r="MD5" s="5">
        <f t="shared" ca="1" si="5"/>
        <v>9999</v>
      </c>
      <c r="ME5" s="5">
        <f t="shared" ca="1" si="5"/>
        <v>9999</v>
      </c>
      <c r="MF5" s="5">
        <f t="shared" ca="1" si="5"/>
        <v>9999</v>
      </c>
      <c r="MG5" s="5">
        <f t="shared" ca="1" si="5"/>
        <v>9999</v>
      </c>
      <c r="MH5" s="5">
        <f t="shared" ca="1" si="5"/>
        <v>9999</v>
      </c>
      <c r="MI5" s="5">
        <f t="shared" ca="1" si="5"/>
        <v>9999</v>
      </c>
      <c r="MJ5" s="5">
        <f t="shared" ca="1" si="5"/>
        <v>9999</v>
      </c>
      <c r="MK5" s="5">
        <f t="shared" ca="1" si="5"/>
        <v>9999</v>
      </c>
      <c r="ML5" s="5">
        <f t="shared" ca="1" si="5"/>
        <v>9999</v>
      </c>
      <c r="MM5" s="5">
        <f t="shared" ca="1" si="5"/>
        <v>9999</v>
      </c>
      <c r="MN5" s="5">
        <f t="shared" ca="1" si="5"/>
        <v>9999</v>
      </c>
      <c r="MO5" s="5">
        <f t="shared" ca="1" si="5"/>
        <v>9999</v>
      </c>
      <c r="MP5" s="5">
        <f t="shared" ca="1" si="5"/>
        <v>9999</v>
      </c>
      <c r="MQ5" s="5">
        <f t="shared" ca="1" si="5"/>
        <v>9999</v>
      </c>
      <c r="MR5" s="5">
        <f t="shared" ca="1" si="5"/>
        <v>9999</v>
      </c>
      <c r="MS5" s="5">
        <f t="shared" ca="1" si="5"/>
        <v>9999</v>
      </c>
      <c r="MT5" s="5">
        <f t="shared" ca="1" si="5"/>
        <v>9999</v>
      </c>
      <c r="MU5" s="5">
        <f t="shared" ca="1" si="5"/>
        <v>9999</v>
      </c>
      <c r="MV5" s="5">
        <f t="shared" ca="1" si="5"/>
        <v>9999</v>
      </c>
      <c r="MW5" s="5">
        <f t="shared" ca="1" si="5"/>
        <v>9999</v>
      </c>
      <c r="MX5" s="5">
        <f t="shared" ca="1" si="5"/>
        <v>9999</v>
      </c>
      <c r="MY5" s="5">
        <f t="shared" ca="1" si="5"/>
        <v>9999</v>
      </c>
      <c r="MZ5" s="5">
        <f t="shared" ca="1" si="5"/>
        <v>9999</v>
      </c>
      <c r="NA5" s="5">
        <f t="shared" ca="1" si="5"/>
        <v>9999</v>
      </c>
      <c r="NB5" s="5">
        <f t="shared" ca="1" si="5"/>
        <v>9999</v>
      </c>
      <c r="NC5" s="5">
        <f t="shared" ca="1" si="5"/>
        <v>9999</v>
      </c>
      <c r="ND5" s="5">
        <f t="shared" ca="1" si="5"/>
        <v>9999</v>
      </c>
      <c r="NE5" s="5">
        <f t="shared" ca="1" si="5"/>
        <v>9999</v>
      </c>
      <c r="NF5" s="5">
        <f t="shared" ca="1" si="5"/>
        <v>9999</v>
      </c>
      <c r="NG5" s="5">
        <f t="shared" ca="1" si="5"/>
        <v>9999</v>
      </c>
      <c r="NH5" s="5">
        <f t="shared" ca="1" si="5"/>
        <v>9999</v>
      </c>
      <c r="NI5" s="5">
        <f t="shared" ca="1" si="5"/>
        <v>9999</v>
      </c>
      <c r="NJ5" s="5">
        <f t="shared" ca="1" si="5"/>
        <v>9999</v>
      </c>
      <c r="NK5" s="5">
        <f t="shared" ca="1" si="5"/>
        <v>9999</v>
      </c>
      <c r="NL5" s="5">
        <f t="shared" ca="1" si="5"/>
        <v>9999</v>
      </c>
      <c r="NM5" s="5">
        <f t="shared" ca="1" si="5"/>
        <v>9999</v>
      </c>
      <c r="NN5" s="5">
        <f t="shared" ca="1" si="5"/>
        <v>9999</v>
      </c>
      <c r="NO5" s="5">
        <f t="shared" ca="1" si="5"/>
        <v>9999</v>
      </c>
      <c r="NP5" s="5">
        <f t="shared" ca="1" si="5"/>
        <v>9999</v>
      </c>
      <c r="NQ5" s="5">
        <f t="shared" ca="1" si="5"/>
        <v>9999</v>
      </c>
      <c r="NR5" s="5">
        <f t="shared" ca="1" si="5"/>
        <v>9999</v>
      </c>
      <c r="NS5" s="5">
        <f t="shared" ca="1" si="5"/>
        <v>9999</v>
      </c>
      <c r="NT5" s="5">
        <f t="shared" ca="1" si="5"/>
        <v>9999</v>
      </c>
      <c r="NU5" s="5">
        <f t="shared" ca="1" si="5"/>
        <v>9999</v>
      </c>
      <c r="NV5" s="5">
        <f t="shared" ca="1" si="5"/>
        <v>9999</v>
      </c>
      <c r="NW5" s="5">
        <f t="shared" ca="1" si="5"/>
        <v>9999</v>
      </c>
      <c r="NX5" s="5">
        <f t="shared" ca="1" si="5"/>
        <v>9999</v>
      </c>
      <c r="NY5" s="5">
        <f t="shared" ca="1" si="5"/>
        <v>9999</v>
      </c>
      <c r="NZ5" s="5">
        <f t="shared" ca="1" si="5"/>
        <v>9999</v>
      </c>
      <c r="OA5" s="5">
        <f t="shared" ca="1" si="5"/>
        <v>9999</v>
      </c>
      <c r="OB5" s="5">
        <f t="shared" ca="1" si="5"/>
        <v>9999</v>
      </c>
      <c r="OC5" s="5">
        <f t="shared" ref="OC5:QN5" ca="1" si="6">INDIRECT(CONCATENATE($A5,"!",LEFT(OC$2,1),MID(OC$2,2,256)+OC$1-1))</f>
        <v>9999</v>
      </c>
      <c r="OD5" s="5">
        <f t="shared" ca="1" si="6"/>
        <v>9999</v>
      </c>
      <c r="OE5" s="5">
        <f t="shared" ca="1" si="6"/>
        <v>9999</v>
      </c>
      <c r="OF5" s="5">
        <f t="shared" ca="1" si="6"/>
        <v>9999</v>
      </c>
      <c r="OG5" s="5">
        <f t="shared" ca="1" si="6"/>
        <v>9999</v>
      </c>
      <c r="OH5" s="5">
        <f t="shared" ca="1" si="6"/>
        <v>9999</v>
      </c>
      <c r="OI5" s="5">
        <f t="shared" ca="1" si="6"/>
        <v>9999</v>
      </c>
      <c r="OJ5" s="5">
        <f t="shared" ca="1" si="6"/>
        <v>9999</v>
      </c>
      <c r="OK5" s="5">
        <f t="shared" ca="1" si="6"/>
        <v>9999</v>
      </c>
      <c r="OL5" s="5">
        <f t="shared" ca="1" si="6"/>
        <v>9999</v>
      </c>
      <c r="OM5" s="5">
        <f t="shared" ca="1" si="6"/>
        <v>9999</v>
      </c>
      <c r="ON5" s="5">
        <f t="shared" ca="1" si="6"/>
        <v>9999</v>
      </c>
      <c r="OO5" s="5">
        <f t="shared" ca="1" si="6"/>
        <v>9999</v>
      </c>
      <c r="OP5" s="5">
        <f t="shared" ca="1" si="6"/>
        <v>9999</v>
      </c>
      <c r="OQ5" s="5">
        <f t="shared" ca="1" si="6"/>
        <v>9999</v>
      </c>
      <c r="OR5" s="5">
        <f t="shared" ca="1" si="6"/>
        <v>9999</v>
      </c>
      <c r="OS5" s="5">
        <f t="shared" ca="1" si="6"/>
        <v>9999</v>
      </c>
      <c r="OT5" s="5">
        <f t="shared" ca="1" si="6"/>
        <v>9999</v>
      </c>
      <c r="OU5" s="5">
        <f t="shared" ca="1" si="6"/>
        <v>9999</v>
      </c>
      <c r="OV5" s="5">
        <f t="shared" ca="1" si="6"/>
        <v>9999</v>
      </c>
      <c r="OW5" s="5">
        <f t="shared" ca="1" si="6"/>
        <v>9999</v>
      </c>
      <c r="OX5" s="5">
        <f t="shared" ca="1" si="6"/>
        <v>9999</v>
      </c>
      <c r="OY5" s="5">
        <f t="shared" ca="1" si="6"/>
        <v>9999</v>
      </c>
      <c r="OZ5" s="5">
        <f t="shared" ca="1" si="6"/>
        <v>9999</v>
      </c>
      <c r="PA5" s="5">
        <f t="shared" ca="1" si="6"/>
        <v>9999</v>
      </c>
      <c r="PB5" s="5">
        <f t="shared" ca="1" si="6"/>
        <v>9999</v>
      </c>
      <c r="PC5" s="5">
        <f t="shared" ca="1" si="6"/>
        <v>9999</v>
      </c>
      <c r="PD5" s="5">
        <f t="shared" ca="1" si="6"/>
        <v>9999</v>
      </c>
      <c r="PE5" s="5">
        <f t="shared" ca="1" si="6"/>
        <v>9999</v>
      </c>
      <c r="PF5" s="5">
        <f t="shared" ca="1" si="6"/>
        <v>9999</v>
      </c>
      <c r="PG5" s="5">
        <f t="shared" ca="1" si="6"/>
        <v>9999</v>
      </c>
      <c r="PH5" s="5">
        <f t="shared" ca="1" si="6"/>
        <v>9999</v>
      </c>
      <c r="PI5" s="5">
        <f t="shared" ca="1" si="6"/>
        <v>9999</v>
      </c>
      <c r="PJ5" s="5">
        <f t="shared" ca="1" si="6"/>
        <v>9999</v>
      </c>
      <c r="PK5" s="5">
        <f t="shared" ca="1" si="6"/>
        <v>9999</v>
      </c>
      <c r="PL5" s="5">
        <f t="shared" ca="1" si="6"/>
        <v>9999</v>
      </c>
      <c r="PM5" s="5">
        <f t="shared" ca="1" si="6"/>
        <v>9999</v>
      </c>
      <c r="PN5" s="5">
        <f t="shared" ca="1" si="6"/>
        <v>9999</v>
      </c>
      <c r="PO5" s="5">
        <f t="shared" ca="1" si="6"/>
        <v>9999</v>
      </c>
      <c r="PP5" s="5">
        <f t="shared" ca="1" si="6"/>
        <v>9999</v>
      </c>
      <c r="PQ5" s="5">
        <f t="shared" ca="1" si="6"/>
        <v>9999</v>
      </c>
      <c r="PR5" s="5">
        <f t="shared" ca="1" si="6"/>
        <v>9999</v>
      </c>
      <c r="PS5" s="5">
        <f t="shared" ca="1" si="6"/>
        <v>9999</v>
      </c>
      <c r="PT5" s="5">
        <f t="shared" ca="1" si="6"/>
        <v>9999</v>
      </c>
      <c r="PU5" s="5">
        <f t="shared" ca="1" si="6"/>
        <v>9999</v>
      </c>
      <c r="PV5" s="5">
        <f t="shared" ca="1" si="6"/>
        <v>9999</v>
      </c>
      <c r="PW5" s="5">
        <f t="shared" ca="1" si="6"/>
        <v>9999</v>
      </c>
      <c r="PX5" s="5">
        <f t="shared" ca="1" si="6"/>
        <v>9999</v>
      </c>
      <c r="PY5" s="5">
        <f t="shared" ca="1" si="6"/>
        <v>9999</v>
      </c>
      <c r="PZ5" s="5">
        <f t="shared" ca="1" si="6"/>
        <v>9999</v>
      </c>
      <c r="QA5" s="5">
        <f t="shared" ca="1" si="6"/>
        <v>9999</v>
      </c>
      <c r="QB5" s="5">
        <f t="shared" ca="1" si="6"/>
        <v>9999</v>
      </c>
      <c r="QC5" s="5">
        <f t="shared" ca="1" si="6"/>
        <v>9999</v>
      </c>
      <c r="QD5" s="5">
        <f t="shared" ca="1" si="6"/>
        <v>9999</v>
      </c>
      <c r="QE5" s="5">
        <f t="shared" ca="1" si="6"/>
        <v>9999</v>
      </c>
      <c r="QF5" s="5">
        <f t="shared" ca="1" si="6"/>
        <v>9999</v>
      </c>
      <c r="QG5" s="5">
        <f t="shared" ca="1" si="6"/>
        <v>9999</v>
      </c>
      <c r="QH5" s="5">
        <f t="shared" ca="1" si="6"/>
        <v>9999</v>
      </c>
      <c r="QI5" s="5">
        <f t="shared" ca="1" si="6"/>
        <v>9999</v>
      </c>
      <c r="QJ5" s="5">
        <f t="shared" ca="1" si="6"/>
        <v>9999</v>
      </c>
      <c r="QK5" s="5">
        <f t="shared" ca="1" si="6"/>
        <v>9999</v>
      </c>
      <c r="QL5" s="5">
        <f t="shared" ca="1" si="6"/>
        <v>9999</v>
      </c>
      <c r="QM5" s="5">
        <f t="shared" ca="1" si="6"/>
        <v>9999</v>
      </c>
      <c r="QN5" s="5">
        <f t="shared" ca="1" si="6"/>
        <v>9999</v>
      </c>
      <c r="QO5" s="5">
        <f t="shared" ref="QO5:SZ5" ca="1" si="7">INDIRECT(CONCATENATE($A5,"!",LEFT(QO$2,1),MID(QO$2,2,256)+QO$1-1))</f>
        <v>9999</v>
      </c>
      <c r="QP5" s="5">
        <f t="shared" ca="1" si="7"/>
        <v>9999</v>
      </c>
      <c r="QQ5" s="5">
        <f t="shared" ca="1" si="7"/>
        <v>9999</v>
      </c>
      <c r="QR5" s="5">
        <f t="shared" ca="1" si="7"/>
        <v>9999</v>
      </c>
      <c r="QS5" s="5">
        <f t="shared" ca="1" si="7"/>
        <v>9999</v>
      </c>
      <c r="QT5" s="5">
        <f t="shared" ca="1" si="7"/>
        <v>9999</v>
      </c>
      <c r="QU5" s="5">
        <f t="shared" ca="1" si="7"/>
        <v>9999</v>
      </c>
      <c r="QV5" s="5">
        <f t="shared" ca="1" si="7"/>
        <v>9999</v>
      </c>
      <c r="QW5" s="5">
        <f t="shared" ca="1" si="7"/>
        <v>9999</v>
      </c>
      <c r="QX5" s="5">
        <f t="shared" ca="1" si="7"/>
        <v>9999</v>
      </c>
      <c r="QY5" s="5">
        <f t="shared" ca="1" si="7"/>
        <v>9999</v>
      </c>
      <c r="QZ5" s="5">
        <f t="shared" ca="1" si="7"/>
        <v>9999</v>
      </c>
      <c r="RA5" s="5">
        <f t="shared" ca="1" si="7"/>
        <v>9999</v>
      </c>
      <c r="RB5" s="5">
        <f t="shared" ca="1" si="7"/>
        <v>9999</v>
      </c>
      <c r="RC5" s="5">
        <f t="shared" ca="1" si="7"/>
        <v>9999</v>
      </c>
      <c r="RD5" s="5">
        <f t="shared" ca="1" si="7"/>
        <v>9999</v>
      </c>
      <c r="RE5" s="5">
        <f t="shared" ca="1" si="7"/>
        <v>9999</v>
      </c>
      <c r="RF5" s="5">
        <f t="shared" ca="1" si="7"/>
        <v>9999</v>
      </c>
      <c r="RG5" s="5">
        <f t="shared" ca="1" si="7"/>
        <v>9999</v>
      </c>
      <c r="RH5" s="5">
        <f t="shared" ca="1" si="7"/>
        <v>9999</v>
      </c>
      <c r="RI5" s="5">
        <f t="shared" ca="1" si="7"/>
        <v>9999</v>
      </c>
      <c r="RJ5" s="5">
        <f t="shared" ca="1" si="7"/>
        <v>9999</v>
      </c>
      <c r="RK5" s="5">
        <f t="shared" ca="1" si="7"/>
        <v>9999</v>
      </c>
      <c r="RL5" s="5">
        <f t="shared" ca="1" si="7"/>
        <v>9999</v>
      </c>
      <c r="RM5" s="5">
        <f t="shared" ca="1" si="7"/>
        <v>9999</v>
      </c>
      <c r="RN5" s="5">
        <f t="shared" ca="1" si="7"/>
        <v>9999</v>
      </c>
      <c r="RO5" s="5">
        <f t="shared" ca="1" si="7"/>
        <v>9999</v>
      </c>
      <c r="RP5" s="5">
        <f t="shared" ca="1" si="7"/>
        <v>9999</v>
      </c>
      <c r="RQ5" s="5">
        <f t="shared" ca="1" si="7"/>
        <v>9999</v>
      </c>
      <c r="RR5" s="5">
        <f t="shared" ca="1" si="7"/>
        <v>9999</v>
      </c>
      <c r="RS5" s="5">
        <f t="shared" ca="1" si="7"/>
        <v>9999</v>
      </c>
      <c r="RT5" s="5">
        <f t="shared" ca="1" si="7"/>
        <v>9999</v>
      </c>
      <c r="RU5" s="5">
        <f t="shared" ca="1" si="7"/>
        <v>9999</v>
      </c>
      <c r="RV5" s="5">
        <f t="shared" ca="1" si="7"/>
        <v>9999</v>
      </c>
      <c r="RW5" s="5">
        <f t="shared" ca="1" si="7"/>
        <v>9999</v>
      </c>
      <c r="RX5" s="5">
        <f t="shared" ca="1" si="7"/>
        <v>9999</v>
      </c>
      <c r="RY5" s="5">
        <f t="shared" ca="1" si="7"/>
        <v>9999</v>
      </c>
      <c r="RZ5" s="5">
        <f t="shared" ca="1" si="7"/>
        <v>9999</v>
      </c>
      <c r="SA5" s="5">
        <f t="shared" ca="1" si="7"/>
        <v>9999</v>
      </c>
      <c r="SB5" s="5">
        <f t="shared" ca="1" si="7"/>
        <v>9999</v>
      </c>
      <c r="SC5" s="5">
        <f t="shared" ca="1" si="7"/>
        <v>9999</v>
      </c>
      <c r="SD5" s="5">
        <f t="shared" ca="1" si="7"/>
        <v>9999</v>
      </c>
      <c r="SE5" s="5">
        <f t="shared" ca="1" si="7"/>
        <v>9999</v>
      </c>
      <c r="SF5" s="5">
        <f t="shared" ca="1" si="7"/>
        <v>9999</v>
      </c>
      <c r="SG5" s="5">
        <f t="shared" ca="1" si="7"/>
        <v>9999</v>
      </c>
      <c r="SH5" s="5">
        <f t="shared" ca="1" si="7"/>
        <v>9999</v>
      </c>
      <c r="SI5" s="5">
        <f t="shared" ca="1" si="7"/>
        <v>9999</v>
      </c>
      <c r="SJ5" s="5">
        <f t="shared" ca="1" si="7"/>
        <v>9999</v>
      </c>
      <c r="SK5" s="5">
        <f t="shared" ca="1" si="7"/>
        <v>9999</v>
      </c>
      <c r="SL5" s="5">
        <f t="shared" ca="1" si="7"/>
        <v>9999</v>
      </c>
      <c r="SM5" s="5">
        <f t="shared" ca="1" si="7"/>
        <v>9999</v>
      </c>
      <c r="SN5" s="5">
        <f t="shared" ca="1" si="7"/>
        <v>9999</v>
      </c>
      <c r="SO5" s="5">
        <f t="shared" ca="1" si="7"/>
        <v>9999</v>
      </c>
      <c r="SP5" s="5">
        <f t="shared" ca="1" si="7"/>
        <v>9999</v>
      </c>
      <c r="SQ5" s="5">
        <f t="shared" ca="1" si="7"/>
        <v>9999</v>
      </c>
      <c r="SR5" s="5">
        <f t="shared" ca="1" si="7"/>
        <v>9999</v>
      </c>
      <c r="SS5" s="5">
        <f t="shared" ca="1" si="7"/>
        <v>9999</v>
      </c>
      <c r="ST5" s="5">
        <f t="shared" ca="1" si="7"/>
        <v>9999</v>
      </c>
      <c r="SU5" s="5">
        <f t="shared" ca="1" si="7"/>
        <v>9999</v>
      </c>
      <c r="SV5" s="5">
        <f t="shared" ca="1" si="7"/>
        <v>9999</v>
      </c>
      <c r="SW5" s="5">
        <f t="shared" ca="1" si="7"/>
        <v>9999</v>
      </c>
      <c r="SX5" s="5">
        <f t="shared" ca="1" si="7"/>
        <v>9999</v>
      </c>
      <c r="SY5" s="5">
        <f t="shared" ca="1" si="7"/>
        <v>9999</v>
      </c>
      <c r="SZ5" s="5">
        <f t="shared" ca="1" si="7"/>
        <v>9999</v>
      </c>
      <c r="TA5" s="5">
        <f t="shared" ref="TA5:TG5" ca="1" si="8">INDIRECT(CONCATENATE($A5,"!",LEFT(TA$2,1),MID(TA$2,2,256)+TA$1-1))</f>
        <v>9999</v>
      </c>
      <c r="TB5" s="5">
        <f t="shared" ca="1" si="8"/>
        <v>9999</v>
      </c>
      <c r="TC5" s="5">
        <f t="shared" ca="1" si="8"/>
        <v>9999</v>
      </c>
      <c r="TD5" s="5">
        <f t="shared" ca="1" si="8"/>
        <v>9999</v>
      </c>
      <c r="TE5" s="5">
        <f t="shared" ca="1" si="8"/>
        <v>9999</v>
      </c>
      <c r="TF5" s="5">
        <f t="shared" ca="1" si="8"/>
        <v>9999</v>
      </c>
      <c r="TG5" s="5">
        <f t="shared" ca="1" si="8"/>
        <v>9999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D34"/>
  <sheetViews>
    <sheetView zoomScale="80" zoomScaleNormal="80" workbookViewId="0">
      <pane xSplit="4" ySplit="7" topLeftCell="E8" activePane="bottomRight" state="frozen"/>
      <selection activeCell="H36" sqref="H36"/>
      <selection pane="topRight" activeCell="H36" sqref="H36"/>
      <selection pane="bottomLeft" activeCell="H36" sqref="H36"/>
      <selection pane="bottomRight" activeCell="A4" sqref="A4"/>
    </sheetView>
  </sheetViews>
  <sheetFormatPr defaultColWidth="9" defaultRowHeight="12.75" x14ac:dyDescent="0.2"/>
  <cols>
    <col min="1" max="1" width="9.28515625" customWidth="1"/>
    <col min="2" max="2" width="12.140625" bestFit="1" customWidth="1"/>
    <col min="3" max="3" width="11.28515625" customWidth="1"/>
    <col min="4" max="4" width="9.85546875" bestFit="1" customWidth="1"/>
    <col min="5" max="5" width="17.140625" bestFit="1" customWidth="1"/>
    <col min="6" max="6" width="20.28515625" bestFit="1" customWidth="1"/>
    <col min="7" max="7" width="13.7109375" bestFit="1" customWidth="1"/>
    <col min="8" max="8" width="17" bestFit="1" customWidth="1"/>
    <col min="9" max="9" width="16" bestFit="1" customWidth="1"/>
    <col min="10" max="10" width="19.28515625" bestFit="1" customWidth="1"/>
    <col min="11" max="11" width="23.42578125" bestFit="1" customWidth="1"/>
    <col min="12" max="12" width="26.42578125" bestFit="1" customWidth="1"/>
    <col min="13" max="13" width="15.5703125" bestFit="1" customWidth="1"/>
    <col min="14" max="14" width="18.7109375" bestFit="1" customWidth="1"/>
    <col min="15" max="15" width="17.28515625" bestFit="1" customWidth="1"/>
    <col min="16" max="16" width="20.5703125" bestFit="1" customWidth="1"/>
    <col min="17" max="17" width="13.85546875" bestFit="1" customWidth="1"/>
    <col min="18" max="18" width="17.140625" bestFit="1" customWidth="1"/>
    <col min="19" max="19" width="16.28515625" bestFit="1" customWidth="1"/>
    <col min="20" max="20" width="19.42578125" bestFit="1" customWidth="1"/>
    <col min="21" max="21" width="22.85546875" bestFit="1" customWidth="1"/>
    <col min="22" max="22" width="26.5703125" bestFit="1" customWidth="1"/>
    <col min="23" max="23" width="15.7109375" bestFit="1" customWidth="1"/>
    <col min="24" max="24" width="18.85546875" bestFit="1" customWidth="1"/>
    <col min="25" max="25" width="16.5703125" bestFit="1" customWidth="1"/>
    <col min="26" max="26" width="19.85546875" bestFit="1" customWidth="1"/>
    <col min="27" max="27" width="13.140625" bestFit="1" customWidth="1"/>
    <col min="28" max="28" width="16.42578125" bestFit="1" customWidth="1"/>
    <col min="29" max="29" width="15.7109375" bestFit="1" customWidth="1"/>
    <col min="30" max="30" width="16.5703125" bestFit="1" customWidth="1"/>
    <col min="31" max="31" width="17.140625" bestFit="1" customWidth="1"/>
    <col min="32" max="32" width="20.28515625" bestFit="1" customWidth="1"/>
    <col min="33" max="33" width="13.7109375" bestFit="1" customWidth="1"/>
    <col min="34" max="34" width="17" bestFit="1" customWidth="1"/>
    <col min="35" max="35" width="16" bestFit="1" customWidth="1"/>
    <col min="36" max="36" width="19.28515625" bestFit="1" customWidth="1"/>
    <col min="37" max="37" width="23.42578125" bestFit="1" customWidth="1"/>
    <col min="38" max="38" width="26.42578125" bestFit="1" customWidth="1"/>
    <col min="39" max="39" width="15.5703125" bestFit="1" customWidth="1"/>
    <col min="40" max="40" width="18.7109375" bestFit="1" customWidth="1"/>
    <col min="41" max="41" width="17.28515625" bestFit="1" customWidth="1"/>
    <col min="42" max="42" width="20.5703125" bestFit="1" customWidth="1"/>
    <col min="43" max="43" width="13.85546875" bestFit="1" customWidth="1"/>
    <col min="44" max="44" width="17.140625" bestFit="1" customWidth="1"/>
    <col min="45" max="45" width="16.28515625" bestFit="1" customWidth="1"/>
    <col min="46" max="46" width="19.42578125" bestFit="1" customWidth="1"/>
    <col min="47" max="47" width="22.85546875" bestFit="1" customWidth="1"/>
    <col min="48" max="48" width="26.5703125" bestFit="1" customWidth="1"/>
    <col min="49" max="49" width="15.7109375" bestFit="1" customWidth="1"/>
    <col min="50" max="50" width="18.85546875" bestFit="1" customWidth="1"/>
    <col min="51" max="51" width="16.5703125" bestFit="1" customWidth="1"/>
    <col min="52" max="52" width="19.85546875" bestFit="1" customWidth="1"/>
    <col min="53" max="53" width="13.140625" customWidth="1"/>
    <col min="54" max="54" width="16.42578125" bestFit="1" customWidth="1"/>
    <col min="55" max="55" width="15.7109375" bestFit="1" customWidth="1"/>
    <col min="56" max="56" width="16.5703125" bestFit="1" customWidth="1"/>
  </cols>
  <sheetData>
    <row r="1" spans="1:56" s="31" customFormat="1" hidden="1" x14ac:dyDescent="0.2"/>
    <row r="2" spans="1:56" s="41" customFormat="1" hidden="1" x14ac:dyDescent="0.2">
      <c r="A2" s="41" t="s">
        <v>78</v>
      </c>
    </row>
    <row r="3" spans="1:56" s="41" customFormat="1" hidden="1" x14ac:dyDescent="0.2"/>
    <row r="4" spans="1:56" s="41" customFormat="1" x14ac:dyDescent="0.2">
      <c r="A4" s="7" t="s">
        <v>1389</v>
      </c>
      <c r="B4" s="7"/>
      <c r="C4" s="7"/>
    </row>
    <row r="5" spans="1:56" s="41" customFormat="1" x14ac:dyDescent="0.2">
      <c r="A5" s="33" t="s">
        <v>1363</v>
      </c>
      <c r="B5" s="33"/>
      <c r="C5" s="33"/>
      <c r="E5" s="33" t="s">
        <v>1355</v>
      </c>
      <c r="F5" s="33"/>
      <c r="AE5" s="33" t="s">
        <v>1359</v>
      </c>
      <c r="AF5" s="33"/>
    </row>
    <row r="6" spans="1:56" s="41" customFormat="1" x14ac:dyDescent="0.2"/>
    <row r="7" spans="1:56" s="40" customFormat="1" ht="55.5" customHeight="1" x14ac:dyDescent="0.2">
      <c r="A7" s="45" t="s">
        <v>45</v>
      </c>
      <c r="B7" s="65" t="s">
        <v>1360</v>
      </c>
      <c r="C7" s="65" t="s">
        <v>1362</v>
      </c>
      <c r="D7" s="65" t="s">
        <v>1357</v>
      </c>
      <c r="E7" s="68" t="s">
        <v>1343</v>
      </c>
      <c r="F7" s="68" t="s">
        <v>1383</v>
      </c>
      <c r="G7" s="69" t="s">
        <v>1345</v>
      </c>
      <c r="H7" s="69" t="s">
        <v>1384</v>
      </c>
      <c r="I7" s="69" t="s">
        <v>1346</v>
      </c>
      <c r="J7" s="69" t="s">
        <v>1386</v>
      </c>
      <c r="K7" s="69" t="s">
        <v>1347</v>
      </c>
      <c r="L7" s="69" t="s">
        <v>1387</v>
      </c>
      <c r="M7" s="69" t="s">
        <v>1380</v>
      </c>
      <c r="N7" s="69" t="s">
        <v>1388</v>
      </c>
      <c r="O7" s="68" t="s">
        <v>1344</v>
      </c>
      <c r="P7" s="68" t="s">
        <v>1390</v>
      </c>
      <c r="Q7" s="69" t="s">
        <v>1348</v>
      </c>
      <c r="R7" s="69" t="s">
        <v>1391</v>
      </c>
      <c r="S7" s="69" t="s">
        <v>1349</v>
      </c>
      <c r="T7" s="69" t="s">
        <v>1392</v>
      </c>
      <c r="U7" s="69" t="s">
        <v>1364</v>
      </c>
      <c r="V7" s="69" t="s">
        <v>1393</v>
      </c>
      <c r="W7" s="69" t="s">
        <v>1381</v>
      </c>
      <c r="X7" s="69" t="s">
        <v>1394</v>
      </c>
      <c r="Y7" s="69" t="s">
        <v>1350</v>
      </c>
      <c r="Z7" s="69" t="s">
        <v>1395</v>
      </c>
      <c r="AA7" s="69" t="s">
        <v>1351</v>
      </c>
      <c r="AB7" s="69" t="s">
        <v>1396</v>
      </c>
      <c r="AC7" s="69" t="s">
        <v>1352</v>
      </c>
      <c r="AD7" s="69" t="s">
        <v>1353</v>
      </c>
      <c r="AE7" s="70" t="s">
        <v>1343</v>
      </c>
      <c r="AF7" s="70" t="s">
        <v>1383</v>
      </c>
      <c r="AG7" s="71" t="s">
        <v>1345</v>
      </c>
      <c r="AH7" s="71" t="s">
        <v>1384</v>
      </c>
      <c r="AI7" s="71" t="s">
        <v>1346</v>
      </c>
      <c r="AJ7" s="71" t="s">
        <v>1386</v>
      </c>
      <c r="AK7" s="71" t="s">
        <v>1347</v>
      </c>
      <c r="AL7" s="71" t="s">
        <v>1387</v>
      </c>
      <c r="AM7" s="71" t="s">
        <v>1380</v>
      </c>
      <c r="AN7" s="71" t="s">
        <v>1388</v>
      </c>
      <c r="AO7" s="70" t="s">
        <v>1344</v>
      </c>
      <c r="AP7" s="70" t="s">
        <v>1390</v>
      </c>
      <c r="AQ7" s="71" t="s">
        <v>1348</v>
      </c>
      <c r="AR7" s="71" t="s">
        <v>1391</v>
      </c>
      <c r="AS7" s="71" t="s">
        <v>1349</v>
      </c>
      <c r="AT7" s="71" t="s">
        <v>1392</v>
      </c>
      <c r="AU7" s="71" t="s">
        <v>1364</v>
      </c>
      <c r="AV7" s="71" t="s">
        <v>1393</v>
      </c>
      <c r="AW7" s="71" t="s">
        <v>1381</v>
      </c>
      <c r="AX7" s="71" t="s">
        <v>1394</v>
      </c>
      <c r="AY7" s="71" t="s">
        <v>1350</v>
      </c>
      <c r="AZ7" s="71" t="s">
        <v>1395</v>
      </c>
      <c r="BA7" s="71" t="s">
        <v>1351</v>
      </c>
      <c r="BB7" s="71" t="s">
        <v>1396</v>
      </c>
      <c r="BC7" s="71" t="s">
        <v>1352</v>
      </c>
      <c r="BD7" s="71" t="s">
        <v>1353</v>
      </c>
    </row>
    <row r="8" spans="1:56" x14ac:dyDescent="0.2">
      <c r="A8" s="5">
        <f>IF(Barefoot!G2="",9999,Barefoot!G2)</f>
        <v>9999</v>
      </c>
      <c r="B8" s="5">
        <f>IF(Barefoot!P2="",9999,Barefoot!P2)</f>
        <v>9999</v>
      </c>
      <c r="C8" s="5">
        <f>IF(Barefoot!I2="",9999,TEXT(Barefoot!I2,"dd.mm.yyyy"))</f>
        <v>9999</v>
      </c>
      <c r="D8" s="5">
        <f>IF(Barefoot!N2="",9999,Barefoot!N2)</f>
        <v>9999</v>
      </c>
      <c r="E8">
        <f>Barefoot!A155</f>
        <v>9999</v>
      </c>
      <c r="F8">
        <f>Barefoot!A159</f>
        <v>9999</v>
      </c>
      <c r="G8">
        <f>Barefoot!B155</f>
        <v>9999</v>
      </c>
      <c r="H8">
        <f>Barefoot!B159</f>
        <v>9999</v>
      </c>
      <c r="I8">
        <f>Barefoot!C155</f>
        <v>9999</v>
      </c>
      <c r="J8">
        <f>Barefoot!C159</f>
        <v>9999</v>
      </c>
      <c r="K8">
        <f>Barefoot!D155</f>
        <v>9999</v>
      </c>
      <c r="L8">
        <f>Barefoot!D159</f>
        <v>9999</v>
      </c>
      <c r="M8">
        <f>Barefoot!N155</f>
        <v>9999</v>
      </c>
      <c r="N8">
        <f>Barefoot!N159</f>
        <v>9999</v>
      </c>
      <c r="O8">
        <f>Barefoot!E155</f>
        <v>9999</v>
      </c>
      <c r="P8">
        <f>Barefoot!E159</f>
        <v>9999</v>
      </c>
      <c r="Q8">
        <f>Barefoot!F155</f>
        <v>9999</v>
      </c>
      <c r="R8">
        <f>Barefoot!F159</f>
        <v>9999</v>
      </c>
      <c r="S8">
        <f>Barefoot!G155</f>
        <v>9999</v>
      </c>
      <c r="T8">
        <f>Barefoot!G159</f>
        <v>9999</v>
      </c>
      <c r="U8">
        <f>Barefoot!H155</f>
        <v>9999</v>
      </c>
      <c r="V8">
        <f>Barefoot!H159</f>
        <v>9999</v>
      </c>
      <c r="W8">
        <f>Barefoot!O155</f>
        <v>9999</v>
      </c>
      <c r="X8">
        <f>Barefoot!O159</f>
        <v>9999</v>
      </c>
      <c r="Y8">
        <f>Barefoot!I155</f>
        <v>9999</v>
      </c>
      <c r="Z8">
        <f>Barefoot!I159</f>
        <v>9999</v>
      </c>
      <c r="AA8">
        <f>Barefoot!J155</f>
        <v>9999</v>
      </c>
      <c r="AB8">
        <f>Barefoot!J159</f>
        <v>9999</v>
      </c>
      <c r="AC8">
        <f>Barefoot!L155</f>
        <v>9999</v>
      </c>
      <c r="AD8">
        <f>Barefoot!M155</f>
        <v>9999</v>
      </c>
      <c r="AE8">
        <f>Shod!A155</f>
        <v>9999</v>
      </c>
      <c r="AF8">
        <f>Shod!A159</f>
        <v>9999</v>
      </c>
      <c r="AG8">
        <f>Shod!B155</f>
        <v>9999</v>
      </c>
      <c r="AH8">
        <f>Shod!B159</f>
        <v>9999</v>
      </c>
      <c r="AI8">
        <f>Shod!C155</f>
        <v>9999</v>
      </c>
      <c r="AJ8">
        <f>Shod!C159</f>
        <v>9999</v>
      </c>
      <c r="AK8">
        <f>Shod!D155</f>
        <v>9999</v>
      </c>
      <c r="AL8">
        <f>Shod!D159</f>
        <v>9999</v>
      </c>
      <c r="AM8">
        <f>Shod!N155</f>
        <v>9999</v>
      </c>
      <c r="AN8">
        <f>Shod!N159</f>
        <v>9999</v>
      </c>
      <c r="AO8">
        <f>Shod!E155</f>
        <v>9999</v>
      </c>
      <c r="AP8">
        <f>Shod!E159</f>
        <v>9999</v>
      </c>
      <c r="AQ8">
        <f>Shod!F155</f>
        <v>9999</v>
      </c>
      <c r="AR8">
        <f>Shod!F159</f>
        <v>9999</v>
      </c>
      <c r="AS8">
        <f>Shod!G155</f>
        <v>9999</v>
      </c>
      <c r="AT8">
        <f>Shod!G159</f>
        <v>9999</v>
      </c>
      <c r="AU8">
        <f>Shod!H155</f>
        <v>9999</v>
      </c>
      <c r="AV8">
        <f>Shod!H159</f>
        <v>9999</v>
      </c>
      <c r="AW8">
        <f>Shod!O155</f>
        <v>9999</v>
      </c>
      <c r="AX8">
        <f>Shod!O159</f>
        <v>9999</v>
      </c>
      <c r="AY8">
        <f>Shod!I155</f>
        <v>9999</v>
      </c>
      <c r="AZ8">
        <f>Shod!I159</f>
        <v>9999</v>
      </c>
      <c r="BA8">
        <f>Shod!J155</f>
        <v>9999</v>
      </c>
      <c r="BB8">
        <f>Shod!J159</f>
        <v>9999</v>
      </c>
      <c r="BC8">
        <f>Shod!L155</f>
        <v>9999</v>
      </c>
      <c r="BD8">
        <f>Shod!M155</f>
        <v>9999</v>
      </c>
    </row>
    <row r="34" spans="5:6" x14ac:dyDescent="0.2">
      <c r="E34" s="33" t="s">
        <v>1361</v>
      </c>
      <c r="F34" s="3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R520"/>
  <sheetViews>
    <sheetView topLeftCell="E488" workbookViewId="0">
      <selection activeCell="R461" sqref="R461:R520"/>
    </sheetView>
  </sheetViews>
  <sheetFormatPr defaultRowHeight="12.75" x14ac:dyDescent="0.2"/>
  <cols>
    <col min="1" max="1" width="5.28515625" bestFit="1" customWidth="1"/>
    <col min="2" max="2" width="5.85546875" bestFit="1" customWidth="1"/>
    <col min="3" max="3" width="2" bestFit="1" customWidth="1"/>
    <col min="4" max="4" width="13.28515625" bestFit="1" customWidth="1"/>
    <col min="5" max="5" width="9.42578125" bestFit="1" customWidth="1"/>
    <col min="6" max="6" width="2" bestFit="1" customWidth="1"/>
    <col min="7" max="7" width="3" bestFit="1" customWidth="1"/>
    <col min="9" max="9" width="32.5703125" bestFit="1" customWidth="1"/>
    <col min="11" max="11" width="32.5703125" bestFit="1" customWidth="1"/>
    <col min="13" max="13" width="2.42578125" bestFit="1" customWidth="1"/>
    <col min="14" max="14" width="4" bestFit="1" customWidth="1"/>
  </cols>
  <sheetData>
    <row r="1" spans="1:18" x14ac:dyDescent="0.2">
      <c r="A1" s="33" t="s">
        <v>48</v>
      </c>
      <c r="B1" t="s">
        <v>82</v>
      </c>
      <c r="C1">
        <v>1</v>
      </c>
      <c r="D1" t="s">
        <v>80</v>
      </c>
      <c r="E1" t="s">
        <v>81</v>
      </c>
      <c r="F1" t="s">
        <v>89</v>
      </c>
      <c r="G1">
        <v>1</v>
      </c>
      <c r="I1" t="str">
        <f>A1&amp;B1&amp;C1&amp;D1&amp;E1&amp;F1&amp;G1</f>
        <v>CoStep1StepLengthSwingsideT1</v>
      </c>
      <c r="K1" t="s">
        <v>96</v>
      </c>
      <c r="M1" s="33" t="s">
        <v>90</v>
      </c>
      <c r="N1">
        <v>30</v>
      </c>
      <c r="P1" t="str">
        <f>M1&amp;N1</f>
        <v>B30</v>
      </c>
      <c r="R1" t="s">
        <v>52</v>
      </c>
    </row>
    <row r="2" spans="1:18" x14ac:dyDescent="0.2">
      <c r="A2" s="33" t="s">
        <v>48</v>
      </c>
      <c r="B2" t="s">
        <v>82</v>
      </c>
      <c r="C2">
        <v>1</v>
      </c>
      <c r="D2" t="s">
        <v>80</v>
      </c>
      <c r="E2" t="s">
        <v>4</v>
      </c>
      <c r="F2" t="s">
        <v>89</v>
      </c>
      <c r="G2">
        <v>1</v>
      </c>
      <c r="I2" t="str">
        <f t="shared" ref="I2:I23" si="0">A2&amp;B2&amp;C2&amp;D2&amp;E2&amp;F2&amp;G2</f>
        <v>CoStep1StepLengthDistanceT1</v>
      </c>
      <c r="K2" t="s">
        <v>97</v>
      </c>
      <c r="M2" s="33" t="s">
        <v>91</v>
      </c>
      <c r="N2">
        <v>30</v>
      </c>
      <c r="P2" t="str">
        <f t="shared" ref="P2:P65" si="1">M2&amp;N2</f>
        <v>E30</v>
      </c>
      <c r="R2" t="s">
        <v>53</v>
      </c>
    </row>
    <row r="3" spans="1:18" x14ac:dyDescent="0.2">
      <c r="A3" s="33" t="s">
        <v>48</v>
      </c>
      <c r="B3" t="s">
        <v>82</v>
      </c>
      <c r="C3">
        <v>1</v>
      </c>
      <c r="D3" t="s">
        <v>82</v>
      </c>
      <c r="E3" t="s">
        <v>5</v>
      </c>
      <c r="F3" t="s">
        <v>89</v>
      </c>
      <c r="G3">
        <v>1</v>
      </c>
      <c r="I3" t="str">
        <f t="shared" si="0"/>
        <v>CoStep1StepTimeT1</v>
      </c>
      <c r="K3" t="s">
        <v>98</v>
      </c>
      <c r="M3" s="33" t="s">
        <v>92</v>
      </c>
      <c r="N3">
        <v>30</v>
      </c>
      <c r="P3" t="str">
        <f t="shared" si="1"/>
        <v>J30</v>
      </c>
      <c r="R3" t="s">
        <v>54</v>
      </c>
    </row>
    <row r="4" spans="1:18" x14ac:dyDescent="0.2">
      <c r="A4" s="33" t="s">
        <v>48</v>
      </c>
      <c r="B4" t="s">
        <v>82</v>
      </c>
      <c r="C4">
        <v>1</v>
      </c>
      <c r="D4" t="s">
        <v>83</v>
      </c>
      <c r="E4" t="s">
        <v>5</v>
      </c>
      <c r="F4" t="s">
        <v>89</v>
      </c>
      <c r="G4">
        <v>1</v>
      </c>
      <c r="I4" t="str">
        <f t="shared" si="0"/>
        <v>CoStep1DoubleSupportTimeT1</v>
      </c>
      <c r="K4" t="s">
        <v>99</v>
      </c>
      <c r="M4" s="33" t="s">
        <v>93</v>
      </c>
      <c r="N4">
        <v>30</v>
      </c>
      <c r="P4" t="str">
        <f t="shared" si="1"/>
        <v>O30</v>
      </c>
      <c r="R4" t="s">
        <v>55</v>
      </c>
    </row>
    <row r="5" spans="1:18" x14ac:dyDescent="0.2">
      <c r="A5" s="33" t="s">
        <v>48</v>
      </c>
      <c r="B5" t="s">
        <v>82</v>
      </c>
      <c r="C5">
        <v>1</v>
      </c>
      <c r="D5" t="s">
        <v>84</v>
      </c>
      <c r="E5" t="s">
        <v>5</v>
      </c>
      <c r="F5" t="s">
        <v>89</v>
      </c>
      <c r="G5">
        <v>1</v>
      </c>
      <c r="I5" t="str">
        <f t="shared" si="0"/>
        <v>CoStep1StanceTimeT1</v>
      </c>
      <c r="K5" t="s">
        <v>100</v>
      </c>
      <c r="M5" s="33" t="s">
        <v>89</v>
      </c>
      <c r="N5">
        <v>30</v>
      </c>
      <c r="P5" t="str">
        <f t="shared" si="1"/>
        <v>T30</v>
      </c>
      <c r="R5" t="s">
        <v>79</v>
      </c>
    </row>
    <row r="6" spans="1:18" x14ac:dyDescent="0.2">
      <c r="A6" s="33" t="s">
        <v>48</v>
      </c>
      <c r="B6" t="s">
        <v>82</v>
      </c>
      <c r="C6">
        <v>2</v>
      </c>
      <c r="D6" t="s">
        <v>80</v>
      </c>
      <c r="E6" t="s">
        <v>81</v>
      </c>
      <c r="F6" t="s">
        <v>89</v>
      </c>
      <c r="G6">
        <v>1</v>
      </c>
      <c r="I6" t="str">
        <f t="shared" si="0"/>
        <v>CoStep2StepLengthSwingsideT1</v>
      </c>
      <c r="K6" t="s">
        <v>101</v>
      </c>
      <c r="M6" s="33" t="s">
        <v>90</v>
      </c>
      <c r="N6">
        <v>55</v>
      </c>
      <c r="P6" t="str">
        <f t="shared" si="1"/>
        <v>B55</v>
      </c>
      <c r="R6" t="s">
        <v>56</v>
      </c>
    </row>
    <row r="7" spans="1:18" x14ac:dyDescent="0.2">
      <c r="A7" s="33" t="s">
        <v>48</v>
      </c>
      <c r="B7" t="s">
        <v>82</v>
      </c>
      <c r="C7">
        <v>2</v>
      </c>
      <c r="D7" t="s">
        <v>80</v>
      </c>
      <c r="E7" t="s">
        <v>4</v>
      </c>
      <c r="F7" t="s">
        <v>89</v>
      </c>
      <c r="G7">
        <v>1</v>
      </c>
      <c r="I7" t="str">
        <f t="shared" si="0"/>
        <v>CoStep2StepLengthDistanceT1</v>
      </c>
      <c r="K7" t="s">
        <v>102</v>
      </c>
      <c r="M7" s="33" t="s">
        <v>91</v>
      </c>
      <c r="N7">
        <v>55</v>
      </c>
      <c r="P7" t="str">
        <f t="shared" si="1"/>
        <v>E55</v>
      </c>
      <c r="R7" t="s">
        <v>57</v>
      </c>
    </row>
    <row r="8" spans="1:18" x14ac:dyDescent="0.2">
      <c r="A8" s="33" t="s">
        <v>48</v>
      </c>
      <c r="B8" t="s">
        <v>82</v>
      </c>
      <c r="C8">
        <v>2</v>
      </c>
      <c r="D8" t="s">
        <v>82</v>
      </c>
      <c r="E8" t="s">
        <v>5</v>
      </c>
      <c r="F8" t="s">
        <v>89</v>
      </c>
      <c r="G8">
        <v>1</v>
      </c>
      <c r="I8" t="str">
        <f t="shared" si="0"/>
        <v>CoStep2StepTimeT1</v>
      </c>
      <c r="K8" t="s">
        <v>103</v>
      </c>
      <c r="M8" s="33" t="s">
        <v>92</v>
      </c>
      <c r="N8">
        <v>55</v>
      </c>
      <c r="P8" t="str">
        <f t="shared" si="1"/>
        <v>J55</v>
      </c>
      <c r="R8" t="s">
        <v>58</v>
      </c>
    </row>
    <row r="9" spans="1:18" x14ac:dyDescent="0.2">
      <c r="A9" s="33" t="s">
        <v>48</v>
      </c>
      <c r="B9" t="s">
        <v>82</v>
      </c>
      <c r="C9">
        <v>2</v>
      </c>
      <c r="D9" t="s">
        <v>83</v>
      </c>
      <c r="E9" t="s">
        <v>5</v>
      </c>
      <c r="F9" t="s">
        <v>89</v>
      </c>
      <c r="G9">
        <v>1</v>
      </c>
      <c r="I9" t="str">
        <f t="shared" si="0"/>
        <v>CoStep2DoubleSupportTimeT1</v>
      </c>
      <c r="K9" t="s">
        <v>104</v>
      </c>
      <c r="M9" s="33" t="s">
        <v>93</v>
      </c>
      <c r="N9">
        <v>55</v>
      </c>
      <c r="P9" t="str">
        <f t="shared" si="1"/>
        <v>O55</v>
      </c>
      <c r="R9" t="s">
        <v>59</v>
      </c>
    </row>
    <row r="10" spans="1:18" x14ac:dyDescent="0.2">
      <c r="A10" s="33" t="s">
        <v>48</v>
      </c>
      <c r="B10" t="s">
        <v>82</v>
      </c>
      <c r="C10">
        <v>2</v>
      </c>
      <c r="D10" t="s">
        <v>84</v>
      </c>
      <c r="E10" t="s">
        <v>5</v>
      </c>
      <c r="F10" t="s">
        <v>89</v>
      </c>
      <c r="G10">
        <v>1</v>
      </c>
      <c r="I10" t="str">
        <f t="shared" si="0"/>
        <v>CoStep2StanceTimeT1</v>
      </c>
      <c r="K10" t="s">
        <v>105</v>
      </c>
      <c r="M10" s="33" t="s">
        <v>89</v>
      </c>
      <c r="N10">
        <v>55</v>
      </c>
      <c r="P10" t="str">
        <f t="shared" si="1"/>
        <v>T55</v>
      </c>
      <c r="R10" t="s">
        <v>94</v>
      </c>
    </row>
    <row r="11" spans="1:18" x14ac:dyDescent="0.2">
      <c r="A11" s="33" t="s">
        <v>48</v>
      </c>
      <c r="B11" t="s">
        <v>82</v>
      </c>
      <c r="C11">
        <v>3</v>
      </c>
      <c r="D11" t="s">
        <v>80</v>
      </c>
      <c r="E11" t="s">
        <v>81</v>
      </c>
      <c r="F11" t="s">
        <v>89</v>
      </c>
      <c r="G11">
        <v>1</v>
      </c>
      <c r="I11" t="str">
        <f t="shared" si="0"/>
        <v>CoStep3StepLengthSwingsideT1</v>
      </c>
      <c r="K11" t="s">
        <v>106</v>
      </c>
      <c r="M11" s="33" t="s">
        <v>90</v>
      </c>
      <c r="N11">
        <v>80</v>
      </c>
      <c r="P11" t="str">
        <f t="shared" si="1"/>
        <v>B80</v>
      </c>
      <c r="R11" t="s">
        <v>60</v>
      </c>
    </row>
    <row r="12" spans="1:18" x14ac:dyDescent="0.2">
      <c r="A12" s="33" t="s">
        <v>48</v>
      </c>
      <c r="B12" t="s">
        <v>82</v>
      </c>
      <c r="C12">
        <v>3</v>
      </c>
      <c r="D12" t="s">
        <v>80</v>
      </c>
      <c r="E12" t="s">
        <v>4</v>
      </c>
      <c r="F12" t="s">
        <v>89</v>
      </c>
      <c r="G12">
        <v>1</v>
      </c>
      <c r="I12" t="str">
        <f t="shared" si="0"/>
        <v>CoStep3StepLengthDistanceT1</v>
      </c>
      <c r="K12" t="s">
        <v>107</v>
      </c>
      <c r="M12" s="33" t="s">
        <v>91</v>
      </c>
      <c r="N12">
        <v>80</v>
      </c>
      <c r="P12" t="str">
        <f t="shared" si="1"/>
        <v>E80</v>
      </c>
      <c r="R12" t="s">
        <v>61</v>
      </c>
    </row>
    <row r="13" spans="1:18" x14ac:dyDescent="0.2">
      <c r="A13" s="33" t="s">
        <v>48</v>
      </c>
      <c r="B13" t="s">
        <v>82</v>
      </c>
      <c r="C13">
        <v>3</v>
      </c>
      <c r="D13" t="s">
        <v>82</v>
      </c>
      <c r="E13" t="s">
        <v>5</v>
      </c>
      <c r="F13" t="s">
        <v>89</v>
      </c>
      <c r="G13">
        <v>1</v>
      </c>
      <c r="I13" t="str">
        <f t="shared" si="0"/>
        <v>CoStep3StepTimeT1</v>
      </c>
      <c r="K13" t="s">
        <v>108</v>
      </c>
      <c r="M13" s="33" t="s">
        <v>92</v>
      </c>
      <c r="N13">
        <v>80</v>
      </c>
      <c r="P13" t="str">
        <f t="shared" si="1"/>
        <v>J80</v>
      </c>
      <c r="R13" t="s">
        <v>62</v>
      </c>
    </row>
    <row r="14" spans="1:18" x14ac:dyDescent="0.2">
      <c r="A14" s="33" t="s">
        <v>48</v>
      </c>
      <c r="B14" t="s">
        <v>82</v>
      </c>
      <c r="C14">
        <v>3</v>
      </c>
      <c r="D14" t="s">
        <v>83</v>
      </c>
      <c r="E14" t="s">
        <v>5</v>
      </c>
      <c r="F14" t="s">
        <v>89</v>
      </c>
      <c r="G14">
        <v>1</v>
      </c>
      <c r="I14" t="str">
        <f t="shared" si="0"/>
        <v>CoStep3DoubleSupportTimeT1</v>
      </c>
      <c r="K14" t="s">
        <v>109</v>
      </c>
      <c r="M14" s="33" t="s">
        <v>93</v>
      </c>
      <c r="N14">
        <v>80</v>
      </c>
      <c r="P14" t="str">
        <f t="shared" si="1"/>
        <v>O80</v>
      </c>
      <c r="R14" t="s">
        <v>63</v>
      </c>
    </row>
    <row r="15" spans="1:18" x14ac:dyDescent="0.2">
      <c r="A15" s="33" t="s">
        <v>48</v>
      </c>
      <c r="B15" t="s">
        <v>82</v>
      </c>
      <c r="C15">
        <v>3</v>
      </c>
      <c r="D15" t="s">
        <v>84</v>
      </c>
      <c r="E15" t="s">
        <v>5</v>
      </c>
      <c r="F15" t="s">
        <v>89</v>
      </c>
      <c r="G15">
        <v>1</v>
      </c>
      <c r="I15" t="str">
        <f t="shared" si="0"/>
        <v>CoStep3StanceTimeT1</v>
      </c>
      <c r="K15" t="s">
        <v>110</v>
      </c>
      <c r="M15" s="33" t="s">
        <v>89</v>
      </c>
      <c r="N15">
        <v>80</v>
      </c>
      <c r="P15" t="str">
        <f t="shared" si="1"/>
        <v>T80</v>
      </c>
      <c r="R15" t="s">
        <v>95</v>
      </c>
    </row>
    <row r="16" spans="1:18" x14ac:dyDescent="0.2">
      <c r="A16" s="33" t="s">
        <v>48</v>
      </c>
      <c r="B16" t="s">
        <v>85</v>
      </c>
      <c r="C16">
        <v>1</v>
      </c>
      <c r="D16" t="s">
        <v>86</v>
      </c>
      <c r="E16" t="s">
        <v>87</v>
      </c>
      <c r="F16" t="s">
        <v>89</v>
      </c>
      <c r="G16">
        <v>1</v>
      </c>
      <c r="I16" t="str">
        <f t="shared" si="0"/>
        <v>CoStride1StrideLengthSide0%T1</v>
      </c>
      <c r="K16" t="s">
        <v>111</v>
      </c>
      <c r="M16" s="33" t="s">
        <v>90</v>
      </c>
      <c r="N16">
        <v>105</v>
      </c>
      <c r="P16" t="str">
        <f t="shared" si="1"/>
        <v>B105</v>
      </c>
      <c r="R16" t="s">
        <v>64</v>
      </c>
    </row>
    <row r="17" spans="1:18" x14ac:dyDescent="0.2">
      <c r="A17" s="33" t="s">
        <v>48</v>
      </c>
      <c r="B17" t="s">
        <v>85</v>
      </c>
      <c r="C17">
        <v>1</v>
      </c>
      <c r="D17" t="s">
        <v>86</v>
      </c>
      <c r="E17" t="s">
        <v>4</v>
      </c>
      <c r="F17" t="s">
        <v>89</v>
      </c>
      <c r="G17">
        <v>1</v>
      </c>
      <c r="I17" t="str">
        <f t="shared" si="0"/>
        <v>CoStride1StrideLengthDistanceT1</v>
      </c>
      <c r="K17" t="s">
        <v>112</v>
      </c>
      <c r="M17" s="33" t="s">
        <v>91</v>
      </c>
      <c r="N17">
        <v>105</v>
      </c>
      <c r="P17" t="str">
        <f t="shared" si="1"/>
        <v>E105</v>
      </c>
      <c r="R17" t="s">
        <v>65</v>
      </c>
    </row>
    <row r="18" spans="1:18" x14ac:dyDescent="0.2">
      <c r="A18" s="33" t="s">
        <v>48</v>
      </c>
      <c r="B18" t="s">
        <v>85</v>
      </c>
      <c r="C18">
        <v>1</v>
      </c>
      <c r="D18" t="s">
        <v>85</v>
      </c>
      <c r="E18" t="s">
        <v>5</v>
      </c>
      <c r="F18" t="s">
        <v>89</v>
      </c>
      <c r="G18">
        <v>1</v>
      </c>
      <c r="I18" t="str">
        <f t="shared" si="0"/>
        <v>CoStride1StrideTimeT1</v>
      </c>
      <c r="K18" t="s">
        <v>113</v>
      </c>
      <c r="M18" s="33" t="s">
        <v>92</v>
      </c>
      <c r="N18">
        <v>105</v>
      </c>
      <c r="P18" t="str">
        <f t="shared" si="1"/>
        <v>J105</v>
      </c>
      <c r="R18" t="s">
        <v>66</v>
      </c>
    </row>
    <row r="19" spans="1:18" x14ac:dyDescent="0.2">
      <c r="A19" s="33" t="s">
        <v>48</v>
      </c>
      <c r="B19" t="s">
        <v>85</v>
      </c>
      <c r="C19">
        <v>1</v>
      </c>
      <c r="D19" t="s">
        <v>88</v>
      </c>
      <c r="E19" t="s">
        <v>5</v>
      </c>
      <c r="F19" t="s">
        <v>89</v>
      </c>
      <c r="G19">
        <v>1</v>
      </c>
      <c r="I19" t="str">
        <f t="shared" si="0"/>
        <v>CoStride1SwingTimeT1</v>
      </c>
      <c r="K19" t="s">
        <v>114</v>
      </c>
      <c r="M19" s="33" t="s">
        <v>93</v>
      </c>
      <c r="N19">
        <v>105</v>
      </c>
      <c r="P19" t="str">
        <f t="shared" si="1"/>
        <v>O105</v>
      </c>
      <c r="R19" t="s">
        <v>67</v>
      </c>
    </row>
    <row r="20" spans="1:18" x14ac:dyDescent="0.2">
      <c r="A20" s="33" t="s">
        <v>48</v>
      </c>
      <c r="B20" t="s">
        <v>85</v>
      </c>
      <c r="C20">
        <v>2</v>
      </c>
      <c r="D20" t="s">
        <v>86</v>
      </c>
      <c r="E20" t="s">
        <v>87</v>
      </c>
      <c r="F20" t="s">
        <v>89</v>
      </c>
      <c r="G20">
        <v>1</v>
      </c>
      <c r="I20" t="str">
        <f t="shared" si="0"/>
        <v>CoStride2StrideLengthSide0%T1</v>
      </c>
      <c r="K20" t="s">
        <v>115</v>
      </c>
      <c r="M20" s="33" t="s">
        <v>90</v>
      </c>
      <c r="N20">
        <v>130</v>
      </c>
      <c r="P20" t="str">
        <f t="shared" si="1"/>
        <v>B130</v>
      </c>
      <c r="R20" t="s">
        <v>68</v>
      </c>
    </row>
    <row r="21" spans="1:18" x14ac:dyDescent="0.2">
      <c r="A21" s="33" t="s">
        <v>48</v>
      </c>
      <c r="B21" t="s">
        <v>85</v>
      </c>
      <c r="C21">
        <v>2</v>
      </c>
      <c r="D21" t="s">
        <v>86</v>
      </c>
      <c r="E21" t="s">
        <v>4</v>
      </c>
      <c r="F21" t="s">
        <v>89</v>
      </c>
      <c r="G21">
        <v>1</v>
      </c>
      <c r="I21" t="str">
        <f t="shared" si="0"/>
        <v>CoStride2StrideLengthDistanceT1</v>
      </c>
      <c r="K21" t="s">
        <v>116</v>
      </c>
      <c r="M21" s="33" t="s">
        <v>91</v>
      </c>
      <c r="N21">
        <v>130</v>
      </c>
      <c r="P21" t="str">
        <f t="shared" si="1"/>
        <v>E130</v>
      </c>
      <c r="R21" t="s">
        <v>69</v>
      </c>
    </row>
    <row r="22" spans="1:18" x14ac:dyDescent="0.2">
      <c r="A22" s="33" t="s">
        <v>48</v>
      </c>
      <c r="B22" t="s">
        <v>85</v>
      </c>
      <c r="C22">
        <v>2</v>
      </c>
      <c r="D22" t="s">
        <v>85</v>
      </c>
      <c r="E22" t="s">
        <v>5</v>
      </c>
      <c r="F22" t="s">
        <v>89</v>
      </c>
      <c r="G22">
        <v>1</v>
      </c>
      <c r="I22" t="str">
        <f t="shared" si="0"/>
        <v>CoStride2StrideTimeT1</v>
      </c>
      <c r="K22" t="s">
        <v>117</v>
      </c>
      <c r="M22" s="33" t="s">
        <v>92</v>
      </c>
      <c r="N22">
        <v>130</v>
      </c>
      <c r="P22" t="str">
        <f t="shared" si="1"/>
        <v>J130</v>
      </c>
      <c r="R22" t="s">
        <v>70</v>
      </c>
    </row>
    <row r="23" spans="1:18" x14ac:dyDescent="0.2">
      <c r="A23" s="33" t="s">
        <v>48</v>
      </c>
      <c r="B23" t="s">
        <v>85</v>
      </c>
      <c r="C23">
        <v>2</v>
      </c>
      <c r="D23" t="s">
        <v>88</v>
      </c>
      <c r="E23" t="s">
        <v>5</v>
      </c>
      <c r="F23" t="s">
        <v>89</v>
      </c>
      <c r="G23">
        <v>1</v>
      </c>
      <c r="I23" t="str">
        <f t="shared" si="0"/>
        <v>CoStride2SwingTimeT1</v>
      </c>
      <c r="K23" t="s">
        <v>118</v>
      </c>
      <c r="M23" s="33" t="s">
        <v>93</v>
      </c>
      <c r="N23">
        <v>130</v>
      </c>
      <c r="P23" t="str">
        <f t="shared" si="1"/>
        <v>O130</v>
      </c>
      <c r="R23" t="s">
        <v>71</v>
      </c>
    </row>
    <row r="24" spans="1:18" x14ac:dyDescent="0.2">
      <c r="A24" s="33" t="s">
        <v>48</v>
      </c>
      <c r="B24" t="s">
        <v>82</v>
      </c>
      <c r="C24">
        <v>1</v>
      </c>
      <c r="D24" t="s">
        <v>80</v>
      </c>
      <c r="E24" t="s">
        <v>81</v>
      </c>
      <c r="F24" t="s">
        <v>89</v>
      </c>
      <c r="G24">
        <v>2</v>
      </c>
      <c r="I24" t="str">
        <f>A24&amp;B24&amp;C24&amp;D24&amp;E24&amp;F24&amp;G24</f>
        <v>CoStep1StepLengthSwingsideT2</v>
      </c>
      <c r="K24" t="s">
        <v>119</v>
      </c>
      <c r="M24" s="33" t="s">
        <v>90</v>
      </c>
      <c r="N24">
        <v>30</v>
      </c>
      <c r="P24" t="str">
        <f t="shared" si="1"/>
        <v>B30</v>
      </c>
      <c r="R24" t="s">
        <v>52</v>
      </c>
    </row>
    <row r="25" spans="1:18" x14ac:dyDescent="0.2">
      <c r="A25" s="33" t="s">
        <v>48</v>
      </c>
      <c r="B25" t="s">
        <v>82</v>
      </c>
      <c r="C25">
        <v>1</v>
      </c>
      <c r="D25" t="s">
        <v>80</v>
      </c>
      <c r="E25" t="s">
        <v>4</v>
      </c>
      <c r="F25" t="s">
        <v>89</v>
      </c>
      <c r="G25">
        <v>2</v>
      </c>
      <c r="I25" t="str">
        <f t="shared" ref="I25:I46" si="2">A25&amp;B25&amp;C25&amp;D25&amp;E25&amp;F25&amp;G25</f>
        <v>CoStep1StepLengthDistanceT2</v>
      </c>
      <c r="K25" t="s">
        <v>120</v>
      </c>
      <c r="M25" s="33" t="s">
        <v>91</v>
      </c>
      <c r="N25">
        <v>30</v>
      </c>
      <c r="P25" t="str">
        <f t="shared" si="1"/>
        <v>E30</v>
      </c>
      <c r="R25" t="s">
        <v>53</v>
      </c>
    </row>
    <row r="26" spans="1:18" x14ac:dyDescent="0.2">
      <c r="A26" s="33" t="s">
        <v>48</v>
      </c>
      <c r="B26" t="s">
        <v>82</v>
      </c>
      <c r="C26">
        <v>1</v>
      </c>
      <c r="D26" t="s">
        <v>82</v>
      </c>
      <c r="E26" t="s">
        <v>5</v>
      </c>
      <c r="F26" t="s">
        <v>89</v>
      </c>
      <c r="G26">
        <v>2</v>
      </c>
      <c r="I26" t="str">
        <f t="shared" si="2"/>
        <v>CoStep1StepTimeT2</v>
      </c>
      <c r="K26" t="s">
        <v>121</v>
      </c>
      <c r="M26" s="33" t="s">
        <v>92</v>
      </c>
      <c r="N26">
        <v>30</v>
      </c>
      <c r="P26" t="str">
        <f t="shared" si="1"/>
        <v>J30</v>
      </c>
      <c r="R26" t="s">
        <v>54</v>
      </c>
    </row>
    <row r="27" spans="1:18" x14ac:dyDescent="0.2">
      <c r="A27" s="33" t="s">
        <v>48</v>
      </c>
      <c r="B27" t="s">
        <v>82</v>
      </c>
      <c r="C27">
        <v>1</v>
      </c>
      <c r="D27" t="s">
        <v>83</v>
      </c>
      <c r="E27" t="s">
        <v>5</v>
      </c>
      <c r="F27" t="s">
        <v>89</v>
      </c>
      <c r="G27">
        <v>2</v>
      </c>
      <c r="I27" t="str">
        <f t="shared" si="2"/>
        <v>CoStep1DoubleSupportTimeT2</v>
      </c>
      <c r="K27" t="s">
        <v>122</v>
      </c>
      <c r="M27" s="33" t="s">
        <v>93</v>
      </c>
      <c r="N27">
        <v>30</v>
      </c>
      <c r="P27" t="str">
        <f t="shared" si="1"/>
        <v>O30</v>
      </c>
      <c r="R27" t="s">
        <v>55</v>
      </c>
    </row>
    <row r="28" spans="1:18" x14ac:dyDescent="0.2">
      <c r="A28" s="33" t="s">
        <v>48</v>
      </c>
      <c r="B28" t="s">
        <v>82</v>
      </c>
      <c r="C28">
        <v>1</v>
      </c>
      <c r="D28" t="s">
        <v>84</v>
      </c>
      <c r="E28" t="s">
        <v>5</v>
      </c>
      <c r="F28" t="s">
        <v>89</v>
      </c>
      <c r="G28">
        <v>2</v>
      </c>
      <c r="I28" t="str">
        <f t="shared" si="2"/>
        <v>CoStep1StanceTimeT2</v>
      </c>
      <c r="K28" t="s">
        <v>123</v>
      </c>
      <c r="M28" s="33" t="s">
        <v>89</v>
      </c>
      <c r="N28">
        <v>30</v>
      </c>
      <c r="P28" t="str">
        <f t="shared" si="1"/>
        <v>T30</v>
      </c>
      <c r="R28" t="s">
        <v>79</v>
      </c>
    </row>
    <row r="29" spans="1:18" x14ac:dyDescent="0.2">
      <c r="A29" s="33" t="s">
        <v>48</v>
      </c>
      <c r="B29" t="s">
        <v>82</v>
      </c>
      <c r="C29">
        <v>2</v>
      </c>
      <c r="D29" t="s">
        <v>80</v>
      </c>
      <c r="E29" t="s">
        <v>81</v>
      </c>
      <c r="F29" t="s">
        <v>89</v>
      </c>
      <c r="G29">
        <v>2</v>
      </c>
      <c r="I29" t="str">
        <f t="shared" si="2"/>
        <v>CoStep2StepLengthSwingsideT2</v>
      </c>
      <c r="K29" t="s">
        <v>124</v>
      </c>
      <c r="M29" s="33" t="s">
        <v>90</v>
      </c>
      <c r="N29">
        <v>55</v>
      </c>
      <c r="P29" t="str">
        <f t="shared" si="1"/>
        <v>B55</v>
      </c>
      <c r="R29" t="s">
        <v>56</v>
      </c>
    </row>
    <row r="30" spans="1:18" x14ac:dyDescent="0.2">
      <c r="A30" s="33" t="s">
        <v>48</v>
      </c>
      <c r="B30" t="s">
        <v>82</v>
      </c>
      <c r="C30">
        <v>2</v>
      </c>
      <c r="D30" t="s">
        <v>80</v>
      </c>
      <c r="E30" t="s">
        <v>4</v>
      </c>
      <c r="F30" t="s">
        <v>89</v>
      </c>
      <c r="G30">
        <v>2</v>
      </c>
      <c r="I30" t="str">
        <f t="shared" si="2"/>
        <v>CoStep2StepLengthDistanceT2</v>
      </c>
      <c r="K30" t="s">
        <v>125</v>
      </c>
      <c r="M30" s="33" t="s">
        <v>91</v>
      </c>
      <c r="N30">
        <v>55</v>
      </c>
      <c r="P30" t="str">
        <f t="shared" si="1"/>
        <v>E55</v>
      </c>
      <c r="R30" t="s">
        <v>57</v>
      </c>
    </row>
    <row r="31" spans="1:18" x14ac:dyDescent="0.2">
      <c r="A31" s="33" t="s">
        <v>48</v>
      </c>
      <c r="B31" t="s">
        <v>82</v>
      </c>
      <c r="C31">
        <v>2</v>
      </c>
      <c r="D31" t="s">
        <v>82</v>
      </c>
      <c r="E31" t="s">
        <v>5</v>
      </c>
      <c r="F31" t="s">
        <v>89</v>
      </c>
      <c r="G31">
        <v>2</v>
      </c>
      <c r="I31" t="str">
        <f t="shared" si="2"/>
        <v>CoStep2StepTimeT2</v>
      </c>
      <c r="K31" t="s">
        <v>126</v>
      </c>
      <c r="M31" s="33" t="s">
        <v>92</v>
      </c>
      <c r="N31">
        <v>55</v>
      </c>
      <c r="P31" t="str">
        <f t="shared" si="1"/>
        <v>J55</v>
      </c>
      <c r="R31" t="s">
        <v>58</v>
      </c>
    </row>
    <row r="32" spans="1:18" x14ac:dyDescent="0.2">
      <c r="A32" s="33" t="s">
        <v>48</v>
      </c>
      <c r="B32" t="s">
        <v>82</v>
      </c>
      <c r="C32">
        <v>2</v>
      </c>
      <c r="D32" t="s">
        <v>83</v>
      </c>
      <c r="E32" t="s">
        <v>5</v>
      </c>
      <c r="F32" t="s">
        <v>89</v>
      </c>
      <c r="G32">
        <v>2</v>
      </c>
      <c r="I32" t="str">
        <f t="shared" si="2"/>
        <v>CoStep2DoubleSupportTimeT2</v>
      </c>
      <c r="K32" t="s">
        <v>127</v>
      </c>
      <c r="M32" s="33" t="s">
        <v>93</v>
      </c>
      <c r="N32">
        <v>55</v>
      </c>
      <c r="P32" t="str">
        <f t="shared" si="1"/>
        <v>O55</v>
      </c>
      <c r="R32" t="s">
        <v>59</v>
      </c>
    </row>
    <row r="33" spans="1:18" x14ac:dyDescent="0.2">
      <c r="A33" s="33" t="s">
        <v>48</v>
      </c>
      <c r="B33" t="s">
        <v>82</v>
      </c>
      <c r="C33">
        <v>2</v>
      </c>
      <c r="D33" t="s">
        <v>84</v>
      </c>
      <c r="E33" t="s">
        <v>5</v>
      </c>
      <c r="F33" t="s">
        <v>89</v>
      </c>
      <c r="G33">
        <v>2</v>
      </c>
      <c r="I33" t="str">
        <f t="shared" si="2"/>
        <v>CoStep2StanceTimeT2</v>
      </c>
      <c r="K33" t="s">
        <v>128</v>
      </c>
      <c r="M33" s="33" t="s">
        <v>89</v>
      </c>
      <c r="N33">
        <v>55</v>
      </c>
      <c r="P33" t="str">
        <f t="shared" si="1"/>
        <v>T55</v>
      </c>
      <c r="R33" t="s">
        <v>94</v>
      </c>
    </row>
    <row r="34" spans="1:18" x14ac:dyDescent="0.2">
      <c r="A34" s="33" t="s">
        <v>48</v>
      </c>
      <c r="B34" t="s">
        <v>82</v>
      </c>
      <c r="C34">
        <v>3</v>
      </c>
      <c r="D34" t="s">
        <v>80</v>
      </c>
      <c r="E34" t="s">
        <v>81</v>
      </c>
      <c r="F34" t="s">
        <v>89</v>
      </c>
      <c r="G34">
        <v>2</v>
      </c>
      <c r="I34" t="str">
        <f t="shared" si="2"/>
        <v>CoStep3StepLengthSwingsideT2</v>
      </c>
      <c r="K34" t="s">
        <v>129</v>
      </c>
      <c r="M34" s="33" t="s">
        <v>90</v>
      </c>
      <c r="N34">
        <v>80</v>
      </c>
      <c r="P34" t="str">
        <f t="shared" si="1"/>
        <v>B80</v>
      </c>
      <c r="R34" t="s">
        <v>60</v>
      </c>
    </row>
    <row r="35" spans="1:18" x14ac:dyDescent="0.2">
      <c r="A35" s="33" t="s">
        <v>48</v>
      </c>
      <c r="B35" t="s">
        <v>82</v>
      </c>
      <c r="C35">
        <v>3</v>
      </c>
      <c r="D35" t="s">
        <v>80</v>
      </c>
      <c r="E35" t="s">
        <v>4</v>
      </c>
      <c r="F35" t="s">
        <v>89</v>
      </c>
      <c r="G35">
        <v>2</v>
      </c>
      <c r="I35" t="str">
        <f t="shared" si="2"/>
        <v>CoStep3StepLengthDistanceT2</v>
      </c>
      <c r="K35" t="s">
        <v>130</v>
      </c>
      <c r="M35" s="33" t="s">
        <v>91</v>
      </c>
      <c r="N35">
        <v>80</v>
      </c>
      <c r="P35" t="str">
        <f t="shared" si="1"/>
        <v>E80</v>
      </c>
      <c r="R35" t="s">
        <v>61</v>
      </c>
    </row>
    <row r="36" spans="1:18" x14ac:dyDescent="0.2">
      <c r="A36" s="33" t="s">
        <v>48</v>
      </c>
      <c r="B36" t="s">
        <v>82</v>
      </c>
      <c r="C36">
        <v>3</v>
      </c>
      <c r="D36" t="s">
        <v>82</v>
      </c>
      <c r="E36" t="s">
        <v>5</v>
      </c>
      <c r="F36" t="s">
        <v>89</v>
      </c>
      <c r="G36">
        <v>2</v>
      </c>
      <c r="I36" t="str">
        <f t="shared" si="2"/>
        <v>CoStep3StepTimeT2</v>
      </c>
      <c r="K36" t="s">
        <v>131</v>
      </c>
      <c r="M36" s="33" t="s">
        <v>92</v>
      </c>
      <c r="N36">
        <v>80</v>
      </c>
      <c r="P36" t="str">
        <f t="shared" si="1"/>
        <v>J80</v>
      </c>
      <c r="R36" t="s">
        <v>62</v>
      </c>
    </row>
    <row r="37" spans="1:18" x14ac:dyDescent="0.2">
      <c r="A37" s="33" t="s">
        <v>48</v>
      </c>
      <c r="B37" t="s">
        <v>82</v>
      </c>
      <c r="C37">
        <v>3</v>
      </c>
      <c r="D37" t="s">
        <v>83</v>
      </c>
      <c r="E37" t="s">
        <v>5</v>
      </c>
      <c r="F37" t="s">
        <v>89</v>
      </c>
      <c r="G37">
        <v>2</v>
      </c>
      <c r="I37" t="str">
        <f t="shared" si="2"/>
        <v>CoStep3DoubleSupportTimeT2</v>
      </c>
      <c r="K37" t="s">
        <v>132</v>
      </c>
      <c r="M37" s="33" t="s">
        <v>93</v>
      </c>
      <c r="N37">
        <v>80</v>
      </c>
      <c r="P37" t="str">
        <f t="shared" si="1"/>
        <v>O80</v>
      </c>
      <c r="R37" t="s">
        <v>63</v>
      </c>
    </row>
    <row r="38" spans="1:18" x14ac:dyDescent="0.2">
      <c r="A38" s="33" t="s">
        <v>48</v>
      </c>
      <c r="B38" t="s">
        <v>82</v>
      </c>
      <c r="C38">
        <v>3</v>
      </c>
      <c r="D38" t="s">
        <v>84</v>
      </c>
      <c r="E38" t="s">
        <v>5</v>
      </c>
      <c r="F38" t="s">
        <v>89</v>
      </c>
      <c r="G38">
        <v>2</v>
      </c>
      <c r="I38" t="str">
        <f t="shared" si="2"/>
        <v>CoStep3StanceTimeT2</v>
      </c>
      <c r="K38" t="s">
        <v>133</v>
      </c>
      <c r="M38" s="33" t="s">
        <v>89</v>
      </c>
      <c r="N38">
        <v>80</v>
      </c>
      <c r="P38" t="str">
        <f t="shared" si="1"/>
        <v>T80</v>
      </c>
      <c r="R38" t="s">
        <v>95</v>
      </c>
    </row>
    <row r="39" spans="1:18" x14ac:dyDescent="0.2">
      <c r="A39" s="33" t="s">
        <v>48</v>
      </c>
      <c r="B39" t="s">
        <v>85</v>
      </c>
      <c r="C39">
        <v>1</v>
      </c>
      <c r="D39" t="s">
        <v>86</v>
      </c>
      <c r="E39" t="s">
        <v>87</v>
      </c>
      <c r="F39" t="s">
        <v>89</v>
      </c>
      <c r="G39">
        <v>2</v>
      </c>
      <c r="I39" t="str">
        <f t="shared" si="2"/>
        <v>CoStride1StrideLengthSide0%T2</v>
      </c>
      <c r="K39" t="s">
        <v>134</v>
      </c>
      <c r="M39" s="33" t="s">
        <v>90</v>
      </c>
      <c r="N39">
        <v>105</v>
      </c>
      <c r="P39" t="str">
        <f t="shared" si="1"/>
        <v>B105</v>
      </c>
      <c r="R39" t="s">
        <v>64</v>
      </c>
    </row>
    <row r="40" spans="1:18" x14ac:dyDescent="0.2">
      <c r="A40" s="33" t="s">
        <v>48</v>
      </c>
      <c r="B40" t="s">
        <v>85</v>
      </c>
      <c r="C40">
        <v>1</v>
      </c>
      <c r="D40" t="s">
        <v>86</v>
      </c>
      <c r="E40" t="s">
        <v>4</v>
      </c>
      <c r="F40" t="s">
        <v>89</v>
      </c>
      <c r="G40">
        <v>2</v>
      </c>
      <c r="I40" t="str">
        <f t="shared" si="2"/>
        <v>CoStride1StrideLengthDistanceT2</v>
      </c>
      <c r="K40" t="s">
        <v>135</v>
      </c>
      <c r="M40" s="33" t="s">
        <v>91</v>
      </c>
      <c r="N40">
        <v>105</v>
      </c>
      <c r="P40" t="str">
        <f t="shared" si="1"/>
        <v>E105</v>
      </c>
      <c r="R40" t="s">
        <v>65</v>
      </c>
    </row>
    <row r="41" spans="1:18" x14ac:dyDescent="0.2">
      <c r="A41" s="33" t="s">
        <v>48</v>
      </c>
      <c r="B41" t="s">
        <v>85</v>
      </c>
      <c r="C41">
        <v>1</v>
      </c>
      <c r="D41" t="s">
        <v>85</v>
      </c>
      <c r="E41" t="s">
        <v>5</v>
      </c>
      <c r="F41" t="s">
        <v>89</v>
      </c>
      <c r="G41">
        <v>2</v>
      </c>
      <c r="I41" t="str">
        <f t="shared" si="2"/>
        <v>CoStride1StrideTimeT2</v>
      </c>
      <c r="K41" t="s">
        <v>136</v>
      </c>
      <c r="M41" s="33" t="s">
        <v>92</v>
      </c>
      <c r="N41">
        <v>105</v>
      </c>
      <c r="P41" t="str">
        <f t="shared" si="1"/>
        <v>J105</v>
      </c>
      <c r="R41" t="s">
        <v>66</v>
      </c>
    </row>
    <row r="42" spans="1:18" x14ac:dyDescent="0.2">
      <c r="A42" s="33" t="s">
        <v>48</v>
      </c>
      <c r="B42" t="s">
        <v>85</v>
      </c>
      <c r="C42">
        <v>1</v>
      </c>
      <c r="D42" t="s">
        <v>88</v>
      </c>
      <c r="E42" t="s">
        <v>5</v>
      </c>
      <c r="F42" t="s">
        <v>89</v>
      </c>
      <c r="G42">
        <v>2</v>
      </c>
      <c r="I42" t="str">
        <f t="shared" si="2"/>
        <v>CoStride1SwingTimeT2</v>
      </c>
      <c r="K42" t="s">
        <v>137</v>
      </c>
      <c r="M42" s="33" t="s">
        <v>93</v>
      </c>
      <c r="N42">
        <v>105</v>
      </c>
      <c r="P42" t="str">
        <f t="shared" si="1"/>
        <v>O105</v>
      </c>
      <c r="R42" t="s">
        <v>67</v>
      </c>
    </row>
    <row r="43" spans="1:18" x14ac:dyDescent="0.2">
      <c r="A43" s="33" t="s">
        <v>48</v>
      </c>
      <c r="B43" t="s">
        <v>85</v>
      </c>
      <c r="C43">
        <v>2</v>
      </c>
      <c r="D43" t="s">
        <v>86</v>
      </c>
      <c r="E43" t="s">
        <v>87</v>
      </c>
      <c r="F43" t="s">
        <v>89</v>
      </c>
      <c r="G43">
        <v>2</v>
      </c>
      <c r="I43" t="str">
        <f t="shared" si="2"/>
        <v>CoStride2StrideLengthSide0%T2</v>
      </c>
      <c r="K43" t="s">
        <v>138</v>
      </c>
      <c r="M43" s="33" t="s">
        <v>90</v>
      </c>
      <c r="N43">
        <v>130</v>
      </c>
      <c r="P43" t="str">
        <f t="shared" si="1"/>
        <v>B130</v>
      </c>
      <c r="R43" t="s">
        <v>68</v>
      </c>
    </row>
    <row r="44" spans="1:18" x14ac:dyDescent="0.2">
      <c r="A44" s="33" t="s">
        <v>48</v>
      </c>
      <c r="B44" t="s">
        <v>85</v>
      </c>
      <c r="C44">
        <v>2</v>
      </c>
      <c r="D44" t="s">
        <v>86</v>
      </c>
      <c r="E44" t="s">
        <v>4</v>
      </c>
      <c r="F44" t="s">
        <v>89</v>
      </c>
      <c r="G44">
        <v>2</v>
      </c>
      <c r="I44" t="str">
        <f t="shared" si="2"/>
        <v>CoStride2StrideLengthDistanceT2</v>
      </c>
      <c r="K44" t="s">
        <v>139</v>
      </c>
      <c r="M44" s="33" t="s">
        <v>91</v>
      </c>
      <c r="N44">
        <v>130</v>
      </c>
      <c r="P44" t="str">
        <f t="shared" si="1"/>
        <v>E130</v>
      </c>
      <c r="R44" t="s">
        <v>69</v>
      </c>
    </row>
    <row r="45" spans="1:18" x14ac:dyDescent="0.2">
      <c r="A45" s="33" t="s">
        <v>48</v>
      </c>
      <c r="B45" t="s">
        <v>85</v>
      </c>
      <c r="C45">
        <v>2</v>
      </c>
      <c r="D45" t="s">
        <v>85</v>
      </c>
      <c r="E45" t="s">
        <v>5</v>
      </c>
      <c r="F45" t="s">
        <v>89</v>
      </c>
      <c r="G45">
        <v>2</v>
      </c>
      <c r="I45" t="str">
        <f t="shared" si="2"/>
        <v>CoStride2StrideTimeT2</v>
      </c>
      <c r="K45" t="s">
        <v>140</v>
      </c>
      <c r="M45" s="33" t="s">
        <v>92</v>
      </c>
      <c r="N45">
        <v>130</v>
      </c>
      <c r="P45" t="str">
        <f t="shared" si="1"/>
        <v>J130</v>
      </c>
      <c r="R45" t="s">
        <v>70</v>
      </c>
    </row>
    <row r="46" spans="1:18" x14ac:dyDescent="0.2">
      <c r="A46" s="33" t="s">
        <v>48</v>
      </c>
      <c r="B46" t="s">
        <v>85</v>
      </c>
      <c r="C46">
        <v>2</v>
      </c>
      <c r="D46" t="s">
        <v>88</v>
      </c>
      <c r="E46" t="s">
        <v>5</v>
      </c>
      <c r="F46" t="s">
        <v>89</v>
      </c>
      <c r="G46">
        <v>2</v>
      </c>
      <c r="I46" t="str">
        <f t="shared" si="2"/>
        <v>CoStride2SwingTimeT2</v>
      </c>
      <c r="K46" t="s">
        <v>141</v>
      </c>
      <c r="M46" s="33" t="s">
        <v>93</v>
      </c>
      <c r="N46">
        <v>130</v>
      </c>
      <c r="P46" t="str">
        <f t="shared" si="1"/>
        <v>O130</v>
      </c>
      <c r="R46" t="s">
        <v>71</v>
      </c>
    </row>
    <row r="47" spans="1:18" x14ac:dyDescent="0.2">
      <c r="A47" s="33" t="s">
        <v>48</v>
      </c>
      <c r="B47" t="s">
        <v>82</v>
      </c>
      <c r="C47">
        <v>1</v>
      </c>
      <c r="D47" t="s">
        <v>80</v>
      </c>
      <c r="E47" t="s">
        <v>81</v>
      </c>
      <c r="F47" t="s">
        <v>89</v>
      </c>
      <c r="G47">
        <v>3</v>
      </c>
      <c r="I47" t="str">
        <f>A47&amp;B47&amp;C47&amp;D47&amp;E47&amp;F47&amp;G47</f>
        <v>CoStep1StepLengthSwingsideT3</v>
      </c>
      <c r="K47" t="s">
        <v>142</v>
      </c>
      <c r="M47" s="33" t="s">
        <v>90</v>
      </c>
      <c r="N47">
        <v>30</v>
      </c>
      <c r="P47" t="str">
        <f t="shared" si="1"/>
        <v>B30</v>
      </c>
      <c r="R47" t="s">
        <v>52</v>
      </c>
    </row>
    <row r="48" spans="1:18" x14ac:dyDescent="0.2">
      <c r="A48" s="33" t="s">
        <v>48</v>
      </c>
      <c r="B48" t="s">
        <v>82</v>
      </c>
      <c r="C48">
        <v>1</v>
      </c>
      <c r="D48" t="s">
        <v>80</v>
      </c>
      <c r="E48" t="s">
        <v>4</v>
      </c>
      <c r="F48" t="s">
        <v>89</v>
      </c>
      <c r="G48">
        <v>3</v>
      </c>
      <c r="I48" t="str">
        <f t="shared" ref="I48:I69" si="3">A48&amp;B48&amp;C48&amp;D48&amp;E48&amp;F48&amp;G48</f>
        <v>CoStep1StepLengthDistanceT3</v>
      </c>
      <c r="K48" t="s">
        <v>143</v>
      </c>
      <c r="M48" s="33" t="s">
        <v>91</v>
      </c>
      <c r="N48">
        <v>30</v>
      </c>
      <c r="P48" t="str">
        <f t="shared" si="1"/>
        <v>E30</v>
      </c>
      <c r="R48" t="s">
        <v>53</v>
      </c>
    </row>
    <row r="49" spans="1:18" x14ac:dyDescent="0.2">
      <c r="A49" s="33" t="s">
        <v>48</v>
      </c>
      <c r="B49" t="s">
        <v>82</v>
      </c>
      <c r="C49">
        <v>1</v>
      </c>
      <c r="D49" t="s">
        <v>82</v>
      </c>
      <c r="E49" t="s">
        <v>5</v>
      </c>
      <c r="F49" t="s">
        <v>89</v>
      </c>
      <c r="G49">
        <v>3</v>
      </c>
      <c r="I49" t="str">
        <f t="shared" si="3"/>
        <v>CoStep1StepTimeT3</v>
      </c>
      <c r="K49" t="s">
        <v>144</v>
      </c>
      <c r="M49" s="33" t="s">
        <v>92</v>
      </c>
      <c r="N49">
        <v>30</v>
      </c>
      <c r="P49" t="str">
        <f t="shared" si="1"/>
        <v>J30</v>
      </c>
      <c r="R49" t="s">
        <v>54</v>
      </c>
    </row>
    <row r="50" spans="1:18" x14ac:dyDescent="0.2">
      <c r="A50" s="33" t="s">
        <v>48</v>
      </c>
      <c r="B50" t="s">
        <v>82</v>
      </c>
      <c r="C50">
        <v>1</v>
      </c>
      <c r="D50" t="s">
        <v>83</v>
      </c>
      <c r="E50" t="s">
        <v>5</v>
      </c>
      <c r="F50" t="s">
        <v>89</v>
      </c>
      <c r="G50">
        <v>3</v>
      </c>
      <c r="I50" t="str">
        <f t="shared" si="3"/>
        <v>CoStep1DoubleSupportTimeT3</v>
      </c>
      <c r="K50" t="s">
        <v>145</v>
      </c>
      <c r="M50" s="33" t="s">
        <v>93</v>
      </c>
      <c r="N50">
        <v>30</v>
      </c>
      <c r="P50" t="str">
        <f t="shared" si="1"/>
        <v>O30</v>
      </c>
      <c r="R50" t="s">
        <v>55</v>
      </c>
    </row>
    <row r="51" spans="1:18" x14ac:dyDescent="0.2">
      <c r="A51" s="33" t="s">
        <v>48</v>
      </c>
      <c r="B51" t="s">
        <v>82</v>
      </c>
      <c r="C51">
        <v>1</v>
      </c>
      <c r="D51" t="s">
        <v>84</v>
      </c>
      <c r="E51" t="s">
        <v>5</v>
      </c>
      <c r="F51" t="s">
        <v>89</v>
      </c>
      <c r="G51">
        <v>3</v>
      </c>
      <c r="I51" t="str">
        <f t="shared" si="3"/>
        <v>CoStep1StanceTimeT3</v>
      </c>
      <c r="K51" t="s">
        <v>146</v>
      </c>
      <c r="M51" s="33" t="s">
        <v>89</v>
      </c>
      <c r="N51">
        <v>30</v>
      </c>
      <c r="P51" t="str">
        <f t="shared" si="1"/>
        <v>T30</v>
      </c>
      <c r="R51" t="s">
        <v>79</v>
      </c>
    </row>
    <row r="52" spans="1:18" x14ac:dyDescent="0.2">
      <c r="A52" s="33" t="s">
        <v>48</v>
      </c>
      <c r="B52" t="s">
        <v>82</v>
      </c>
      <c r="C52">
        <v>2</v>
      </c>
      <c r="D52" t="s">
        <v>80</v>
      </c>
      <c r="E52" t="s">
        <v>81</v>
      </c>
      <c r="F52" t="s">
        <v>89</v>
      </c>
      <c r="G52">
        <v>3</v>
      </c>
      <c r="I52" t="str">
        <f t="shared" si="3"/>
        <v>CoStep2StepLengthSwingsideT3</v>
      </c>
      <c r="K52" t="s">
        <v>147</v>
      </c>
      <c r="M52" s="33" t="s">
        <v>90</v>
      </c>
      <c r="N52">
        <v>55</v>
      </c>
      <c r="P52" t="str">
        <f t="shared" si="1"/>
        <v>B55</v>
      </c>
      <c r="R52" t="s">
        <v>56</v>
      </c>
    </row>
    <row r="53" spans="1:18" x14ac:dyDescent="0.2">
      <c r="A53" s="33" t="s">
        <v>48</v>
      </c>
      <c r="B53" t="s">
        <v>82</v>
      </c>
      <c r="C53">
        <v>2</v>
      </c>
      <c r="D53" t="s">
        <v>80</v>
      </c>
      <c r="E53" t="s">
        <v>4</v>
      </c>
      <c r="F53" t="s">
        <v>89</v>
      </c>
      <c r="G53">
        <v>3</v>
      </c>
      <c r="I53" t="str">
        <f t="shared" si="3"/>
        <v>CoStep2StepLengthDistanceT3</v>
      </c>
      <c r="K53" t="s">
        <v>148</v>
      </c>
      <c r="M53" s="33" t="s">
        <v>91</v>
      </c>
      <c r="N53">
        <v>55</v>
      </c>
      <c r="P53" t="str">
        <f t="shared" si="1"/>
        <v>E55</v>
      </c>
      <c r="R53" t="s">
        <v>57</v>
      </c>
    </row>
    <row r="54" spans="1:18" x14ac:dyDescent="0.2">
      <c r="A54" s="33" t="s">
        <v>48</v>
      </c>
      <c r="B54" t="s">
        <v>82</v>
      </c>
      <c r="C54">
        <v>2</v>
      </c>
      <c r="D54" t="s">
        <v>82</v>
      </c>
      <c r="E54" t="s">
        <v>5</v>
      </c>
      <c r="F54" t="s">
        <v>89</v>
      </c>
      <c r="G54">
        <v>3</v>
      </c>
      <c r="I54" t="str">
        <f t="shared" si="3"/>
        <v>CoStep2StepTimeT3</v>
      </c>
      <c r="K54" t="s">
        <v>149</v>
      </c>
      <c r="M54" s="33" t="s">
        <v>92</v>
      </c>
      <c r="N54">
        <v>55</v>
      </c>
      <c r="P54" t="str">
        <f t="shared" si="1"/>
        <v>J55</v>
      </c>
      <c r="R54" t="s">
        <v>58</v>
      </c>
    </row>
    <row r="55" spans="1:18" x14ac:dyDescent="0.2">
      <c r="A55" s="33" t="s">
        <v>48</v>
      </c>
      <c r="B55" t="s">
        <v>82</v>
      </c>
      <c r="C55">
        <v>2</v>
      </c>
      <c r="D55" t="s">
        <v>83</v>
      </c>
      <c r="E55" t="s">
        <v>5</v>
      </c>
      <c r="F55" t="s">
        <v>89</v>
      </c>
      <c r="G55">
        <v>3</v>
      </c>
      <c r="I55" t="str">
        <f t="shared" si="3"/>
        <v>CoStep2DoubleSupportTimeT3</v>
      </c>
      <c r="K55" t="s">
        <v>150</v>
      </c>
      <c r="M55" s="33" t="s">
        <v>93</v>
      </c>
      <c r="N55">
        <v>55</v>
      </c>
      <c r="P55" t="str">
        <f t="shared" si="1"/>
        <v>O55</v>
      </c>
      <c r="R55" t="s">
        <v>59</v>
      </c>
    </row>
    <row r="56" spans="1:18" x14ac:dyDescent="0.2">
      <c r="A56" s="33" t="s">
        <v>48</v>
      </c>
      <c r="B56" t="s">
        <v>82</v>
      </c>
      <c r="C56">
        <v>2</v>
      </c>
      <c r="D56" t="s">
        <v>84</v>
      </c>
      <c r="E56" t="s">
        <v>5</v>
      </c>
      <c r="F56" t="s">
        <v>89</v>
      </c>
      <c r="G56">
        <v>3</v>
      </c>
      <c r="I56" t="str">
        <f t="shared" si="3"/>
        <v>CoStep2StanceTimeT3</v>
      </c>
      <c r="K56" t="s">
        <v>151</v>
      </c>
      <c r="M56" s="33" t="s">
        <v>89</v>
      </c>
      <c r="N56">
        <v>55</v>
      </c>
      <c r="P56" t="str">
        <f t="shared" si="1"/>
        <v>T55</v>
      </c>
      <c r="R56" t="s">
        <v>94</v>
      </c>
    </row>
    <row r="57" spans="1:18" x14ac:dyDescent="0.2">
      <c r="A57" s="33" t="s">
        <v>48</v>
      </c>
      <c r="B57" t="s">
        <v>82</v>
      </c>
      <c r="C57">
        <v>3</v>
      </c>
      <c r="D57" t="s">
        <v>80</v>
      </c>
      <c r="E57" t="s">
        <v>81</v>
      </c>
      <c r="F57" t="s">
        <v>89</v>
      </c>
      <c r="G57">
        <v>3</v>
      </c>
      <c r="I57" t="str">
        <f t="shared" si="3"/>
        <v>CoStep3StepLengthSwingsideT3</v>
      </c>
      <c r="K57" t="s">
        <v>152</v>
      </c>
      <c r="M57" s="33" t="s">
        <v>90</v>
      </c>
      <c r="N57">
        <v>80</v>
      </c>
      <c r="P57" t="str">
        <f t="shared" si="1"/>
        <v>B80</v>
      </c>
      <c r="R57" t="s">
        <v>60</v>
      </c>
    </row>
    <row r="58" spans="1:18" x14ac:dyDescent="0.2">
      <c r="A58" s="33" t="s">
        <v>48</v>
      </c>
      <c r="B58" t="s">
        <v>82</v>
      </c>
      <c r="C58">
        <v>3</v>
      </c>
      <c r="D58" t="s">
        <v>80</v>
      </c>
      <c r="E58" t="s">
        <v>4</v>
      </c>
      <c r="F58" t="s">
        <v>89</v>
      </c>
      <c r="G58">
        <v>3</v>
      </c>
      <c r="I58" t="str">
        <f t="shared" si="3"/>
        <v>CoStep3StepLengthDistanceT3</v>
      </c>
      <c r="K58" t="s">
        <v>153</v>
      </c>
      <c r="M58" s="33" t="s">
        <v>91</v>
      </c>
      <c r="N58">
        <v>80</v>
      </c>
      <c r="P58" t="str">
        <f t="shared" si="1"/>
        <v>E80</v>
      </c>
      <c r="R58" t="s">
        <v>61</v>
      </c>
    </row>
    <row r="59" spans="1:18" x14ac:dyDescent="0.2">
      <c r="A59" s="33" t="s">
        <v>48</v>
      </c>
      <c r="B59" t="s">
        <v>82</v>
      </c>
      <c r="C59">
        <v>3</v>
      </c>
      <c r="D59" t="s">
        <v>82</v>
      </c>
      <c r="E59" t="s">
        <v>5</v>
      </c>
      <c r="F59" t="s">
        <v>89</v>
      </c>
      <c r="G59">
        <v>3</v>
      </c>
      <c r="I59" t="str">
        <f t="shared" si="3"/>
        <v>CoStep3StepTimeT3</v>
      </c>
      <c r="K59" t="s">
        <v>154</v>
      </c>
      <c r="M59" s="33" t="s">
        <v>92</v>
      </c>
      <c r="N59">
        <v>80</v>
      </c>
      <c r="P59" t="str">
        <f t="shared" si="1"/>
        <v>J80</v>
      </c>
      <c r="R59" t="s">
        <v>62</v>
      </c>
    </row>
    <row r="60" spans="1:18" x14ac:dyDescent="0.2">
      <c r="A60" s="33" t="s">
        <v>48</v>
      </c>
      <c r="B60" t="s">
        <v>82</v>
      </c>
      <c r="C60">
        <v>3</v>
      </c>
      <c r="D60" t="s">
        <v>83</v>
      </c>
      <c r="E60" t="s">
        <v>5</v>
      </c>
      <c r="F60" t="s">
        <v>89</v>
      </c>
      <c r="G60">
        <v>3</v>
      </c>
      <c r="I60" t="str">
        <f t="shared" si="3"/>
        <v>CoStep3DoubleSupportTimeT3</v>
      </c>
      <c r="K60" t="s">
        <v>155</v>
      </c>
      <c r="M60" s="33" t="s">
        <v>93</v>
      </c>
      <c r="N60">
        <v>80</v>
      </c>
      <c r="P60" t="str">
        <f t="shared" si="1"/>
        <v>O80</v>
      </c>
      <c r="R60" t="s">
        <v>63</v>
      </c>
    </row>
    <row r="61" spans="1:18" x14ac:dyDescent="0.2">
      <c r="A61" s="33" t="s">
        <v>48</v>
      </c>
      <c r="B61" t="s">
        <v>82</v>
      </c>
      <c r="C61">
        <v>3</v>
      </c>
      <c r="D61" t="s">
        <v>84</v>
      </c>
      <c r="E61" t="s">
        <v>5</v>
      </c>
      <c r="F61" t="s">
        <v>89</v>
      </c>
      <c r="G61">
        <v>3</v>
      </c>
      <c r="I61" t="str">
        <f t="shared" si="3"/>
        <v>CoStep3StanceTimeT3</v>
      </c>
      <c r="K61" t="s">
        <v>156</v>
      </c>
      <c r="M61" s="33" t="s">
        <v>89</v>
      </c>
      <c r="N61">
        <v>80</v>
      </c>
      <c r="P61" t="str">
        <f t="shared" si="1"/>
        <v>T80</v>
      </c>
      <c r="R61" t="s">
        <v>95</v>
      </c>
    </row>
    <row r="62" spans="1:18" x14ac:dyDescent="0.2">
      <c r="A62" s="33" t="s">
        <v>48</v>
      </c>
      <c r="B62" t="s">
        <v>85</v>
      </c>
      <c r="C62">
        <v>1</v>
      </c>
      <c r="D62" t="s">
        <v>86</v>
      </c>
      <c r="E62" t="s">
        <v>87</v>
      </c>
      <c r="F62" t="s">
        <v>89</v>
      </c>
      <c r="G62">
        <v>3</v>
      </c>
      <c r="I62" t="str">
        <f t="shared" si="3"/>
        <v>CoStride1StrideLengthSide0%T3</v>
      </c>
      <c r="K62" t="s">
        <v>157</v>
      </c>
      <c r="M62" s="33" t="s">
        <v>90</v>
      </c>
      <c r="N62">
        <v>105</v>
      </c>
      <c r="P62" t="str">
        <f t="shared" si="1"/>
        <v>B105</v>
      </c>
      <c r="R62" t="s">
        <v>64</v>
      </c>
    </row>
    <row r="63" spans="1:18" x14ac:dyDescent="0.2">
      <c r="A63" s="33" t="s">
        <v>48</v>
      </c>
      <c r="B63" t="s">
        <v>85</v>
      </c>
      <c r="C63">
        <v>1</v>
      </c>
      <c r="D63" t="s">
        <v>86</v>
      </c>
      <c r="E63" t="s">
        <v>4</v>
      </c>
      <c r="F63" t="s">
        <v>89</v>
      </c>
      <c r="G63">
        <v>3</v>
      </c>
      <c r="I63" t="str">
        <f t="shared" si="3"/>
        <v>CoStride1StrideLengthDistanceT3</v>
      </c>
      <c r="K63" t="s">
        <v>158</v>
      </c>
      <c r="M63" s="33" t="s">
        <v>91</v>
      </c>
      <c r="N63">
        <v>105</v>
      </c>
      <c r="P63" t="str">
        <f t="shared" si="1"/>
        <v>E105</v>
      </c>
      <c r="R63" t="s">
        <v>65</v>
      </c>
    </row>
    <row r="64" spans="1:18" x14ac:dyDescent="0.2">
      <c r="A64" s="33" t="s">
        <v>48</v>
      </c>
      <c r="B64" t="s">
        <v>85</v>
      </c>
      <c r="C64">
        <v>1</v>
      </c>
      <c r="D64" t="s">
        <v>85</v>
      </c>
      <c r="E64" t="s">
        <v>5</v>
      </c>
      <c r="F64" t="s">
        <v>89</v>
      </c>
      <c r="G64">
        <v>3</v>
      </c>
      <c r="I64" t="str">
        <f t="shared" si="3"/>
        <v>CoStride1StrideTimeT3</v>
      </c>
      <c r="K64" t="s">
        <v>159</v>
      </c>
      <c r="M64" s="33" t="s">
        <v>92</v>
      </c>
      <c r="N64">
        <v>105</v>
      </c>
      <c r="P64" t="str">
        <f t="shared" si="1"/>
        <v>J105</v>
      </c>
      <c r="R64" t="s">
        <v>66</v>
      </c>
    </row>
    <row r="65" spans="1:18" x14ac:dyDescent="0.2">
      <c r="A65" s="33" t="s">
        <v>48</v>
      </c>
      <c r="B65" t="s">
        <v>85</v>
      </c>
      <c r="C65">
        <v>1</v>
      </c>
      <c r="D65" t="s">
        <v>88</v>
      </c>
      <c r="E65" t="s">
        <v>5</v>
      </c>
      <c r="F65" t="s">
        <v>89</v>
      </c>
      <c r="G65">
        <v>3</v>
      </c>
      <c r="I65" t="str">
        <f t="shared" si="3"/>
        <v>CoStride1SwingTimeT3</v>
      </c>
      <c r="K65" t="s">
        <v>160</v>
      </c>
      <c r="M65" s="33" t="s">
        <v>93</v>
      </c>
      <c r="N65">
        <v>105</v>
      </c>
      <c r="P65" t="str">
        <f t="shared" si="1"/>
        <v>O105</v>
      </c>
      <c r="R65" t="s">
        <v>67</v>
      </c>
    </row>
    <row r="66" spans="1:18" x14ac:dyDescent="0.2">
      <c r="A66" s="33" t="s">
        <v>48</v>
      </c>
      <c r="B66" t="s">
        <v>85</v>
      </c>
      <c r="C66">
        <v>2</v>
      </c>
      <c r="D66" t="s">
        <v>86</v>
      </c>
      <c r="E66" t="s">
        <v>87</v>
      </c>
      <c r="F66" t="s">
        <v>89</v>
      </c>
      <c r="G66">
        <v>3</v>
      </c>
      <c r="I66" t="str">
        <f t="shared" si="3"/>
        <v>CoStride2StrideLengthSide0%T3</v>
      </c>
      <c r="K66" t="s">
        <v>161</v>
      </c>
      <c r="M66" s="33" t="s">
        <v>90</v>
      </c>
      <c r="N66">
        <v>130</v>
      </c>
      <c r="P66" t="str">
        <f t="shared" ref="P66:P129" si="4">M66&amp;N66</f>
        <v>B130</v>
      </c>
      <c r="R66" t="s">
        <v>68</v>
      </c>
    </row>
    <row r="67" spans="1:18" x14ac:dyDescent="0.2">
      <c r="A67" s="33" t="s">
        <v>48</v>
      </c>
      <c r="B67" t="s">
        <v>85</v>
      </c>
      <c r="C67">
        <v>2</v>
      </c>
      <c r="D67" t="s">
        <v>86</v>
      </c>
      <c r="E67" t="s">
        <v>4</v>
      </c>
      <c r="F67" t="s">
        <v>89</v>
      </c>
      <c r="G67">
        <v>3</v>
      </c>
      <c r="I67" t="str">
        <f t="shared" si="3"/>
        <v>CoStride2StrideLengthDistanceT3</v>
      </c>
      <c r="K67" t="s">
        <v>162</v>
      </c>
      <c r="M67" s="33" t="s">
        <v>91</v>
      </c>
      <c r="N67">
        <v>130</v>
      </c>
      <c r="P67" t="str">
        <f t="shared" si="4"/>
        <v>E130</v>
      </c>
      <c r="R67" t="s">
        <v>69</v>
      </c>
    </row>
    <row r="68" spans="1:18" x14ac:dyDescent="0.2">
      <c r="A68" s="33" t="s">
        <v>48</v>
      </c>
      <c r="B68" t="s">
        <v>85</v>
      </c>
      <c r="C68">
        <v>2</v>
      </c>
      <c r="D68" t="s">
        <v>85</v>
      </c>
      <c r="E68" t="s">
        <v>5</v>
      </c>
      <c r="F68" t="s">
        <v>89</v>
      </c>
      <c r="G68">
        <v>3</v>
      </c>
      <c r="I68" t="str">
        <f t="shared" si="3"/>
        <v>CoStride2StrideTimeT3</v>
      </c>
      <c r="K68" t="s">
        <v>163</v>
      </c>
      <c r="M68" s="33" t="s">
        <v>92</v>
      </c>
      <c r="N68">
        <v>130</v>
      </c>
      <c r="P68" t="str">
        <f t="shared" si="4"/>
        <v>J130</v>
      </c>
      <c r="R68" t="s">
        <v>70</v>
      </c>
    </row>
    <row r="69" spans="1:18" x14ac:dyDescent="0.2">
      <c r="A69" s="33" t="s">
        <v>48</v>
      </c>
      <c r="B69" t="s">
        <v>85</v>
      </c>
      <c r="C69">
        <v>2</v>
      </c>
      <c r="D69" t="s">
        <v>88</v>
      </c>
      <c r="E69" t="s">
        <v>5</v>
      </c>
      <c r="F69" t="s">
        <v>89</v>
      </c>
      <c r="G69">
        <v>3</v>
      </c>
      <c r="I69" t="str">
        <f t="shared" si="3"/>
        <v>CoStride2SwingTimeT3</v>
      </c>
      <c r="K69" t="s">
        <v>164</v>
      </c>
      <c r="M69" s="33" t="s">
        <v>93</v>
      </c>
      <c r="N69">
        <v>130</v>
      </c>
      <c r="P69" t="str">
        <f t="shared" si="4"/>
        <v>O130</v>
      </c>
      <c r="R69" t="s">
        <v>71</v>
      </c>
    </row>
    <row r="70" spans="1:18" x14ac:dyDescent="0.2">
      <c r="A70" s="33" t="s">
        <v>48</v>
      </c>
      <c r="B70" t="s">
        <v>82</v>
      </c>
      <c r="C70">
        <v>1</v>
      </c>
      <c r="D70" t="s">
        <v>80</v>
      </c>
      <c r="E70" t="s">
        <v>81</v>
      </c>
      <c r="F70" t="s">
        <v>89</v>
      </c>
      <c r="G70">
        <v>4</v>
      </c>
      <c r="I70" t="str">
        <f>A70&amp;B70&amp;C70&amp;D70&amp;E70&amp;F70&amp;G70</f>
        <v>CoStep1StepLengthSwingsideT4</v>
      </c>
      <c r="K70" t="s">
        <v>165</v>
      </c>
      <c r="M70" s="33" t="s">
        <v>90</v>
      </c>
      <c r="N70">
        <v>30</v>
      </c>
      <c r="P70" t="str">
        <f t="shared" si="4"/>
        <v>B30</v>
      </c>
      <c r="R70" t="s">
        <v>52</v>
      </c>
    </row>
    <row r="71" spans="1:18" x14ac:dyDescent="0.2">
      <c r="A71" s="33" t="s">
        <v>48</v>
      </c>
      <c r="B71" t="s">
        <v>82</v>
      </c>
      <c r="C71">
        <v>1</v>
      </c>
      <c r="D71" t="s">
        <v>80</v>
      </c>
      <c r="E71" t="s">
        <v>4</v>
      </c>
      <c r="F71" t="s">
        <v>89</v>
      </c>
      <c r="G71">
        <v>4</v>
      </c>
      <c r="I71" t="str">
        <f t="shared" ref="I71:I92" si="5">A71&amp;B71&amp;C71&amp;D71&amp;E71&amp;F71&amp;G71</f>
        <v>CoStep1StepLengthDistanceT4</v>
      </c>
      <c r="K71" t="s">
        <v>166</v>
      </c>
      <c r="M71" s="33" t="s">
        <v>91</v>
      </c>
      <c r="N71">
        <v>30</v>
      </c>
      <c r="P71" t="str">
        <f t="shared" si="4"/>
        <v>E30</v>
      </c>
      <c r="R71" t="s">
        <v>53</v>
      </c>
    </row>
    <row r="72" spans="1:18" x14ac:dyDescent="0.2">
      <c r="A72" s="33" t="s">
        <v>48</v>
      </c>
      <c r="B72" t="s">
        <v>82</v>
      </c>
      <c r="C72">
        <v>1</v>
      </c>
      <c r="D72" t="s">
        <v>82</v>
      </c>
      <c r="E72" t="s">
        <v>5</v>
      </c>
      <c r="F72" t="s">
        <v>89</v>
      </c>
      <c r="G72">
        <v>4</v>
      </c>
      <c r="I72" t="str">
        <f t="shared" si="5"/>
        <v>CoStep1StepTimeT4</v>
      </c>
      <c r="K72" t="s">
        <v>167</v>
      </c>
      <c r="M72" s="33" t="s">
        <v>92</v>
      </c>
      <c r="N72">
        <v>30</v>
      </c>
      <c r="P72" t="str">
        <f t="shared" si="4"/>
        <v>J30</v>
      </c>
      <c r="R72" t="s">
        <v>54</v>
      </c>
    </row>
    <row r="73" spans="1:18" x14ac:dyDescent="0.2">
      <c r="A73" s="33" t="s">
        <v>48</v>
      </c>
      <c r="B73" t="s">
        <v>82</v>
      </c>
      <c r="C73">
        <v>1</v>
      </c>
      <c r="D73" t="s">
        <v>83</v>
      </c>
      <c r="E73" t="s">
        <v>5</v>
      </c>
      <c r="F73" t="s">
        <v>89</v>
      </c>
      <c r="G73">
        <v>4</v>
      </c>
      <c r="I73" t="str">
        <f t="shared" si="5"/>
        <v>CoStep1DoubleSupportTimeT4</v>
      </c>
      <c r="K73" t="s">
        <v>168</v>
      </c>
      <c r="M73" s="33" t="s">
        <v>93</v>
      </c>
      <c r="N73">
        <v>30</v>
      </c>
      <c r="P73" t="str">
        <f t="shared" si="4"/>
        <v>O30</v>
      </c>
      <c r="R73" t="s">
        <v>55</v>
      </c>
    </row>
    <row r="74" spans="1:18" x14ac:dyDescent="0.2">
      <c r="A74" s="33" t="s">
        <v>48</v>
      </c>
      <c r="B74" t="s">
        <v>82</v>
      </c>
      <c r="C74">
        <v>1</v>
      </c>
      <c r="D74" t="s">
        <v>84</v>
      </c>
      <c r="E74" t="s">
        <v>5</v>
      </c>
      <c r="F74" t="s">
        <v>89</v>
      </c>
      <c r="G74">
        <v>4</v>
      </c>
      <c r="I74" t="str">
        <f t="shared" si="5"/>
        <v>CoStep1StanceTimeT4</v>
      </c>
      <c r="K74" t="s">
        <v>169</v>
      </c>
      <c r="M74" s="33" t="s">
        <v>89</v>
      </c>
      <c r="N74">
        <v>30</v>
      </c>
      <c r="P74" t="str">
        <f t="shared" si="4"/>
        <v>T30</v>
      </c>
      <c r="R74" t="s">
        <v>79</v>
      </c>
    </row>
    <row r="75" spans="1:18" x14ac:dyDescent="0.2">
      <c r="A75" s="33" t="s">
        <v>48</v>
      </c>
      <c r="B75" t="s">
        <v>82</v>
      </c>
      <c r="C75">
        <v>2</v>
      </c>
      <c r="D75" t="s">
        <v>80</v>
      </c>
      <c r="E75" t="s">
        <v>81</v>
      </c>
      <c r="F75" t="s">
        <v>89</v>
      </c>
      <c r="G75">
        <v>4</v>
      </c>
      <c r="I75" t="str">
        <f t="shared" si="5"/>
        <v>CoStep2StepLengthSwingsideT4</v>
      </c>
      <c r="K75" t="s">
        <v>170</v>
      </c>
      <c r="M75" s="33" t="s">
        <v>90</v>
      </c>
      <c r="N75">
        <v>55</v>
      </c>
      <c r="P75" t="str">
        <f t="shared" si="4"/>
        <v>B55</v>
      </c>
      <c r="R75" t="s">
        <v>56</v>
      </c>
    </row>
    <row r="76" spans="1:18" x14ac:dyDescent="0.2">
      <c r="A76" s="33" t="s">
        <v>48</v>
      </c>
      <c r="B76" t="s">
        <v>82</v>
      </c>
      <c r="C76">
        <v>2</v>
      </c>
      <c r="D76" t="s">
        <v>80</v>
      </c>
      <c r="E76" t="s">
        <v>4</v>
      </c>
      <c r="F76" t="s">
        <v>89</v>
      </c>
      <c r="G76">
        <v>4</v>
      </c>
      <c r="I76" t="str">
        <f t="shared" si="5"/>
        <v>CoStep2StepLengthDistanceT4</v>
      </c>
      <c r="K76" t="s">
        <v>171</v>
      </c>
      <c r="M76" s="33" t="s">
        <v>91</v>
      </c>
      <c r="N76">
        <v>55</v>
      </c>
      <c r="P76" t="str">
        <f t="shared" si="4"/>
        <v>E55</v>
      </c>
      <c r="R76" t="s">
        <v>57</v>
      </c>
    </row>
    <row r="77" spans="1:18" x14ac:dyDescent="0.2">
      <c r="A77" s="33" t="s">
        <v>48</v>
      </c>
      <c r="B77" t="s">
        <v>82</v>
      </c>
      <c r="C77">
        <v>2</v>
      </c>
      <c r="D77" t="s">
        <v>82</v>
      </c>
      <c r="E77" t="s">
        <v>5</v>
      </c>
      <c r="F77" t="s">
        <v>89</v>
      </c>
      <c r="G77">
        <v>4</v>
      </c>
      <c r="I77" t="str">
        <f t="shared" si="5"/>
        <v>CoStep2StepTimeT4</v>
      </c>
      <c r="K77" t="s">
        <v>172</v>
      </c>
      <c r="M77" s="33" t="s">
        <v>92</v>
      </c>
      <c r="N77">
        <v>55</v>
      </c>
      <c r="P77" t="str">
        <f t="shared" si="4"/>
        <v>J55</v>
      </c>
      <c r="R77" t="s">
        <v>58</v>
      </c>
    </row>
    <row r="78" spans="1:18" x14ac:dyDescent="0.2">
      <c r="A78" s="33" t="s">
        <v>48</v>
      </c>
      <c r="B78" t="s">
        <v>82</v>
      </c>
      <c r="C78">
        <v>2</v>
      </c>
      <c r="D78" t="s">
        <v>83</v>
      </c>
      <c r="E78" t="s">
        <v>5</v>
      </c>
      <c r="F78" t="s">
        <v>89</v>
      </c>
      <c r="G78">
        <v>4</v>
      </c>
      <c r="I78" t="str">
        <f t="shared" si="5"/>
        <v>CoStep2DoubleSupportTimeT4</v>
      </c>
      <c r="K78" t="s">
        <v>173</v>
      </c>
      <c r="M78" s="33" t="s">
        <v>93</v>
      </c>
      <c r="N78">
        <v>55</v>
      </c>
      <c r="P78" t="str">
        <f t="shared" si="4"/>
        <v>O55</v>
      </c>
      <c r="R78" t="s">
        <v>59</v>
      </c>
    </row>
    <row r="79" spans="1:18" x14ac:dyDescent="0.2">
      <c r="A79" s="33" t="s">
        <v>48</v>
      </c>
      <c r="B79" t="s">
        <v>82</v>
      </c>
      <c r="C79">
        <v>2</v>
      </c>
      <c r="D79" t="s">
        <v>84</v>
      </c>
      <c r="E79" t="s">
        <v>5</v>
      </c>
      <c r="F79" t="s">
        <v>89</v>
      </c>
      <c r="G79">
        <v>4</v>
      </c>
      <c r="I79" t="str">
        <f t="shared" si="5"/>
        <v>CoStep2StanceTimeT4</v>
      </c>
      <c r="K79" t="s">
        <v>174</v>
      </c>
      <c r="M79" s="33" t="s">
        <v>89</v>
      </c>
      <c r="N79">
        <v>55</v>
      </c>
      <c r="P79" t="str">
        <f t="shared" si="4"/>
        <v>T55</v>
      </c>
      <c r="R79" t="s">
        <v>94</v>
      </c>
    </row>
    <row r="80" spans="1:18" x14ac:dyDescent="0.2">
      <c r="A80" s="33" t="s">
        <v>48</v>
      </c>
      <c r="B80" t="s">
        <v>82</v>
      </c>
      <c r="C80">
        <v>3</v>
      </c>
      <c r="D80" t="s">
        <v>80</v>
      </c>
      <c r="E80" t="s">
        <v>81</v>
      </c>
      <c r="F80" t="s">
        <v>89</v>
      </c>
      <c r="G80">
        <v>4</v>
      </c>
      <c r="I80" t="str">
        <f t="shared" si="5"/>
        <v>CoStep3StepLengthSwingsideT4</v>
      </c>
      <c r="K80" t="s">
        <v>175</v>
      </c>
      <c r="M80" s="33" t="s">
        <v>90</v>
      </c>
      <c r="N80">
        <v>80</v>
      </c>
      <c r="P80" t="str">
        <f t="shared" si="4"/>
        <v>B80</v>
      </c>
      <c r="R80" t="s">
        <v>60</v>
      </c>
    </row>
    <row r="81" spans="1:18" x14ac:dyDescent="0.2">
      <c r="A81" s="33" t="s">
        <v>48</v>
      </c>
      <c r="B81" t="s">
        <v>82</v>
      </c>
      <c r="C81">
        <v>3</v>
      </c>
      <c r="D81" t="s">
        <v>80</v>
      </c>
      <c r="E81" t="s">
        <v>4</v>
      </c>
      <c r="F81" t="s">
        <v>89</v>
      </c>
      <c r="G81">
        <v>4</v>
      </c>
      <c r="I81" t="str">
        <f t="shared" si="5"/>
        <v>CoStep3StepLengthDistanceT4</v>
      </c>
      <c r="K81" t="s">
        <v>176</v>
      </c>
      <c r="M81" s="33" t="s">
        <v>91</v>
      </c>
      <c r="N81">
        <v>80</v>
      </c>
      <c r="P81" t="str">
        <f t="shared" si="4"/>
        <v>E80</v>
      </c>
      <c r="R81" t="s">
        <v>61</v>
      </c>
    </row>
    <row r="82" spans="1:18" x14ac:dyDescent="0.2">
      <c r="A82" s="33" t="s">
        <v>48</v>
      </c>
      <c r="B82" t="s">
        <v>82</v>
      </c>
      <c r="C82">
        <v>3</v>
      </c>
      <c r="D82" t="s">
        <v>82</v>
      </c>
      <c r="E82" t="s">
        <v>5</v>
      </c>
      <c r="F82" t="s">
        <v>89</v>
      </c>
      <c r="G82">
        <v>4</v>
      </c>
      <c r="I82" t="str">
        <f t="shared" si="5"/>
        <v>CoStep3StepTimeT4</v>
      </c>
      <c r="K82" t="s">
        <v>177</v>
      </c>
      <c r="M82" s="33" t="s">
        <v>92</v>
      </c>
      <c r="N82">
        <v>80</v>
      </c>
      <c r="P82" t="str">
        <f t="shared" si="4"/>
        <v>J80</v>
      </c>
      <c r="R82" t="s">
        <v>62</v>
      </c>
    </row>
    <row r="83" spans="1:18" x14ac:dyDescent="0.2">
      <c r="A83" s="33" t="s">
        <v>48</v>
      </c>
      <c r="B83" t="s">
        <v>82</v>
      </c>
      <c r="C83">
        <v>3</v>
      </c>
      <c r="D83" t="s">
        <v>83</v>
      </c>
      <c r="E83" t="s">
        <v>5</v>
      </c>
      <c r="F83" t="s">
        <v>89</v>
      </c>
      <c r="G83">
        <v>4</v>
      </c>
      <c r="I83" t="str">
        <f t="shared" si="5"/>
        <v>CoStep3DoubleSupportTimeT4</v>
      </c>
      <c r="K83" t="s">
        <v>178</v>
      </c>
      <c r="M83" s="33" t="s">
        <v>93</v>
      </c>
      <c r="N83">
        <v>80</v>
      </c>
      <c r="P83" t="str">
        <f t="shared" si="4"/>
        <v>O80</v>
      </c>
      <c r="R83" t="s">
        <v>63</v>
      </c>
    </row>
    <row r="84" spans="1:18" x14ac:dyDescent="0.2">
      <c r="A84" s="33" t="s">
        <v>48</v>
      </c>
      <c r="B84" t="s">
        <v>82</v>
      </c>
      <c r="C84">
        <v>3</v>
      </c>
      <c r="D84" t="s">
        <v>84</v>
      </c>
      <c r="E84" t="s">
        <v>5</v>
      </c>
      <c r="F84" t="s">
        <v>89</v>
      </c>
      <c r="G84">
        <v>4</v>
      </c>
      <c r="I84" t="str">
        <f t="shared" si="5"/>
        <v>CoStep3StanceTimeT4</v>
      </c>
      <c r="K84" t="s">
        <v>179</v>
      </c>
      <c r="M84" s="33" t="s">
        <v>89</v>
      </c>
      <c r="N84">
        <v>80</v>
      </c>
      <c r="P84" t="str">
        <f t="shared" si="4"/>
        <v>T80</v>
      </c>
      <c r="R84" t="s">
        <v>95</v>
      </c>
    </row>
    <row r="85" spans="1:18" x14ac:dyDescent="0.2">
      <c r="A85" s="33" t="s">
        <v>48</v>
      </c>
      <c r="B85" t="s">
        <v>85</v>
      </c>
      <c r="C85">
        <v>1</v>
      </c>
      <c r="D85" t="s">
        <v>86</v>
      </c>
      <c r="E85" t="s">
        <v>87</v>
      </c>
      <c r="F85" t="s">
        <v>89</v>
      </c>
      <c r="G85">
        <v>4</v>
      </c>
      <c r="I85" t="str">
        <f t="shared" si="5"/>
        <v>CoStride1StrideLengthSide0%T4</v>
      </c>
      <c r="K85" t="s">
        <v>180</v>
      </c>
      <c r="M85" s="33" t="s">
        <v>90</v>
      </c>
      <c r="N85">
        <v>105</v>
      </c>
      <c r="P85" t="str">
        <f t="shared" si="4"/>
        <v>B105</v>
      </c>
      <c r="R85" t="s">
        <v>64</v>
      </c>
    </row>
    <row r="86" spans="1:18" x14ac:dyDescent="0.2">
      <c r="A86" s="33" t="s">
        <v>48</v>
      </c>
      <c r="B86" t="s">
        <v>85</v>
      </c>
      <c r="C86">
        <v>1</v>
      </c>
      <c r="D86" t="s">
        <v>86</v>
      </c>
      <c r="E86" t="s">
        <v>4</v>
      </c>
      <c r="F86" t="s">
        <v>89</v>
      </c>
      <c r="G86">
        <v>4</v>
      </c>
      <c r="I86" t="str">
        <f t="shared" si="5"/>
        <v>CoStride1StrideLengthDistanceT4</v>
      </c>
      <c r="K86" t="s">
        <v>181</v>
      </c>
      <c r="M86" s="33" t="s">
        <v>91</v>
      </c>
      <c r="N86">
        <v>105</v>
      </c>
      <c r="P86" t="str">
        <f t="shared" si="4"/>
        <v>E105</v>
      </c>
      <c r="R86" t="s">
        <v>65</v>
      </c>
    </row>
    <row r="87" spans="1:18" x14ac:dyDescent="0.2">
      <c r="A87" s="33" t="s">
        <v>48</v>
      </c>
      <c r="B87" t="s">
        <v>85</v>
      </c>
      <c r="C87">
        <v>1</v>
      </c>
      <c r="D87" t="s">
        <v>85</v>
      </c>
      <c r="E87" t="s">
        <v>5</v>
      </c>
      <c r="F87" t="s">
        <v>89</v>
      </c>
      <c r="G87">
        <v>4</v>
      </c>
      <c r="I87" t="str">
        <f t="shared" si="5"/>
        <v>CoStride1StrideTimeT4</v>
      </c>
      <c r="K87" t="s">
        <v>182</v>
      </c>
      <c r="M87" s="33" t="s">
        <v>92</v>
      </c>
      <c r="N87">
        <v>105</v>
      </c>
      <c r="P87" t="str">
        <f t="shared" si="4"/>
        <v>J105</v>
      </c>
      <c r="R87" t="s">
        <v>66</v>
      </c>
    </row>
    <row r="88" spans="1:18" x14ac:dyDescent="0.2">
      <c r="A88" s="33" t="s">
        <v>48</v>
      </c>
      <c r="B88" t="s">
        <v>85</v>
      </c>
      <c r="C88">
        <v>1</v>
      </c>
      <c r="D88" t="s">
        <v>88</v>
      </c>
      <c r="E88" t="s">
        <v>5</v>
      </c>
      <c r="F88" t="s">
        <v>89</v>
      </c>
      <c r="G88">
        <v>4</v>
      </c>
      <c r="I88" t="str">
        <f t="shared" si="5"/>
        <v>CoStride1SwingTimeT4</v>
      </c>
      <c r="K88" t="s">
        <v>183</v>
      </c>
      <c r="M88" s="33" t="s">
        <v>93</v>
      </c>
      <c r="N88">
        <v>105</v>
      </c>
      <c r="P88" t="str">
        <f t="shared" si="4"/>
        <v>O105</v>
      </c>
      <c r="R88" t="s">
        <v>67</v>
      </c>
    </row>
    <row r="89" spans="1:18" x14ac:dyDescent="0.2">
      <c r="A89" s="33" t="s">
        <v>48</v>
      </c>
      <c r="B89" t="s">
        <v>85</v>
      </c>
      <c r="C89">
        <v>2</v>
      </c>
      <c r="D89" t="s">
        <v>86</v>
      </c>
      <c r="E89" t="s">
        <v>87</v>
      </c>
      <c r="F89" t="s">
        <v>89</v>
      </c>
      <c r="G89">
        <v>4</v>
      </c>
      <c r="I89" t="str">
        <f t="shared" si="5"/>
        <v>CoStride2StrideLengthSide0%T4</v>
      </c>
      <c r="K89" t="s">
        <v>184</v>
      </c>
      <c r="M89" s="33" t="s">
        <v>90</v>
      </c>
      <c r="N89">
        <v>130</v>
      </c>
      <c r="P89" t="str">
        <f t="shared" si="4"/>
        <v>B130</v>
      </c>
      <c r="R89" t="s">
        <v>68</v>
      </c>
    </row>
    <row r="90" spans="1:18" x14ac:dyDescent="0.2">
      <c r="A90" s="33" t="s">
        <v>48</v>
      </c>
      <c r="B90" t="s">
        <v>85</v>
      </c>
      <c r="C90">
        <v>2</v>
      </c>
      <c r="D90" t="s">
        <v>86</v>
      </c>
      <c r="E90" t="s">
        <v>4</v>
      </c>
      <c r="F90" t="s">
        <v>89</v>
      </c>
      <c r="G90">
        <v>4</v>
      </c>
      <c r="I90" t="str">
        <f t="shared" si="5"/>
        <v>CoStride2StrideLengthDistanceT4</v>
      </c>
      <c r="K90" t="s">
        <v>185</v>
      </c>
      <c r="M90" s="33" t="s">
        <v>91</v>
      </c>
      <c r="N90">
        <v>130</v>
      </c>
      <c r="P90" t="str">
        <f t="shared" si="4"/>
        <v>E130</v>
      </c>
      <c r="R90" t="s">
        <v>69</v>
      </c>
    </row>
    <row r="91" spans="1:18" x14ac:dyDescent="0.2">
      <c r="A91" s="33" t="s">
        <v>48</v>
      </c>
      <c r="B91" t="s">
        <v>85</v>
      </c>
      <c r="C91">
        <v>2</v>
      </c>
      <c r="D91" t="s">
        <v>85</v>
      </c>
      <c r="E91" t="s">
        <v>5</v>
      </c>
      <c r="F91" t="s">
        <v>89</v>
      </c>
      <c r="G91">
        <v>4</v>
      </c>
      <c r="I91" t="str">
        <f t="shared" si="5"/>
        <v>CoStride2StrideTimeT4</v>
      </c>
      <c r="K91" t="s">
        <v>186</v>
      </c>
      <c r="M91" s="33" t="s">
        <v>92</v>
      </c>
      <c r="N91">
        <v>130</v>
      </c>
      <c r="P91" t="str">
        <f t="shared" si="4"/>
        <v>J130</v>
      </c>
      <c r="R91" t="s">
        <v>70</v>
      </c>
    </row>
    <row r="92" spans="1:18" x14ac:dyDescent="0.2">
      <c r="A92" s="33" t="s">
        <v>48</v>
      </c>
      <c r="B92" t="s">
        <v>85</v>
      </c>
      <c r="C92">
        <v>2</v>
      </c>
      <c r="D92" t="s">
        <v>88</v>
      </c>
      <c r="E92" t="s">
        <v>5</v>
      </c>
      <c r="F92" t="s">
        <v>89</v>
      </c>
      <c r="G92">
        <v>4</v>
      </c>
      <c r="I92" t="str">
        <f t="shared" si="5"/>
        <v>CoStride2SwingTimeT4</v>
      </c>
      <c r="K92" t="s">
        <v>187</v>
      </c>
      <c r="M92" s="33" t="s">
        <v>93</v>
      </c>
      <c r="N92">
        <v>130</v>
      </c>
      <c r="P92" t="str">
        <f t="shared" si="4"/>
        <v>O130</v>
      </c>
      <c r="R92" t="s">
        <v>71</v>
      </c>
    </row>
    <row r="93" spans="1:18" x14ac:dyDescent="0.2">
      <c r="A93" s="33" t="s">
        <v>48</v>
      </c>
      <c r="B93" t="s">
        <v>82</v>
      </c>
      <c r="C93">
        <v>1</v>
      </c>
      <c r="D93" t="s">
        <v>80</v>
      </c>
      <c r="E93" t="s">
        <v>81</v>
      </c>
      <c r="F93" t="s">
        <v>89</v>
      </c>
      <c r="G93">
        <v>5</v>
      </c>
      <c r="I93" t="str">
        <f>A93&amp;B93&amp;C93&amp;D93&amp;E93&amp;F93&amp;G93</f>
        <v>CoStep1StepLengthSwingsideT5</v>
      </c>
      <c r="K93" t="s">
        <v>188</v>
      </c>
      <c r="M93" s="33" t="s">
        <v>90</v>
      </c>
      <c r="N93">
        <v>30</v>
      </c>
      <c r="P93" t="str">
        <f t="shared" si="4"/>
        <v>B30</v>
      </c>
      <c r="R93" t="s">
        <v>52</v>
      </c>
    </row>
    <row r="94" spans="1:18" x14ac:dyDescent="0.2">
      <c r="A94" s="33" t="s">
        <v>48</v>
      </c>
      <c r="B94" t="s">
        <v>82</v>
      </c>
      <c r="C94">
        <v>1</v>
      </c>
      <c r="D94" t="s">
        <v>80</v>
      </c>
      <c r="E94" t="s">
        <v>4</v>
      </c>
      <c r="F94" t="s">
        <v>89</v>
      </c>
      <c r="G94">
        <v>5</v>
      </c>
      <c r="I94" t="str">
        <f t="shared" ref="I94:I115" si="6">A94&amp;B94&amp;C94&amp;D94&amp;E94&amp;F94&amp;G94</f>
        <v>CoStep1StepLengthDistanceT5</v>
      </c>
      <c r="K94" t="s">
        <v>189</v>
      </c>
      <c r="M94" s="33" t="s">
        <v>91</v>
      </c>
      <c r="N94">
        <v>30</v>
      </c>
      <c r="P94" t="str">
        <f t="shared" si="4"/>
        <v>E30</v>
      </c>
      <c r="R94" t="s">
        <v>53</v>
      </c>
    </row>
    <row r="95" spans="1:18" x14ac:dyDescent="0.2">
      <c r="A95" s="33" t="s">
        <v>48</v>
      </c>
      <c r="B95" t="s">
        <v>82</v>
      </c>
      <c r="C95">
        <v>1</v>
      </c>
      <c r="D95" t="s">
        <v>82</v>
      </c>
      <c r="E95" t="s">
        <v>5</v>
      </c>
      <c r="F95" t="s">
        <v>89</v>
      </c>
      <c r="G95">
        <v>5</v>
      </c>
      <c r="I95" t="str">
        <f t="shared" si="6"/>
        <v>CoStep1StepTimeT5</v>
      </c>
      <c r="K95" t="s">
        <v>190</v>
      </c>
      <c r="M95" s="33" t="s">
        <v>92</v>
      </c>
      <c r="N95">
        <v>30</v>
      </c>
      <c r="P95" t="str">
        <f t="shared" si="4"/>
        <v>J30</v>
      </c>
      <c r="R95" t="s">
        <v>54</v>
      </c>
    </row>
    <row r="96" spans="1:18" x14ac:dyDescent="0.2">
      <c r="A96" s="33" t="s">
        <v>48</v>
      </c>
      <c r="B96" t="s">
        <v>82</v>
      </c>
      <c r="C96">
        <v>1</v>
      </c>
      <c r="D96" t="s">
        <v>83</v>
      </c>
      <c r="E96" t="s">
        <v>5</v>
      </c>
      <c r="F96" t="s">
        <v>89</v>
      </c>
      <c r="G96">
        <v>5</v>
      </c>
      <c r="I96" t="str">
        <f t="shared" si="6"/>
        <v>CoStep1DoubleSupportTimeT5</v>
      </c>
      <c r="K96" t="s">
        <v>191</v>
      </c>
      <c r="M96" s="33" t="s">
        <v>93</v>
      </c>
      <c r="N96">
        <v>30</v>
      </c>
      <c r="P96" t="str">
        <f t="shared" si="4"/>
        <v>O30</v>
      </c>
      <c r="R96" t="s">
        <v>55</v>
      </c>
    </row>
    <row r="97" spans="1:18" x14ac:dyDescent="0.2">
      <c r="A97" s="33" t="s">
        <v>48</v>
      </c>
      <c r="B97" t="s">
        <v>82</v>
      </c>
      <c r="C97">
        <v>1</v>
      </c>
      <c r="D97" t="s">
        <v>84</v>
      </c>
      <c r="E97" t="s">
        <v>5</v>
      </c>
      <c r="F97" t="s">
        <v>89</v>
      </c>
      <c r="G97">
        <v>5</v>
      </c>
      <c r="I97" t="str">
        <f t="shared" si="6"/>
        <v>CoStep1StanceTimeT5</v>
      </c>
      <c r="K97" t="s">
        <v>192</v>
      </c>
      <c r="M97" s="33" t="s">
        <v>89</v>
      </c>
      <c r="N97">
        <v>30</v>
      </c>
      <c r="P97" t="str">
        <f t="shared" si="4"/>
        <v>T30</v>
      </c>
      <c r="R97" t="s">
        <v>79</v>
      </c>
    </row>
    <row r="98" spans="1:18" x14ac:dyDescent="0.2">
      <c r="A98" s="33" t="s">
        <v>48</v>
      </c>
      <c r="B98" t="s">
        <v>82</v>
      </c>
      <c r="C98">
        <v>2</v>
      </c>
      <c r="D98" t="s">
        <v>80</v>
      </c>
      <c r="E98" t="s">
        <v>81</v>
      </c>
      <c r="F98" t="s">
        <v>89</v>
      </c>
      <c r="G98">
        <v>5</v>
      </c>
      <c r="I98" t="str">
        <f t="shared" si="6"/>
        <v>CoStep2StepLengthSwingsideT5</v>
      </c>
      <c r="K98" t="s">
        <v>193</v>
      </c>
      <c r="M98" s="33" t="s">
        <v>90</v>
      </c>
      <c r="N98">
        <v>55</v>
      </c>
      <c r="P98" t="str">
        <f t="shared" si="4"/>
        <v>B55</v>
      </c>
      <c r="R98" t="s">
        <v>56</v>
      </c>
    </row>
    <row r="99" spans="1:18" x14ac:dyDescent="0.2">
      <c r="A99" s="33" t="s">
        <v>48</v>
      </c>
      <c r="B99" t="s">
        <v>82</v>
      </c>
      <c r="C99">
        <v>2</v>
      </c>
      <c r="D99" t="s">
        <v>80</v>
      </c>
      <c r="E99" t="s">
        <v>4</v>
      </c>
      <c r="F99" t="s">
        <v>89</v>
      </c>
      <c r="G99">
        <v>5</v>
      </c>
      <c r="I99" t="str">
        <f t="shared" si="6"/>
        <v>CoStep2StepLengthDistanceT5</v>
      </c>
      <c r="K99" t="s">
        <v>194</v>
      </c>
      <c r="M99" s="33" t="s">
        <v>91</v>
      </c>
      <c r="N99">
        <v>55</v>
      </c>
      <c r="P99" t="str">
        <f t="shared" si="4"/>
        <v>E55</v>
      </c>
      <c r="R99" t="s">
        <v>57</v>
      </c>
    </row>
    <row r="100" spans="1:18" x14ac:dyDescent="0.2">
      <c r="A100" s="33" t="s">
        <v>48</v>
      </c>
      <c r="B100" t="s">
        <v>82</v>
      </c>
      <c r="C100">
        <v>2</v>
      </c>
      <c r="D100" t="s">
        <v>82</v>
      </c>
      <c r="E100" t="s">
        <v>5</v>
      </c>
      <c r="F100" t="s">
        <v>89</v>
      </c>
      <c r="G100">
        <v>5</v>
      </c>
      <c r="I100" t="str">
        <f t="shared" si="6"/>
        <v>CoStep2StepTimeT5</v>
      </c>
      <c r="K100" t="s">
        <v>195</v>
      </c>
      <c r="M100" s="33" t="s">
        <v>92</v>
      </c>
      <c r="N100">
        <v>55</v>
      </c>
      <c r="P100" t="str">
        <f t="shared" si="4"/>
        <v>J55</v>
      </c>
      <c r="R100" t="s">
        <v>58</v>
      </c>
    </row>
    <row r="101" spans="1:18" x14ac:dyDescent="0.2">
      <c r="A101" s="33" t="s">
        <v>48</v>
      </c>
      <c r="B101" t="s">
        <v>82</v>
      </c>
      <c r="C101">
        <v>2</v>
      </c>
      <c r="D101" t="s">
        <v>83</v>
      </c>
      <c r="E101" t="s">
        <v>5</v>
      </c>
      <c r="F101" t="s">
        <v>89</v>
      </c>
      <c r="G101">
        <v>5</v>
      </c>
      <c r="I101" t="str">
        <f t="shared" si="6"/>
        <v>CoStep2DoubleSupportTimeT5</v>
      </c>
      <c r="K101" t="s">
        <v>196</v>
      </c>
      <c r="M101" s="33" t="s">
        <v>93</v>
      </c>
      <c r="N101">
        <v>55</v>
      </c>
      <c r="P101" t="str">
        <f t="shared" si="4"/>
        <v>O55</v>
      </c>
      <c r="R101" t="s">
        <v>59</v>
      </c>
    </row>
    <row r="102" spans="1:18" x14ac:dyDescent="0.2">
      <c r="A102" s="33" t="s">
        <v>48</v>
      </c>
      <c r="B102" t="s">
        <v>82</v>
      </c>
      <c r="C102">
        <v>2</v>
      </c>
      <c r="D102" t="s">
        <v>84</v>
      </c>
      <c r="E102" t="s">
        <v>5</v>
      </c>
      <c r="F102" t="s">
        <v>89</v>
      </c>
      <c r="G102">
        <v>5</v>
      </c>
      <c r="I102" t="str">
        <f t="shared" si="6"/>
        <v>CoStep2StanceTimeT5</v>
      </c>
      <c r="K102" t="s">
        <v>197</v>
      </c>
      <c r="M102" s="33" t="s">
        <v>89</v>
      </c>
      <c r="N102">
        <v>55</v>
      </c>
      <c r="P102" t="str">
        <f t="shared" si="4"/>
        <v>T55</v>
      </c>
      <c r="R102" t="s">
        <v>94</v>
      </c>
    </row>
    <row r="103" spans="1:18" x14ac:dyDescent="0.2">
      <c r="A103" s="33" t="s">
        <v>48</v>
      </c>
      <c r="B103" t="s">
        <v>82</v>
      </c>
      <c r="C103">
        <v>3</v>
      </c>
      <c r="D103" t="s">
        <v>80</v>
      </c>
      <c r="E103" t="s">
        <v>81</v>
      </c>
      <c r="F103" t="s">
        <v>89</v>
      </c>
      <c r="G103">
        <v>5</v>
      </c>
      <c r="I103" t="str">
        <f t="shared" si="6"/>
        <v>CoStep3StepLengthSwingsideT5</v>
      </c>
      <c r="K103" t="s">
        <v>198</v>
      </c>
      <c r="M103" s="33" t="s">
        <v>90</v>
      </c>
      <c r="N103">
        <v>80</v>
      </c>
      <c r="P103" t="str">
        <f t="shared" si="4"/>
        <v>B80</v>
      </c>
      <c r="R103" t="s">
        <v>60</v>
      </c>
    </row>
    <row r="104" spans="1:18" x14ac:dyDescent="0.2">
      <c r="A104" s="33" t="s">
        <v>48</v>
      </c>
      <c r="B104" t="s">
        <v>82</v>
      </c>
      <c r="C104">
        <v>3</v>
      </c>
      <c r="D104" t="s">
        <v>80</v>
      </c>
      <c r="E104" t="s">
        <v>4</v>
      </c>
      <c r="F104" t="s">
        <v>89</v>
      </c>
      <c r="G104">
        <v>5</v>
      </c>
      <c r="I104" t="str">
        <f t="shared" si="6"/>
        <v>CoStep3StepLengthDistanceT5</v>
      </c>
      <c r="K104" t="s">
        <v>199</v>
      </c>
      <c r="M104" s="33" t="s">
        <v>91</v>
      </c>
      <c r="N104">
        <v>80</v>
      </c>
      <c r="P104" t="str">
        <f t="shared" si="4"/>
        <v>E80</v>
      </c>
      <c r="R104" t="s">
        <v>61</v>
      </c>
    </row>
    <row r="105" spans="1:18" x14ac:dyDescent="0.2">
      <c r="A105" s="33" t="s">
        <v>48</v>
      </c>
      <c r="B105" t="s">
        <v>82</v>
      </c>
      <c r="C105">
        <v>3</v>
      </c>
      <c r="D105" t="s">
        <v>82</v>
      </c>
      <c r="E105" t="s">
        <v>5</v>
      </c>
      <c r="F105" t="s">
        <v>89</v>
      </c>
      <c r="G105">
        <v>5</v>
      </c>
      <c r="I105" t="str">
        <f t="shared" si="6"/>
        <v>CoStep3StepTimeT5</v>
      </c>
      <c r="K105" t="s">
        <v>200</v>
      </c>
      <c r="M105" s="33" t="s">
        <v>92</v>
      </c>
      <c r="N105">
        <v>80</v>
      </c>
      <c r="P105" t="str">
        <f t="shared" si="4"/>
        <v>J80</v>
      </c>
      <c r="R105" t="s">
        <v>62</v>
      </c>
    </row>
    <row r="106" spans="1:18" x14ac:dyDescent="0.2">
      <c r="A106" s="33" t="s">
        <v>48</v>
      </c>
      <c r="B106" t="s">
        <v>82</v>
      </c>
      <c r="C106">
        <v>3</v>
      </c>
      <c r="D106" t="s">
        <v>83</v>
      </c>
      <c r="E106" t="s">
        <v>5</v>
      </c>
      <c r="F106" t="s">
        <v>89</v>
      </c>
      <c r="G106">
        <v>5</v>
      </c>
      <c r="I106" t="str">
        <f t="shared" si="6"/>
        <v>CoStep3DoubleSupportTimeT5</v>
      </c>
      <c r="K106" t="s">
        <v>201</v>
      </c>
      <c r="M106" s="33" t="s">
        <v>93</v>
      </c>
      <c r="N106">
        <v>80</v>
      </c>
      <c r="P106" t="str">
        <f t="shared" si="4"/>
        <v>O80</v>
      </c>
      <c r="R106" t="s">
        <v>63</v>
      </c>
    </row>
    <row r="107" spans="1:18" x14ac:dyDescent="0.2">
      <c r="A107" s="33" t="s">
        <v>48</v>
      </c>
      <c r="B107" t="s">
        <v>82</v>
      </c>
      <c r="C107">
        <v>3</v>
      </c>
      <c r="D107" t="s">
        <v>84</v>
      </c>
      <c r="E107" t="s">
        <v>5</v>
      </c>
      <c r="F107" t="s">
        <v>89</v>
      </c>
      <c r="G107">
        <v>5</v>
      </c>
      <c r="I107" t="str">
        <f t="shared" si="6"/>
        <v>CoStep3StanceTimeT5</v>
      </c>
      <c r="K107" t="s">
        <v>202</v>
      </c>
      <c r="M107" s="33" t="s">
        <v>89</v>
      </c>
      <c r="N107">
        <v>80</v>
      </c>
      <c r="P107" t="str">
        <f t="shared" si="4"/>
        <v>T80</v>
      </c>
      <c r="R107" t="s">
        <v>95</v>
      </c>
    </row>
    <row r="108" spans="1:18" x14ac:dyDescent="0.2">
      <c r="A108" s="33" t="s">
        <v>48</v>
      </c>
      <c r="B108" t="s">
        <v>85</v>
      </c>
      <c r="C108">
        <v>1</v>
      </c>
      <c r="D108" t="s">
        <v>86</v>
      </c>
      <c r="E108" t="s">
        <v>87</v>
      </c>
      <c r="F108" t="s">
        <v>89</v>
      </c>
      <c r="G108">
        <v>5</v>
      </c>
      <c r="I108" t="str">
        <f t="shared" si="6"/>
        <v>CoStride1StrideLengthSide0%T5</v>
      </c>
      <c r="K108" t="s">
        <v>203</v>
      </c>
      <c r="M108" s="33" t="s">
        <v>90</v>
      </c>
      <c r="N108">
        <v>105</v>
      </c>
      <c r="P108" t="str">
        <f t="shared" si="4"/>
        <v>B105</v>
      </c>
      <c r="R108" t="s">
        <v>64</v>
      </c>
    </row>
    <row r="109" spans="1:18" x14ac:dyDescent="0.2">
      <c r="A109" s="33" t="s">
        <v>48</v>
      </c>
      <c r="B109" t="s">
        <v>85</v>
      </c>
      <c r="C109">
        <v>1</v>
      </c>
      <c r="D109" t="s">
        <v>86</v>
      </c>
      <c r="E109" t="s">
        <v>4</v>
      </c>
      <c r="F109" t="s">
        <v>89</v>
      </c>
      <c r="G109">
        <v>5</v>
      </c>
      <c r="I109" t="str">
        <f t="shared" si="6"/>
        <v>CoStride1StrideLengthDistanceT5</v>
      </c>
      <c r="K109" t="s">
        <v>204</v>
      </c>
      <c r="M109" s="33" t="s">
        <v>91</v>
      </c>
      <c r="N109">
        <v>105</v>
      </c>
      <c r="P109" t="str">
        <f t="shared" si="4"/>
        <v>E105</v>
      </c>
      <c r="R109" t="s">
        <v>65</v>
      </c>
    </row>
    <row r="110" spans="1:18" x14ac:dyDescent="0.2">
      <c r="A110" s="33" t="s">
        <v>48</v>
      </c>
      <c r="B110" t="s">
        <v>85</v>
      </c>
      <c r="C110">
        <v>1</v>
      </c>
      <c r="D110" t="s">
        <v>85</v>
      </c>
      <c r="E110" t="s">
        <v>5</v>
      </c>
      <c r="F110" t="s">
        <v>89</v>
      </c>
      <c r="G110">
        <v>5</v>
      </c>
      <c r="I110" t="str">
        <f t="shared" si="6"/>
        <v>CoStride1StrideTimeT5</v>
      </c>
      <c r="K110" t="s">
        <v>205</v>
      </c>
      <c r="M110" s="33" t="s">
        <v>92</v>
      </c>
      <c r="N110">
        <v>105</v>
      </c>
      <c r="P110" t="str">
        <f t="shared" si="4"/>
        <v>J105</v>
      </c>
      <c r="R110" t="s">
        <v>66</v>
      </c>
    </row>
    <row r="111" spans="1:18" x14ac:dyDescent="0.2">
      <c r="A111" s="33" t="s">
        <v>48</v>
      </c>
      <c r="B111" t="s">
        <v>85</v>
      </c>
      <c r="C111">
        <v>1</v>
      </c>
      <c r="D111" t="s">
        <v>88</v>
      </c>
      <c r="E111" t="s">
        <v>5</v>
      </c>
      <c r="F111" t="s">
        <v>89</v>
      </c>
      <c r="G111">
        <v>5</v>
      </c>
      <c r="I111" t="str">
        <f t="shared" si="6"/>
        <v>CoStride1SwingTimeT5</v>
      </c>
      <c r="K111" t="s">
        <v>206</v>
      </c>
      <c r="M111" s="33" t="s">
        <v>93</v>
      </c>
      <c r="N111">
        <v>105</v>
      </c>
      <c r="P111" t="str">
        <f t="shared" si="4"/>
        <v>O105</v>
      </c>
      <c r="R111" t="s">
        <v>67</v>
      </c>
    </row>
    <row r="112" spans="1:18" x14ac:dyDescent="0.2">
      <c r="A112" s="33" t="s">
        <v>48</v>
      </c>
      <c r="B112" t="s">
        <v>85</v>
      </c>
      <c r="C112">
        <v>2</v>
      </c>
      <c r="D112" t="s">
        <v>86</v>
      </c>
      <c r="E112" t="s">
        <v>87</v>
      </c>
      <c r="F112" t="s">
        <v>89</v>
      </c>
      <c r="G112">
        <v>5</v>
      </c>
      <c r="I112" t="str">
        <f t="shared" si="6"/>
        <v>CoStride2StrideLengthSide0%T5</v>
      </c>
      <c r="K112" t="s">
        <v>207</v>
      </c>
      <c r="M112" s="33" t="s">
        <v>90</v>
      </c>
      <c r="N112">
        <v>130</v>
      </c>
      <c r="P112" t="str">
        <f t="shared" si="4"/>
        <v>B130</v>
      </c>
      <c r="R112" t="s">
        <v>68</v>
      </c>
    </row>
    <row r="113" spans="1:18" x14ac:dyDescent="0.2">
      <c r="A113" s="33" t="s">
        <v>48</v>
      </c>
      <c r="B113" t="s">
        <v>85</v>
      </c>
      <c r="C113">
        <v>2</v>
      </c>
      <c r="D113" t="s">
        <v>86</v>
      </c>
      <c r="E113" t="s">
        <v>4</v>
      </c>
      <c r="F113" t="s">
        <v>89</v>
      </c>
      <c r="G113">
        <v>5</v>
      </c>
      <c r="I113" t="str">
        <f t="shared" si="6"/>
        <v>CoStride2StrideLengthDistanceT5</v>
      </c>
      <c r="K113" t="s">
        <v>208</v>
      </c>
      <c r="M113" s="33" t="s">
        <v>91</v>
      </c>
      <c r="N113">
        <v>130</v>
      </c>
      <c r="P113" t="str">
        <f t="shared" si="4"/>
        <v>E130</v>
      </c>
      <c r="R113" t="s">
        <v>69</v>
      </c>
    </row>
    <row r="114" spans="1:18" x14ac:dyDescent="0.2">
      <c r="A114" s="33" t="s">
        <v>48</v>
      </c>
      <c r="B114" t="s">
        <v>85</v>
      </c>
      <c r="C114">
        <v>2</v>
      </c>
      <c r="D114" t="s">
        <v>85</v>
      </c>
      <c r="E114" t="s">
        <v>5</v>
      </c>
      <c r="F114" t="s">
        <v>89</v>
      </c>
      <c r="G114">
        <v>5</v>
      </c>
      <c r="I114" t="str">
        <f t="shared" si="6"/>
        <v>CoStride2StrideTimeT5</v>
      </c>
      <c r="K114" t="s">
        <v>209</v>
      </c>
      <c r="M114" s="33" t="s">
        <v>92</v>
      </c>
      <c r="N114">
        <v>130</v>
      </c>
      <c r="P114" t="str">
        <f t="shared" si="4"/>
        <v>J130</v>
      </c>
      <c r="R114" t="s">
        <v>70</v>
      </c>
    </row>
    <row r="115" spans="1:18" x14ac:dyDescent="0.2">
      <c r="A115" s="33" t="s">
        <v>48</v>
      </c>
      <c r="B115" t="s">
        <v>85</v>
      </c>
      <c r="C115">
        <v>2</v>
      </c>
      <c r="D115" t="s">
        <v>88</v>
      </c>
      <c r="E115" t="s">
        <v>5</v>
      </c>
      <c r="F115" t="s">
        <v>89</v>
      </c>
      <c r="G115">
        <v>5</v>
      </c>
      <c r="I115" t="str">
        <f t="shared" si="6"/>
        <v>CoStride2SwingTimeT5</v>
      </c>
      <c r="K115" t="s">
        <v>210</v>
      </c>
      <c r="M115" s="33" t="s">
        <v>93</v>
      </c>
      <c r="N115">
        <v>130</v>
      </c>
      <c r="P115" t="str">
        <f t="shared" si="4"/>
        <v>O130</v>
      </c>
      <c r="R115" t="s">
        <v>71</v>
      </c>
    </row>
    <row r="116" spans="1:18" x14ac:dyDescent="0.2">
      <c r="A116" s="33" t="s">
        <v>48</v>
      </c>
      <c r="B116" t="s">
        <v>82</v>
      </c>
      <c r="C116">
        <v>1</v>
      </c>
      <c r="D116" t="s">
        <v>80</v>
      </c>
      <c r="E116" t="s">
        <v>81</v>
      </c>
      <c r="F116" t="s">
        <v>89</v>
      </c>
      <c r="G116">
        <v>6</v>
      </c>
      <c r="I116" t="str">
        <f>A116&amp;B116&amp;C116&amp;D116&amp;E116&amp;F116&amp;G116</f>
        <v>CoStep1StepLengthSwingsideT6</v>
      </c>
      <c r="K116" t="s">
        <v>211</v>
      </c>
      <c r="M116" s="33" t="s">
        <v>90</v>
      </c>
      <c r="N116">
        <v>30</v>
      </c>
      <c r="P116" t="str">
        <f t="shared" si="4"/>
        <v>B30</v>
      </c>
      <c r="R116" t="s">
        <v>52</v>
      </c>
    </row>
    <row r="117" spans="1:18" x14ac:dyDescent="0.2">
      <c r="A117" s="33" t="s">
        <v>48</v>
      </c>
      <c r="B117" t="s">
        <v>82</v>
      </c>
      <c r="C117">
        <v>1</v>
      </c>
      <c r="D117" t="s">
        <v>80</v>
      </c>
      <c r="E117" t="s">
        <v>4</v>
      </c>
      <c r="F117" t="s">
        <v>89</v>
      </c>
      <c r="G117">
        <v>6</v>
      </c>
      <c r="I117" t="str">
        <f t="shared" ref="I117:I138" si="7">A117&amp;B117&amp;C117&amp;D117&amp;E117&amp;F117&amp;G117</f>
        <v>CoStep1StepLengthDistanceT6</v>
      </c>
      <c r="K117" t="s">
        <v>212</v>
      </c>
      <c r="M117" s="33" t="s">
        <v>91</v>
      </c>
      <c r="N117">
        <v>30</v>
      </c>
      <c r="P117" t="str">
        <f t="shared" si="4"/>
        <v>E30</v>
      </c>
      <c r="R117" t="s">
        <v>53</v>
      </c>
    </row>
    <row r="118" spans="1:18" x14ac:dyDescent="0.2">
      <c r="A118" s="33" t="s">
        <v>48</v>
      </c>
      <c r="B118" t="s">
        <v>82</v>
      </c>
      <c r="C118">
        <v>1</v>
      </c>
      <c r="D118" t="s">
        <v>82</v>
      </c>
      <c r="E118" t="s">
        <v>5</v>
      </c>
      <c r="F118" t="s">
        <v>89</v>
      </c>
      <c r="G118">
        <v>6</v>
      </c>
      <c r="I118" t="str">
        <f t="shared" si="7"/>
        <v>CoStep1StepTimeT6</v>
      </c>
      <c r="K118" t="s">
        <v>213</v>
      </c>
      <c r="M118" s="33" t="s">
        <v>92</v>
      </c>
      <c r="N118">
        <v>30</v>
      </c>
      <c r="P118" t="str">
        <f t="shared" si="4"/>
        <v>J30</v>
      </c>
      <c r="R118" t="s">
        <v>54</v>
      </c>
    </row>
    <row r="119" spans="1:18" x14ac:dyDescent="0.2">
      <c r="A119" s="33" t="s">
        <v>48</v>
      </c>
      <c r="B119" t="s">
        <v>82</v>
      </c>
      <c r="C119">
        <v>1</v>
      </c>
      <c r="D119" t="s">
        <v>83</v>
      </c>
      <c r="E119" t="s">
        <v>5</v>
      </c>
      <c r="F119" t="s">
        <v>89</v>
      </c>
      <c r="G119">
        <v>6</v>
      </c>
      <c r="I119" t="str">
        <f t="shared" si="7"/>
        <v>CoStep1DoubleSupportTimeT6</v>
      </c>
      <c r="K119" t="s">
        <v>214</v>
      </c>
      <c r="M119" s="33" t="s">
        <v>93</v>
      </c>
      <c r="N119">
        <v>30</v>
      </c>
      <c r="P119" t="str">
        <f t="shared" si="4"/>
        <v>O30</v>
      </c>
      <c r="R119" t="s">
        <v>55</v>
      </c>
    </row>
    <row r="120" spans="1:18" x14ac:dyDescent="0.2">
      <c r="A120" s="33" t="s">
        <v>48</v>
      </c>
      <c r="B120" t="s">
        <v>82</v>
      </c>
      <c r="C120">
        <v>1</v>
      </c>
      <c r="D120" t="s">
        <v>84</v>
      </c>
      <c r="E120" t="s">
        <v>5</v>
      </c>
      <c r="F120" t="s">
        <v>89</v>
      </c>
      <c r="G120">
        <v>6</v>
      </c>
      <c r="I120" t="str">
        <f t="shared" si="7"/>
        <v>CoStep1StanceTimeT6</v>
      </c>
      <c r="K120" t="s">
        <v>215</v>
      </c>
      <c r="M120" s="33" t="s">
        <v>89</v>
      </c>
      <c r="N120">
        <v>30</v>
      </c>
      <c r="P120" t="str">
        <f t="shared" si="4"/>
        <v>T30</v>
      </c>
      <c r="R120" t="s">
        <v>79</v>
      </c>
    </row>
    <row r="121" spans="1:18" x14ac:dyDescent="0.2">
      <c r="A121" s="33" t="s">
        <v>48</v>
      </c>
      <c r="B121" t="s">
        <v>82</v>
      </c>
      <c r="C121">
        <v>2</v>
      </c>
      <c r="D121" t="s">
        <v>80</v>
      </c>
      <c r="E121" t="s">
        <v>81</v>
      </c>
      <c r="F121" t="s">
        <v>89</v>
      </c>
      <c r="G121">
        <v>6</v>
      </c>
      <c r="I121" t="str">
        <f t="shared" si="7"/>
        <v>CoStep2StepLengthSwingsideT6</v>
      </c>
      <c r="K121" t="s">
        <v>216</v>
      </c>
      <c r="M121" s="33" t="s">
        <v>90</v>
      </c>
      <c r="N121">
        <v>55</v>
      </c>
      <c r="P121" t="str">
        <f t="shared" si="4"/>
        <v>B55</v>
      </c>
      <c r="R121" t="s">
        <v>56</v>
      </c>
    </row>
    <row r="122" spans="1:18" x14ac:dyDescent="0.2">
      <c r="A122" s="33" t="s">
        <v>48</v>
      </c>
      <c r="B122" t="s">
        <v>82</v>
      </c>
      <c r="C122">
        <v>2</v>
      </c>
      <c r="D122" t="s">
        <v>80</v>
      </c>
      <c r="E122" t="s">
        <v>4</v>
      </c>
      <c r="F122" t="s">
        <v>89</v>
      </c>
      <c r="G122">
        <v>6</v>
      </c>
      <c r="I122" t="str">
        <f t="shared" si="7"/>
        <v>CoStep2StepLengthDistanceT6</v>
      </c>
      <c r="K122" t="s">
        <v>217</v>
      </c>
      <c r="M122" s="33" t="s">
        <v>91</v>
      </c>
      <c r="N122">
        <v>55</v>
      </c>
      <c r="P122" t="str">
        <f t="shared" si="4"/>
        <v>E55</v>
      </c>
      <c r="R122" t="s">
        <v>57</v>
      </c>
    </row>
    <row r="123" spans="1:18" x14ac:dyDescent="0.2">
      <c r="A123" s="33" t="s">
        <v>48</v>
      </c>
      <c r="B123" t="s">
        <v>82</v>
      </c>
      <c r="C123">
        <v>2</v>
      </c>
      <c r="D123" t="s">
        <v>82</v>
      </c>
      <c r="E123" t="s">
        <v>5</v>
      </c>
      <c r="F123" t="s">
        <v>89</v>
      </c>
      <c r="G123">
        <v>6</v>
      </c>
      <c r="I123" t="str">
        <f t="shared" si="7"/>
        <v>CoStep2StepTimeT6</v>
      </c>
      <c r="K123" t="s">
        <v>218</v>
      </c>
      <c r="M123" s="33" t="s">
        <v>92</v>
      </c>
      <c r="N123">
        <v>55</v>
      </c>
      <c r="P123" t="str">
        <f t="shared" si="4"/>
        <v>J55</v>
      </c>
      <c r="R123" t="s">
        <v>58</v>
      </c>
    </row>
    <row r="124" spans="1:18" x14ac:dyDescent="0.2">
      <c r="A124" s="33" t="s">
        <v>48</v>
      </c>
      <c r="B124" t="s">
        <v>82</v>
      </c>
      <c r="C124">
        <v>2</v>
      </c>
      <c r="D124" t="s">
        <v>83</v>
      </c>
      <c r="E124" t="s">
        <v>5</v>
      </c>
      <c r="F124" t="s">
        <v>89</v>
      </c>
      <c r="G124">
        <v>6</v>
      </c>
      <c r="I124" t="str">
        <f t="shared" si="7"/>
        <v>CoStep2DoubleSupportTimeT6</v>
      </c>
      <c r="K124" t="s">
        <v>219</v>
      </c>
      <c r="M124" s="33" t="s">
        <v>93</v>
      </c>
      <c r="N124">
        <v>55</v>
      </c>
      <c r="P124" t="str">
        <f t="shared" si="4"/>
        <v>O55</v>
      </c>
      <c r="R124" t="s">
        <v>59</v>
      </c>
    </row>
    <row r="125" spans="1:18" x14ac:dyDescent="0.2">
      <c r="A125" s="33" t="s">
        <v>48</v>
      </c>
      <c r="B125" t="s">
        <v>82</v>
      </c>
      <c r="C125">
        <v>2</v>
      </c>
      <c r="D125" t="s">
        <v>84</v>
      </c>
      <c r="E125" t="s">
        <v>5</v>
      </c>
      <c r="F125" t="s">
        <v>89</v>
      </c>
      <c r="G125">
        <v>6</v>
      </c>
      <c r="I125" t="str">
        <f t="shared" si="7"/>
        <v>CoStep2StanceTimeT6</v>
      </c>
      <c r="K125" t="s">
        <v>220</v>
      </c>
      <c r="M125" s="33" t="s">
        <v>89</v>
      </c>
      <c r="N125">
        <v>55</v>
      </c>
      <c r="P125" t="str">
        <f t="shared" si="4"/>
        <v>T55</v>
      </c>
      <c r="R125" t="s">
        <v>94</v>
      </c>
    </row>
    <row r="126" spans="1:18" x14ac:dyDescent="0.2">
      <c r="A126" s="33" t="s">
        <v>48</v>
      </c>
      <c r="B126" t="s">
        <v>82</v>
      </c>
      <c r="C126">
        <v>3</v>
      </c>
      <c r="D126" t="s">
        <v>80</v>
      </c>
      <c r="E126" t="s">
        <v>81</v>
      </c>
      <c r="F126" t="s">
        <v>89</v>
      </c>
      <c r="G126">
        <v>6</v>
      </c>
      <c r="I126" t="str">
        <f t="shared" si="7"/>
        <v>CoStep3StepLengthSwingsideT6</v>
      </c>
      <c r="K126" t="s">
        <v>221</v>
      </c>
      <c r="M126" s="33" t="s">
        <v>90</v>
      </c>
      <c r="N126">
        <v>80</v>
      </c>
      <c r="P126" t="str">
        <f t="shared" si="4"/>
        <v>B80</v>
      </c>
      <c r="R126" t="s">
        <v>60</v>
      </c>
    </row>
    <row r="127" spans="1:18" x14ac:dyDescent="0.2">
      <c r="A127" s="33" t="s">
        <v>48</v>
      </c>
      <c r="B127" t="s">
        <v>82</v>
      </c>
      <c r="C127">
        <v>3</v>
      </c>
      <c r="D127" t="s">
        <v>80</v>
      </c>
      <c r="E127" t="s">
        <v>4</v>
      </c>
      <c r="F127" t="s">
        <v>89</v>
      </c>
      <c r="G127">
        <v>6</v>
      </c>
      <c r="I127" t="str">
        <f t="shared" si="7"/>
        <v>CoStep3StepLengthDistanceT6</v>
      </c>
      <c r="K127" t="s">
        <v>222</v>
      </c>
      <c r="M127" s="33" t="s">
        <v>91</v>
      </c>
      <c r="N127">
        <v>80</v>
      </c>
      <c r="P127" t="str">
        <f t="shared" si="4"/>
        <v>E80</v>
      </c>
      <c r="R127" t="s">
        <v>61</v>
      </c>
    </row>
    <row r="128" spans="1:18" x14ac:dyDescent="0.2">
      <c r="A128" s="33" t="s">
        <v>48</v>
      </c>
      <c r="B128" t="s">
        <v>82</v>
      </c>
      <c r="C128">
        <v>3</v>
      </c>
      <c r="D128" t="s">
        <v>82</v>
      </c>
      <c r="E128" t="s">
        <v>5</v>
      </c>
      <c r="F128" t="s">
        <v>89</v>
      </c>
      <c r="G128">
        <v>6</v>
      </c>
      <c r="I128" t="str">
        <f t="shared" si="7"/>
        <v>CoStep3StepTimeT6</v>
      </c>
      <c r="K128" t="s">
        <v>223</v>
      </c>
      <c r="M128" s="33" t="s">
        <v>92</v>
      </c>
      <c r="N128">
        <v>80</v>
      </c>
      <c r="P128" t="str">
        <f t="shared" si="4"/>
        <v>J80</v>
      </c>
      <c r="R128" t="s">
        <v>62</v>
      </c>
    </row>
    <row r="129" spans="1:18" x14ac:dyDescent="0.2">
      <c r="A129" s="33" t="s">
        <v>48</v>
      </c>
      <c r="B129" t="s">
        <v>82</v>
      </c>
      <c r="C129">
        <v>3</v>
      </c>
      <c r="D129" t="s">
        <v>83</v>
      </c>
      <c r="E129" t="s">
        <v>5</v>
      </c>
      <c r="F129" t="s">
        <v>89</v>
      </c>
      <c r="G129">
        <v>6</v>
      </c>
      <c r="I129" t="str">
        <f t="shared" si="7"/>
        <v>CoStep3DoubleSupportTimeT6</v>
      </c>
      <c r="K129" t="s">
        <v>224</v>
      </c>
      <c r="M129" s="33" t="s">
        <v>93</v>
      </c>
      <c r="N129">
        <v>80</v>
      </c>
      <c r="P129" t="str">
        <f t="shared" si="4"/>
        <v>O80</v>
      </c>
      <c r="R129" t="s">
        <v>63</v>
      </c>
    </row>
    <row r="130" spans="1:18" x14ac:dyDescent="0.2">
      <c r="A130" s="33" t="s">
        <v>48</v>
      </c>
      <c r="B130" t="s">
        <v>82</v>
      </c>
      <c r="C130">
        <v>3</v>
      </c>
      <c r="D130" t="s">
        <v>84</v>
      </c>
      <c r="E130" t="s">
        <v>5</v>
      </c>
      <c r="F130" t="s">
        <v>89</v>
      </c>
      <c r="G130">
        <v>6</v>
      </c>
      <c r="I130" t="str">
        <f t="shared" si="7"/>
        <v>CoStep3StanceTimeT6</v>
      </c>
      <c r="K130" t="s">
        <v>225</v>
      </c>
      <c r="M130" s="33" t="s">
        <v>89</v>
      </c>
      <c r="N130">
        <v>80</v>
      </c>
      <c r="P130" t="str">
        <f t="shared" ref="P130:P193" si="8">M130&amp;N130</f>
        <v>T80</v>
      </c>
      <c r="R130" t="s">
        <v>95</v>
      </c>
    </row>
    <row r="131" spans="1:18" x14ac:dyDescent="0.2">
      <c r="A131" s="33" t="s">
        <v>48</v>
      </c>
      <c r="B131" t="s">
        <v>85</v>
      </c>
      <c r="C131">
        <v>1</v>
      </c>
      <c r="D131" t="s">
        <v>86</v>
      </c>
      <c r="E131" t="s">
        <v>87</v>
      </c>
      <c r="F131" t="s">
        <v>89</v>
      </c>
      <c r="G131">
        <v>6</v>
      </c>
      <c r="I131" t="str">
        <f t="shared" si="7"/>
        <v>CoStride1StrideLengthSide0%T6</v>
      </c>
      <c r="K131" t="s">
        <v>226</v>
      </c>
      <c r="M131" s="33" t="s">
        <v>90</v>
      </c>
      <c r="N131">
        <v>105</v>
      </c>
      <c r="P131" t="str">
        <f t="shared" si="8"/>
        <v>B105</v>
      </c>
      <c r="R131" t="s">
        <v>64</v>
      </c>
    </row>
    <row r="132" spans="1:18" x14ac:dyDescent="0.2">
      <c r="A132" s="33" t="s">
        <v>48</v>
      </c>
      <c r="B132" t="s">
        <v>85</v>
      </c>
      <c r="C132">
        <v>1</v>
      </c>
      <c r="D132" t="s">
        <v>86</v>
      </c>
      <c r="E132" t="s">
        <v>4</v>
      </c>
      <c r="F132" t="s">
        <v>89</v>
      </c>
      <c r="G132">
        <v>6</v>
      </c>
      <c r="I132" t="str">
        <f t="shared" si="7"/>
        <v>CoStride1StrideLengthDistanceT6</v>
      </c>
      <c r="K132" t="s">
        <v>227</v>
      </c>
      <c r="M132" s="33" t="s">
        <v>91</v>
      </c>
      <c r="N132">
        <v>105</v>
      </c>
      <c r="P132" t="str">
        <f t="shared" si="8"/>
        <v>E105</v>
      </c>
      <c r="R132" t="s">
        <v>65</v>
      </c>
    </row>
    <row r="133" spans="1:18" x14ac:dyDescent="0.2">
      <c r="A133" s="33" t="s">
        <v>48</v>
      </c>
      <c r="B133" t="s">
        <v>85</v>
      </c>
      <c r="C133">
        <v>1</v>
      </c>
      <c r="D133" t="s">
        <v>85</v>
      </c>
      <c r="E133" t="s">
        <v>5</v>
      </c>
      <c r="F133" t="s">
        <v>89</v>
      </c>
      <c r="G133">
        <v>6</v>
      </c>
      <c r="I133" t="str">
        <f t="shared" si="7"/>
        <v>CoStride1StrideTimeT6</v>
      </c>
      <c r="K133" t="s">
        <v>228</v>
      </c>
      <c r="M133" s="33" t="s">
        <v>92</v>
      </c>
      <c r="N133">
        <v>105</v>
      </c>
      <c r="P133" t="str">
        <f t="shared" si="8"/>
        <v>J105</v>
      </c>
      <c r="R133" t="s">
        <v>66</v>
      </c>
    </row>
    <row r="134" spans="1:18" x14ac:dyDescent="0.2">
      <c r="A134" s="33" t="s">
        <v>48</v>
      </c>
      <c r="B134" t="s">
        <v>85</v>
      </c>
      <c r="C134">
        <v>1</v>
      </c>
      <c r="D134" t="s">
        <v>88</v>
      </c>
      <c r="E134" t="s">
        <v>5</v>
      </c>
      <c r="F134" t="s">
        <v>89</v>
      </c>
      <c r="G134">
        <v>6</v>
      </c>
      <c r="I134" t="str">
        <f t="shared" si="7"/>
        <v>CoStride1SwingTimeT6</v>
      </c>
      <c r="K134" t="s">
        <v>229</v>
      </c>
      <c r="M134" s="33" t="s">
        <v>93</v>
      </c>
      <c r="N134">
        <v>105</v>
      </c>
      <c r="P134" t="str">
        <f t="shared" si="8"/>
        <v>O105</v>
      </c>
      <c r="R134" t="s">
        <v>67</v>
      </c>
    </row>
    <row r="135" spans="1:18" x14ac:dyDescent="0.2">
      <c r="A135" s="33" t="s">
        <v>48</v>
      </c>
      <c r="B135" t="s">
        <v>85</v>
      </c>
      <c r="C135">
        <v>2</v>
      </c>
      <c r="D135" t="s">
        <v>86</v>
      </c>
      <c r="E135" t="s">
        <v>87</v>
      </c>
      <c r="F135" t="s">
        <v>89</v>
      </c>
      <c r="G135">
        <v>6</v>
      </c>
      <c r="I135" t="str">
        <f t="shared" si="7"/>
        <v>CoStride2StrideLengthSide0%T6</v>
      </c>
      <c r="K135" t="s">
        <v>230</v>
      </c>
      <c r="M135" s="33" t="s">
        <v>90</v>
      </c>
      <c r="N135">
        <v>130</v>
      </c>
      <c r="P135" t="str">
        <f t="shared" si="8"/>
        <v>B130</v>
      </c>
      <c r="R135" t="s">
        <v>68</v>
      </c>
    </row>
    <row r="136" spans="1:18" x14ac:dyDescent="0.2">
      <c r="A136" s="33" t="s">
        <v>48</v>
      </c>
      <c r="B136" t="s">
        <v>85</v>
      </c>
      <c r="C136">
        <v>2</v>
      </c>
      <c r="D136" t="s">
        <v>86</v>
      </c>
      <c r="E136" t="s">
        <v>4</v>
      </c>
      <c r="F136" t="s">
        <v>89</v>
      </c>
      <c r="G136">
        <v>6</v>
      </c>
      <c r="I136" t="str">
        <f t="shared" si="7"/>
        <v>CoStride2StrideLengthDistanceT6</v>
      </c>
      <c r="K136" t="s">
        <v>231</v>
      </c>
      <c r="M136" s="33" t="s">
        <v>91</v>
      </c>
      <c r="N136">
        <v>130</v>
      </c>
      <c r="P136" t="str">
        <f t="shared" si="8"/>
        <v>E130</v>
      </c>
      <c r="R136" t="s">
        <v>69</v>
      </c>
    </row>
    <row r="137" spans="1:18" x14ac:dyDescent="0.2">
      <c r="A137" s="33" t="s">
        <v>48</v>
      </c>
      <c r="B137" t="s">
        <v>85</v>
      </c>
      <c r="C137">
        <v>2</v>
      </c>
      <c r="D137" t="s">
        <v>85</v>
      </c>
      <c r="E137" t="s">
        <v>5</v>
      </c>
      <c r="F137" t="s">
        <v>89</v>
      </c>
      <c r="G137">
        <v>6</v>
      </c>
      <c r="I137" t="str">
        <f t="shared" si="7"/>
        <v>CoStride2StrideTimeT6</v>
      </c>
      <c r="K137" t="s">
        <v>232</v>
      </c>
      <c r="M137" s="33" t="s">
        <v>92</v>
      </c>
      <c r="N137">
        <v>130</v>
      </c>
      <c r="P137" t="str">
        <f t="shared" si="8"/>
        <v>J130</v>
      </c>
      <c r="R137" t="s">
        <v>70</v>
      </c>
    </row>
    <row r="138" spans="1:18" x14ac:dyDescent="0.2">
      <c r="A138" s="33" t="s">
        <v>48</v>
      </c>
      <c r="B138" t="s">
        <v>85</v>
      </c>
      <c r="C138">
        <v>2</v>
      </c>
      <c r="D138" t="s">
        <v>88</v>
      </c>
      <c r="E138" t="s">
        <v>5</v>
      </c>
      <c r="F138" t="s">
        <v>89</v>
      </c>
      <c r="G138">
        <v>6</v>
      </c>
      <c r="I138" t="str">
        <f t="shared" si="7"/>
        <v>CoStride2SwingTimeT6</v>
      </c>
      <c r="K138" t="s">
        <v>233</v>
      </c>
      <c r="M138" s="33" t="s">
        <v>93</v>
      </c>
      <c r="N138">
        <v>130</v>
      </c>
      <c r="P138" t="str">
        <f t="shared" si="8"/>
        <v>O130</v>
      </c>
      <c r="R138" t="s">
        <v>71</v>
      </c>
    </row>
    <row r="139" spans="1:18" x14ac:dyDescent="0.2">
      <c r="A139" s="33" t="s">
        <v>48</v>
      </c>
      <c r="B139" t="s">
        <v>82</v>
      </c>
      <c r="C139">
        <v>1</v>
      </c>
      <c r="D139" t="s">
        <v>80</v>
      </c>
      <c r="E139" t="s">
        <v>81</v>
      </c>
      <c r="F139" t="s">
        <v>89</v>
      </c>
      <c r="G139">
        <v>7</v>
      </c>
      <c r="I139" t="str">
        <f>A139&amp;B139&amp;C139&amp;D139&amp;E139&amp;F139&amp;G139</f>
        <v>CoStep1StepLengthSwingsideT7</v>
      </c>
      <c r="K139" t="s">
        <v>234</v>
      </c>
      <c r="M139" s="33" t="s">
        <v>90</v>
      </c>
      <c r="N139">
        <v>30</v>
      </c>
      <c r="P139" t="str">
        <f t="shared" si="8"/>
        <v>B30</v>
      </c>
      <c r="R139" t="s">
        <v>52</v>
      </c>
    </row>
    <row r="140" spans="1:18" x14ac:dyDescent="0.2">
      <c r="A140" s="33" t="s">
        <v>48</v>
      </c>
      <c r="B140" t="s">
        <v>82</v>
      </c>
      <c r="C140">
        <v>1</v>
      </c>
      <c r="D140" t="s">
        <v>80</v>
      </c>
      <c r="E140" t="s">
        <v>4</v>
      </c>
      <c r="F140" t="s">
        <v>89</v>
      </c>
      <c r="G140">
        <v>7</v>
      </c>
      <c r="I140" t="str">
        <f t="shared" ref="I140:I161" si="9">A140&amp;B140&amp;C140&amp;D140&amp;E140&amp;F140&amp;G140</f>
        <v>CoStep1StepLengthDistanceT7</v>
      </c>
      <c r="K140" t="s">
        <v>235</v>
      </c>
      <c r="M140" s="33" t="s">
        <v>91</v>
      </c>
      <c r="N140">
        <v>30</v>
      </c>
      <c r="P140" t="str">
        <f t="shared" si="8"/>
        <v>E30</v>
      </c>
      <c r="R140" t="s">
        <v>53</v>
      </c>
    </row>
    <row r="141" spans="1:18" x14ac:dyDescent="0.2">
      <c r="A141" s="33" t="s">
        <v>48</v>
      </c>
      <c r="B141" t="s">
        <v>82</v>
      </c>
      <c r="C141">
        <v>1</v>
      </c>
      <c r="D141" t="s">
        <v>82</v>
      </c>
      <c r="E141" t="s">
        <v>5</v>
      </c>
      <c r="F141" t="s">
        <v>89</v>
      </c>
      <c r="G141">
        <v>7</v>
      </c>
      <c r="I141" t="str">
        <f t="shared" si="9"/>
        <v>CoStep1StepTimeT7</v>
      </c>
      <c r="K141" t="s">
        <v>236</v>
      </c>
      <c r="M141" s="33" t="s">
        <v>92</v>
      </c>
      <c r="N141">
        <v>30</v>
      </c>
      <c r="P141" t="str">
        <f t="shared" si="8"/>
        <v>J30</v>
      </c>
      <c r="R141" t="s">
        <v>54</v>
      </c>
    </row>
    <row r="142" spans="1:18" x14ac:dyDescent="0.2">
      <c r="A142" s="33" t="s">
        <v>48</v>
      </c>
      <c r="B142" t="s">
        <v>82</v>
      </c>
      <c r="C142">
        <v>1</v>
      </c>
      <c r="D142" t="s">
        <v>83</v>
      </c>
      <c r="E142" t="s">
        <v>5</v>
      </c>
      <c r="F142" t="s">
        <v>89</v>
      </c>
      <c r="G142">
        <v>7</v>
      </c>
      <c r="I142" t="str">
        <f t="shared" si="9"/>
        <v>CoStep1DoubleSupportTimeT7</v>
      </c>
      <c r="K142" t="s">
        <v>237</v>
      </c>
      <c r="M142" s="33" t="s">
        <v>93</v>
      </c>
      <c r="N142">
        <v>30</v>
      </c>
      <c r="P142" t="str">
        <f t="shared" si="8"/>
        <v>O30</v>
      </c>
      <c r="R142" t="s">
        <v>55</v>
      </c>
    </row>
    <row r="143" spans="1:18" x14ac:dyDescent="0.2">
      <c r="A143" s="33" t="s">
        <v>48</v>
      </c>
      <c r="B143" t="s">
        <v>82</v>
      </c>
      <c r="C143">
        <v>1</v>
      </c>
      <c r="D143" t="s">
        <v>84</v>
      </c>
      <c r="E143" t="s">
        <v>5</v>
      </c>
      <c r="F143" t="s">
        <v>89</v>
      </c>
      <c r="G143">
        <v>7</v>
      </c>
      <c r="I143" t="str">
        <f t="shared" si="9"/>
        <v>CoStep1StanceTimeT7</v>
      </c>
      <c r="K143" t="s">
        <v>238</v>
      </c>
      <c r="M143" s="33" t="s">
        <v>89</v>
      </c>
      <c r="N143">
        <v>30</v>
      </c>
      <c r="P143" t="str">
        <f t="shared" si="8"/>
        <v>T30</v>
      </c>
      <c r="R143" t="s">
        <v>79</v>
      </c>
    </row>
    <row r="144" spans="1:18" x14ac:dyDescent="0.2">
      <c r="A144" s="33" t="s">
        <v>48</v>
      </c>
      <c r="B144" t="s">
        <v>82</v>
      </c>
      <c r="C144">
        <v>2</v>
      </c>
      <c r="D144" t="s">
        <v>80</v>
      </c>
      <c r="E144" t="s">
        <v>81</v>
      </c>
      <c r="F144" t="s">
        <v>89</v>
      </c>
      <c r="G144">
        <v>7</v>
      </c>
      <c r="I144" t="str">
        <f t="shared" si="9"/>
        <v>CoStep2StepLengthSwingsideT7</v>
      </c>
      <c r="K144" t="s">
        <v>239</v>
      </c>
      <c r="M144" s="33" t="s">
        <v>90</v>
      </c>
      <c r="N144">
        <v>55</v>
      </c>
      <c r="P144" t="str">
        <f t="shared" si="8"/>
        <v>B55</v>
      </c>
      <c r="R144" t="s">
        <v>56</v>
      </c>
    </row>
    <row r="145" spans="1:18" x14ac:dyDescent="0.2">
      <c r="A145" s="33" t="s">
        <v>48</v>
      </c>
      <c r="B145" t="s">
        <v>82</v>
      </c>
      <c r="C145">
        <v>2</v>
      </c>
      <c r="D145" t="s">
        <v>80</v>
      </c>
      <c r="E145" t="s">
        <v>4</v>
      </c>
      <c r="F145" t="s">
        <v>89</v>
      </c>
      <c r="G145">
        <v>7</v>
      </c>
      <c r="I145" t="str">
        <f t="shared" si="9"/>
        <v>CoStep2StepLengthDistanceT7</v>
      </c>
      <c r="K145" t="s">
        <v>240</v>
      </c>
      <c r="M145" s="33" t="s">
        <v>91</v>
      </c>
      <c r="N145">
        <v>55</v>
      </c>
      <c r="P145" t="str">
        <f t="shared" si="8"/>
        <v>E55</v>
      </c>
      <c r="R145" t="s">
        <v>57</v>
      </c>
    </row>
    <row r="146" spans="1:18" x14ac:dyDescent="0.2">
      <c r="A146" s="33" t="s">
        <v>48</v>
      </c>
      <c r="B146" t="s">
        <v>82</v>
      </c>
      <c r="C146">
        <v>2</v>
      </c>
      <c r="D146" t="s">
        <v>82</v>
      </c>
      <c r="E146" t="s">
        <v>5</v>
      </c>
      <c r="F146" t="s">
        <v>89</v>
      </c>
      <c r="G146">
        <v>7</v>
      </c>
      <c r="I146" t="str">
        <f t="shared" si="9"/>
        <v>CoStep2StepTimeT7</v>
      </c>
      <c r="K146" t="s">
        <v>241</v>
      </c>
      <c r="M146" s="33" t="s">
        <v>92</v>
      </c>
      <c r="N146">
        <v>55</v>
      </c>
      <c r="P146" t="str">
        <f t="shared" si="8"/>
        <v>J55</v>
      </c>
      <c r="R146" t="s">
        <v>58</v>
      </c>
    </row>
    <row r="147" spans="1:18" x14ac:dyDescent="0.2">
      <c r="A147" s="33" t="s">
        <v>48</v>
      </c>
      <c r="B147" t="s">
        <v>82</v>
      </c>
      <c r="C147">
        <v>2</v>
      </c>
      <c r="D147" t="s">
        <v>83</v>
      </c>
      <c r="E147" t="s">
        <v>5</v>
      </c>
      <c r="F147" t="s">
        <v>89</v>
      </c>
      <c r="G147">
        <v>7</v>
      </c>
      <c r="I147" t="str">
        <f t="shared" si="9"/>
        <v>CoStep2DoubleSupportTimeT7</v>
      </c>
      <c r="K147" t="s">
        <v>242</v>
      </c>
      <c r="M147" s="33" t="s">
        <v>93</v>
      </c>
      <c r="N147">
        <v>55</v>
      </c>
      <c r="P147" t="str">
        <f t="shared" si="8"/>
        <v>O55</v>
      </c>
      <c r="R147" t="s">
        <v>59</v>
      </c>
    </row>
    <row r="148" spans="1:18" x14ac:dyDescent="0.2">
      <c r="A148" s="33" t="s">
        <v>48</v>
      </c>
      <c r="B148" t="s">
        <v>82</v>
      </c>
      <c r="C148">
        <v>2</v>
      </c>
      <c r="D148" t="s">
        <v>84</v>
      </c>
      <c r="E148" t="s">
        <v>5</v>
      </c>
      <c r="F148" t="s">
        <v>89</v>
      </c>
      <c r="G148">
        <v>7</v>
      </c>
      <c r="I148" t="str">
        <f t="shared" si="9"/>
        <v>CoStep2StanceTimeT7</v>
      </c>
      <c r="K148" t="s">
        <v>243</v>
      </c>
      <c r="M148" s="33" t="s">
        <v>89</v>
      </c>
      <c r="N148">
        <v>55</v>
      </c>
      <c r="P148" t="str">
        <f t="shared" si="8"/>
        <v>T55</v>
      </c>
      <c r="R148" t="s">
        <v>94</v>
      </c>
    </row>
    <row r="149" spans="1:18" x14ac:dyDescent="0.2">
      <c r="A149" s="33" t="s">
        <v>48</v>
      </c>
      <c r="B149" t="s">
        <v>82</v>
      </c>
      <c r="C149">
        <v>3</v>
      </c>
      <c r="D149" t="s">
        <v>80</v>
      </c>
      <c r="E149" t="s">
        <v>81</v>
      </c>
      <c r="F149" t="s">
        <v>89</v>
      </c>
      <c r="G149">
        <v>7</v>
      </c>
      <c r="I149" t="str">
        <f t="shared" si="9"/>
        <v>CoStep3StepLengthSwingsideT7</v>
      </c>
      <c r="K149" t="s">
        <v>244</v>
      </c>
      <c r="M149" s="33" t="s">
        <v>90</v>
      </c>
      <c r="N149">
        <v>80</v>
      </c>
      <c r="P149" t="str">
        <f t="shared" si="8"/>
        <v>B80</v>
      </c>
      <c r="R149" t="s">
        <v>60</v>
      </c>
    </row>
    <row r="150" spans="1:18" x14ac:dyDescent="0.2">
      <c r="A150" s="33" t="s">
        <v>48</v>
      </c>
      <c r="B150" t="s">
        <v>82</v>
      </c>
      <c r="C150">
        <v>3</v>
      </c>
      <c r="D150" t="s">
        <v>80</v>
      </c>
      <c r="E150" t="s">
        <v>4</v>
      </c>
      <c r="F150" t="s">
        <v>89</v>
      </c>
      <c r="G150">
        <v>7</v>
      </c>
      <c r="I150" t="str">
        <f t="shared" si="9"/>
        <v>CoStep3StepLengthDistanceT7</v>
      </c>
      <c r="K150" t="s">
        <v>245</v>
      </c>
      <c r="M150" s="33" t="s">
        <v>91</v>
      </c>
      <c r="N150">
        <v>80</v>
      </c>
      <c r="P150" t="str">
        <f t="shared" si="8"/>
        <v>E80</v>
      </c>
      <c r="R150" t="s">
        <v>61</v>
      </c>
    </row>
    <row r="151" spans="1:18" x14ac:dyDescent="0.2">
      <c r="A151" s="33" t="s">
        <v>48</v>
      </c>
      <c r="B151" t="s">
        <v>82</v>
      </c>
      <c r="C151">
        <v>3</v>
      </c>
      <c r="D151" t="s">
        <v>82</v>
      </c>
      <c r="E151" t="s">
        <v>5</v>
      </c>
      <c r="F151" t="s">
        <v>89</v>
      </c>
      <c r="G151">
        <v>7</v>
      </c>
      <c r="I151" t="str">
        <f t="shared" si="9"/>
        <v>CoStep3StepTimeT7</v>
      </c>
      <c r="K151" t="s">
        <v>246</v>
      </c>
      <c r="M151" s="33" t="s">
        <v>92</v>
      </c>
      <c r="N151">
        <v>80</v>
      </c>
      <c r="P151" t="str">
        <f t="shared" si="8"/>
        <v>J80</v>
      </c>
      <c r="R151" t="s">
        <v>62</v>
      </c>
    </row>
    <row r="152" spans="1:18" x14ac:dyDescent="0.2">
      <c r="A152" s="33" t="s">
        <v>48</v>
      </c>
      <c r="B152" t="s">
        <v>82</v>
      </c>
      <c r="C152">
        <v>3</v>
      </c>
      <c r="D152" t="s">
        <v>83</v>
      </c>
      <c r="E152" t="s">
        <v>5</v>
      </c>
      <c r="F152" t="s">
        <v>89</v>
      </c>
      <c r="G152">
        <v>7</v>
      </c>
      <c r="I152" t="str">
        <f t="shared" si="9"/>
        <v>CoStep3DoubleSupportTimeT7</v>
      </c>
      <c r="K152" t="s">
        <v>247</v>
      </c>
      <c r="M152" s="33" t="s">
        <v>93</v>
      </c>
      <c r="N152">
        <v>80</v>
      </c>
      <c r="P152" t="str">
        <f t="shared" si="8"/>
        <v>O80</v>
      </c>
      <c r="R152" t="s">
        <v>63</v>
      </c>
    </row>
    <row r="153" spans="1:18" x14ac:dyDescent="0.2">
      <c r="A153" s="33" t="s">
        <v>48</v>
      </c>
      <c r="B153" t="s">
        <v>82</v>
      </c>
      <c r="C153">
        <v>3</v>
      </c>
      <c r="D153" t="s">
        <v>84</v>
      </c>
      <c r="E153" t="s">
        <v>5</v>
      </c>
      <c r="F153" t="s">
        <v>89</v>
      </c>
      <c r="G153">
        <v>7</v>
      </c>
      <c r="I153" t="str">
        <f t="shared" si="9"/>
        <v>CoStep3StanceTimeT7</v>
      </c>
      <c r="K153" t="s">
        <v>248</v>
      </c>
      <c r="M153" s="33" t="s">
        <v>89</v>
      </c>
      <c r="N153">
        <v>80</v>
      </c>
      <c r="P153" t="str">
        <f t="shared" si="8"/>
        <v>T80</v>
      </c>
      <c r="R153" t="s">
        <v>95</v>
      </c>
    </row>
    <row r="154" spans="1:18" x14ac:dyDescent="0.2">
      <c r="A154" s="33" t="s">
        <v>48</v>
      </c>
      <c r="B154" t="s">
        <v>85</v>
      </c>
      <c r="C154">
        <v>1</v>
      </c>
      <c r="D154" t="s">
        <v>86</v>
      </c>
      <c r="E154" t="s">
        <v>87</v>
      </c>
      <c r="F154" t="s">
        <v>89</v>
      </c>
      <c r="G154">
        <v>7</v>
      </c>
      <c r="I154" t="str">
        <f t="shared" si="9"/>
        <v>CoStride1StrideLengthSide0%T7</v>
      </c>
      <c r="K154" t="s">
        <v>249</v>
      </c>
      <c r="M154" s="33" t="s">
        <v>90</v>
      </c>
      <c r="N154">
        <v>105</v>
      </c>
      <c r="P154" t="str">
        <f t="shared" si="8"/>
        <v>B105</v>
      </c>
      <c r="R154" t="s">
        <v>64</v>
      </c>
    </row>
    <row r="155" spans="1:18" x14ac:dyDescent="0.2">
      <c r="A155" s="33" t="s">
        <v>48</v>
      </c>
      <c r="B155" t="s">
        <v>85</v>
      </c>
      <c r="C155">
        <v>1</v>
      </c>
      <c r="D155" t="s">
        <v>86</v>
      </c>
      <c r="E155" t="s">
        <v>4</v>
      </c>
      <c r="F155" t="s">
        <v>89</v>
      </c>
      <c r="G155">
        <v>7</v>
      </c>
      <c r="I155" t="str">
        <f t="shared" si="9"/>
        <v>CoStride1StrideLengthDistanceT7</v>
      </c>
      <c r="K155" t="s">
        <v>250</v>
      </c>
      <c r="M155" s="33" t="s">
        <v>91</v>
      </c>
      <c r="N155">
        <v>105</v>
      </c>
      <c r="P155" t="str">
        <f t="shared" si="8"/>
        <v>E105</v>
      </c>
      <c r="R155" t="s">
        <v>65</v>
      </c>
    </row>
    <row r="156" spans="1:18" x14ac:dyDescent="0.2">
      <c r="A156" s="33" t="s">
        <v>48</v>
      </c>
      <c r="B156" t="s">
        <v>85</v>
      </c>
      <c r="C156">
        <v>1</v>
      </c>
      <c r="D156" t="s">
        <v>85</v>
      </c>
      <c r="E156" t="s">
        <v>5</v>
      </c>
      <c r="F156" t="s">
        <v>89</v>
      </c>
      <c r="G156">
        <v>7</v>
      </c>
      <c r="I156" t="str">
        <f t="shared" si="9"/>
        <v>CoStride1StrideTimeT7</v>
      </c>
      <c r="K156" t="s">
        <v>251</v>
      </c>
      <c r="M156" s="33" t="s">
        <v>92</v>
      </c>
      <c r="N156">
        <v>105</v>
      </c>
      <c r="P156" t="str">
        <f t="shared" si="8"/>
        <v>J105</v>
      </c>
      <c r="R156" t="s">
        <v>66</v>
      </c>
    </row>
    <row r="157" spans="1:18" x14ac:dyDescent="0.2">
      <c r="A157" s="33" t="s">
        <v>48</v>
      </c>
      <c r="B157" t="s">
        <v>85</v>
      </c>
      <c r="C157">
        <v>1</v>
      </c>
      <c r="D157" t="s">
        <v>88</v>
      </c>
      <c r="E157" t="s">
        <v>5</v>
      </c>
      <c r="F157" t="s">
        <v>89</v>
      </c>
      <c r="G157">
        <v>7</v>
      </c>
      <c r="I157" t="str">
        <f t="shared" si="9"/>
        <v>CoStride1SwingTimeT7</v>
      </c>
      <c r="K157" t="s">
        <v>252</v>
      </c>
      <c r="M157" s="33" t="s">
        <v>93</v>
      </c>
      <c r="N157">
        <v>105</v>
      </c>
      <c r="P157" t="str">
        <f t="shared" si="8"/>
        <v>O105</v>
      </c>
      <c r="R157" t="s">
        <v>67</v>
      </c>
    </row>
    <row r="158" spans="1:18" x14ac:dyDescent="0.2">
      <c r="A158" s="33" t="s">
        <v>48</v>
      </c>
      <c r="B158" t="s">
        <v>85</v>
      </c>
      <c r="C158">
        <v>2</v>
      </c>
      <c r="D158" t="s">
        <v>86</v>
      </c>
      <c r="E158" t="s">
        <v>87</v>
      </c>
      <c r="F158" t="s">
        <v>89</v>
      </c>
      <c r="G158">
        <v>7</v>
      </c>
      <c r="I158" t="str">
        <f t="shared" si="9"/>
        <v>CoStride2StrideLengthSide0%T7</v>
      </c>
      <c r="K158" t="s">
        <v>253</v>
      </c>
      <c r="M158" s="33" t="s">
        <v>90</v>
      </c>
      <c r="N158">
        <v>130</v>
      </c>
      <c r="P158" t="str">
        <f t="shared" si="8"/>
        <v>B130</v>
      </c>
      <c r="R158" t="s">
        <v>68</v>
      </c>
    </row>
    <row r="159" spans="1:18" x14ac:dyDescent="0.2">
      <c r="A159" s="33" t="s">
        <v>48</v>
      </c>
      <c r="B159" t="s">
        <v>85</v>
      </c>
      <c r="C159">
        <v>2</v>
      </c>
      <c r="D159" t="s">
        <v>86</v>
      </c>
      <c r="E159" t="s">
        <v>4</v>
      </c>
      <c r="F159" t="s">
        <v>89</v>
      </c>
      <c r="G159">
        <v>7</v>
      </c>
      <c r="I159" t="str">
        <f t="shared" si="9"/>
        <v>CoStride2StrideLengthDistanceT7</v>
      </c>
      <c r="K159" t="s">
        <v>254</v>
      </c>
      <c r="M159" s="33" t="s">
        <v>91</v>
      </c>
      <c r="N159">
        <v>130</v>
      </c>
      <c r="P159" t="str">
        <f t="shared" si="8"/>
        <v>E130</v>
      </c>
      <c r="R159" t="s">
        <v>69</v>
      </c>
    </row>
    <row r="160" spans="1:18" x14ac:dyDescent="0.2">
      <c r="A160" s="33" t="s">
        <v>48</v>
      </c>
      <c r="B160" t="s">
        <v>85</v>
      </c>
      <c r="C160">
        <v>2</v>
      </c>
      <c r="D160" t="s">
        <v>85</v>
      </c>
      <c r="E160" t="s">
        <v>5</v>
      </c>
      <c r="F160" t="s">
        <v>89</v>
      </c>
      <c r="G160">
        <v>7</v>
      </c>
      <c r="I160" t="str">
        <f t="shared" si="9"/>
        <v>CoStride2StrideTimeT7</v>
      </c>
      <c r="K160" t="s">
        <v>255</v>
      </c>
      <c r="M160" s="33" t="s">
        <v>92</v>
      </c>
      <c r="N160">
        <v>130</v>
      </c>
      <c r="P160" t="str">
        <f t="shared" si="8"/>
        <v>J130</v>
      </c>
      <c r="R160" t="s">
        <v>70</v>
      </c>
    </row>
    <row r="161" spans="1:18" x14ac:dyDescent="0.2">
      <c r="A161" s="33" t="s">
        <v>48</v>
      </c>
      <c r="B161" t="s">
        <v>85</v>
      </c>
      <c r="C161">
        <v>2</v>
      </c>
      <c r="D161" t="s">
        <v>88</v>
      </c>
      <c r="E161" t="s">
        <v>5</v>
      </c>
      <c r="F161" t="s">
        <v>89</v>
      </c>
      <c r="G161">
        <v>7</v>
      </c>
      <c r="I161" t="str">
        <f t="shared" si="9"/>
        <v>CoStride2SwingTimeT7</v>
      </c>
      <c r="K161" t="s">
        <v>256</v>
      </c>
      <c r="M161" s="33" t="s">
        <v>93</v>
      </c>
      <c r="N161">
        <v>130</v>
      </c>
      <c r="P161" t="str">
        <f t="shared" si="8"/>
        <v>O130</v>
      </c>
      <c r="R161" t="s">
        <v>71</v>
      </c>
    </row>
    <row r="162" spans="1:18" x14ac:dyDescent="0.2">
      <c r="A162" s="33" t="s">
        <v>48</v>
      </c>
      <c r="B162" t="s">
        <v>82</v>
      </c>
      <c r="C162">
        <v>1</v>
      </c>
      <c r="D162" t="s">
        <v>80</v>
      </c>
      <c r="E162" t="s">
        <v>81</v>
      </c>
      <c r="F162" t="s">
        <v>89</v>
      </c>
      <c r="G162">
        <v>8</v>
      </c>
      <c r="I162" t="str">
        <f>A162&amp;B162&amp;C162&amp;D162&amp;E162&amp;F162&amp;G162</f>
        <v>CoStep1StepLengthSwingsideT8</v>
      </c>
      <c r="K162" t="s">
        <v>257</v>
      </c>
      <c r="M162" s="33" t="s">
        <v>90</v>
      </c>
      <c r="N162">
        <v>30</v>
      </c>
      <c r="P162" t="str">
        <f t="shared" si="8"/>
        <v>B30</v>
      </c>
      <c r="R162" t="s">
        <v>52</v>
      </c>
    </row>
    <row r="163" spans="1:18" x14ac:dyDescent="0.2">
      <c r="A163" s="33" t="s">
        <v>48</v>
      </c>
      <c r="B163" t="s">
        <v>82</v>
      </c>
      <c r="C163">
        <v>1</v>
      </c>
      <c r="D163" t="s">
        <v>80</v>
      </c>
      <c r="E163" t="s">
        <v>4</v>
      </c>
      <c r="F163" t="s">
        <v>89</v>
      </c>
      <c r="G163">
        <v>8</v>
      </c>
      <c r="I163" t="str">
        <f t="shared" ref="I163:I184" si="10">A163&amp;B163&amp;C163&amp;D163&amp;E163&amp;F163&amp;G163</f>
        <v>CoStep1StepLengthDistanceT8</v>
      </c>
      <c r="K163" t="s">
        <v>258</v>
      </c>
      <c r="M163" s="33" t="s">
        <v>91</v>
      </c>
      <c r="N163">
        <v>30</v>
      </c>
      <c r="P163" t="str">
        <f t="shared" si="8"/>
        <v>E30</v>
      </c>
      <c r="R163" t="s">
        <v>53</v>
      </c>
    </row>
    <row r="164" spans="1:18" x14ac:dyDescent="0.2">
      <c r="A164" s="33" t="s">
        <v>48</v>
      </c>
      <c r="B164" t="s">
        <v>82</v>
      </c>
      <c r="C164">
        <v>1</v>
      </c>
      <c r="D164" t="s">
        <v>82</v>
      </c>
      <c r="E164" t="s">
        <v>5</v>
      </c>
      <c r="F164" t="s">
        <v>89</v>
      </c>
      <c r="G164">
        <v>8</v>
      </c>
      <c r="I164" t="str">
        <f t="shared" si="10"/>
        <v>CoStep1StepTimeT8</v>
      </c>
      <c r="K164" t="s">
        <v>259</v>
      </c>
      <c r="M164" s="33" t="s">
        <v>92</v>
      </c>
      <c r="N164">
        <v>30</v>
      </c>
      <c r="P164" t="str">
        <f t="shared" si="8"/>
        <v>J30</v>
      </c>
      <c r="R164" t="s">
        <v>54</v>
      </c>
    </row>
    <row r="165" spans="1:18" x14ac:dyDescent="0.2">
      <c r="A165" s="33" t="s">
        <v>48</v>
      </c>
      <c r="B165" t="s">
        <v>82</v>
      </c>
      <c r="C165">
        <v>1</v>
      </c>
      <c r="D165" t="s">
        <v>83</v>
      </c>
      <c r="E165" t="s">
        <v>5</v>
      </c>
      <c r="F165" t="s">
        <v>89</v>
      </c>
      <c r="G165">
        <v>8</v>
      </c>
      <c r="I165" t="str">
        <f t="shared" si="10"/>
        <v>CoStep1DoubleSupportTimeT8</v>
      </c>
      <c r="K165" t="s">
        <v>260</v>
      </c>
      <c r="M165" s="33" t="s">
        <v>93</v>
      </c>
      <c r="N165">
        <v>30</v>
      </c>
      <c r="P165" t="str">
        <f t="shared" si="8"/>
        <v>O30</v>
      </c>
      <c r="R165" t="s">
        <v>55</v>
      </c>
    </row>
    <row r="166" spans="1:18" x14ac:dyDescent="0.2">
      <c r="A166" s="33" t="s">
        <v>48</v>
      </c>
      <c r="B166" t="s">
        <v>82</v>
      </c>
      <c r="C166">
        <v>1</v>
      </c>
      <c r="D166" t="s">
        <v>84</v>
      </c>
      <c r="E166" t="s">
        <v>5</v>
      </c>
      <c r="F166" t="s">
        <v>89</v>
      </c>
      <c r="G166">
        <v>8</v>
      </c>
      <c r="I166" t="str">
        <f t="shared" si="10"/>
        <v>CoStep1StanceTimeT8</v>
      </c>
      <c r="K166" t="s">
        <v>261</v>
      </c>
      <c r="M166" s="33" t="s">
        <v>89</v>
      </c>
      <c r="N166">
        <v>30</v>
      </c>
      <c r="P166" t="str">
        <f t="shared" si="8"/>
        <v>T30</v>
      </c>
      <c r="R166" t="s">
        <v>79</v>
      </c>
    </row>
    <row r="167" spans="1:18" x14ac:dyDescent="0.2">
      <c r="A167" s="33" t="s">
        <v>48</v>
      </c>
      <c r="B167" t="s">
        <v>82</v>
      </c>
      <c r="C167">
        <v>2</v>
      </c>
      <c r="D167" t="s">
        <v>80</v>
      </c>
      <c r="E167" t="s">
        <v>81</v>
      </c>
      <c r="F167" t="s">
        <v>89</v>
      </c>
      <c r="G167">
        <v>8</v>
      </c>
      <c r="I167" t="str">
        <f t="shared" si="10"/>
        <v>CoStep2StepLengthSwingsideT8</v>
      </c>
      <c r="K167" t="s">
        <v>262</v>
      </c>
      <c r="M167" s="33" t="s">
        <v>90</v>
      </c>
      <c r="N167">
        <v>55</v>
      </c>
      <c r="P167" t="str">
        <f t="shared" si="8"/>
        <v>B55</v>
      </c>
      <c r="R167" t="s">
        <v>56</v>
      </c>
    </row>
    <row r="168" spans="1:18" x14ac:dyDescent="0.2">
      <c r="A168" s="33" t="s">
        <v>48</v>
      </c>
      <c r="B168" t="s">
        <v>82</v>
      </c>
      <c r="C168">
        <v>2</v>
      </c>
      <c r="D168" t="s">
        <v>80</v>
      </c>
      <c r="E168" t="s">
        <v>4</v>
      </c>
      <c r="F168" t="s">
        <v>89</v>
      </c>
      <c r="G168">
        <v>8</v>
      </c>
      <c r="I168" t="str">
        <f t="shared" si="10"/>
        <v>CoStep2StepLengthDistanceT8</v>
      </c>
      <c r="K168" t="s">
        <v>263</v>
      </c>
      <c r="M168" s="33" t="s">
        <v>91</v>
      </c>
      <c r="N168">
        <v>55</v>
      </c>
      <c r="P168" t="str">
        <f t="shared" si="8"/>
        <v>E55</v>
      </c>
      <c r="R168" t="s">
        <v>57</v>
      </c>
    </row>
    <row r="169" spans="1:18" x14ac:dyDescent="0.2">
      <c r="A169" s="33" t="s">
        <v>48</v>
      </c>
      <c r="B169" t="s">
        <v>82</v>
      </c>
      <c r="C169">
        <v>2</v>
      </c>
      <c r="D169" t="s">
        <v>82</v>
      </c>
      <c r="E169" t="s">
        <v>5</v>
      </c>
      <c r="F169" t="s">
        <v>89</v>
      </c>
      <c r="G169">
        <v>8</v>
      </c>
      <c r="I169" t="str">
        <f t="shared" si="10"/>
        <v>CoStep2StepTimeT8</v>
      </c>
      <c r="K169" t="s">
        <v>264</v>
      </c>
      <c r="M169" s="33" t="s">
        <v>92</v>
      </c>
      <c r="N169">
        <v>55</v>
      </c>
      <c r="P169" t="str">
        <f t="shared" si="8"/>
        <v>J55</v>
      </c>
      <c r="R169" t="s">
        <v>58</v>
      </c>
    </row>
    <row r="170" spans="1:18" x14ac:dyDescent="0.2">
      <c r="A170" s="33" t="s">
        <v>48</v>
      </c>
      <c r="B170" t="s">
        <v>82</v>
      </c>
      <c r="C170">
        <v>2</v>
      </c>
      <c r="D170" t="s">
        <v>83</v>
      </c>
      <c r="E170" t="s">
        <v>5</v>
      </c>
      <c r="F170" t="s">
        <v>89</v>
      </c>
      <c r="G170">
        <v>8</v>
      </c>
      <c r="I170" t="str">
        <f t="shared" si="10"/>
        <v>CoStep2DoubleSupportTimeT8</v>
      </c>
      <c r="K170" t="s">
        <v>265</v>
      </c>
      <c r="M170" s="33" t="s">
        <v>93</v>
      </c>
      <c r="N170">
        <v>55</v>
      </c>
      <c r="P170" t="str">
        <f t="shared" si="8"/>
        <v>O55</v>
      </c>
      <c r="R170" t="s">
        <v>59</v>
      </c>
    </row>
    <row r="171" spans="1:18" x14ac:dyDescent="0.2">
      <c r="A171" s="33" t="s">
        <v>48</v>
      </c>
      <c r="B171" t="s">
        <v>82</v>
      </c>
      <c r="C171">
        <v>2</v>
      </c>
      <c r="D171" t="s">
        <v>84</v>
      </c>
      <c r="E171" t="s">
        <v>5</v>
      </c>
      <c r="F171" t="s">
        <v>89</v>
      </c>
      <c r="G171">
        <v>8</v>
      </c>
      <c r="I171" t="str">
        <f t="shared" si="10"/>
        <v>CoStep2StanceTimeT8</v>
      </c>
      <c r="K171" t="s">
        <v>266</v>
      </c>
      <c r="M171" s="33" t="s">
        <v>89</v>
      </c>
      <c r="N171">
        <v>55</v>
      </c>
      <c r="P171" t="str">
        <f t="shared" si="8"/>
        <v>T55</v>
      </c>
      <c r="R171" t="s">
        <v>94</v>
      </c>
    </row>
    <row r="172" spans="1:18" x14ac:dyDescent="0.2">
      <c r="A172" s="33" t="s">
        <v>48</v>
      </c>
      <c r="B172" t="s">
        <v>82</v>
      </c>
      <c r="C172">
        <v>3</v>
      </c>
      <c r="D172" t="s">
        <v>80</v>
      </c>
      <c r="E172" t="s">
        <v>81</v>
      </c>
      <c r="F172" t="s">
        <v>89</v>
      </c>
      <c r="G172">
        <v>8</v>
      </c>
      <c r="I172" t="str">
        <f t="shared" si="10"/>
        <v>CoStep3StepLengthSwingsideT8</v>
      </c>
      <c r="K172" t="s">
        <v>267</v>
      </c>
      <c r="M172" s="33" t="s">
        <v>90</v>
      </c>
      <c r="N172">
        <v>80</v>
      </c>
      <c r="P172" t="str">
        <f t="shared" si="8"/>
        <v>B80</v>
      </c>
      <c r="R172" t="s">
        <v>60</v>
      </c>
    </row>
    <row r="173" spans="1:18" x14ac:dyDescent="0.2">
      <c r="A173" s="33" t="s">
        <v>48</v>
      </c>
      <c r="B173" t="s">
        <v>82</v>
      </c>
      <c r="C173">
        <v>3</v>
      </c>
      <c r="D173" t="s">
        <v>80</v>
      </c>
      <c r="E173" t="s">
        <v>4</v>
      </c>
      <c r="F173" t="s">
        <v>89</v>
      </c>
      <c r="G173">
        <v>8</v>
      </c>
      <c r="I173" t="str">
        <f t="shared" si="10"/>
        <v>CoStep3StepLengthDistanceT8</v>
      </c>
      <c r="K173" t="s">
        <v>268</v>
      </c>
      <c r="M173" s="33" t="s">
        <v>91</v>
      </c>
      <c r="N173">
        <v>80</v>
      </c>
      <c r="P173" t="str">
        <f t="shared" si="8"/>
        <v>E80</v>
      </c>
      <c r="R173" t="s">
        <v>61</v>
      </c>
    </row>
    <row r="174" spans="1:18" x14ac:dyDescent="0.2">
      <c r="A174" s="33" t="s">
        <v>48</v>
      </c>
      <c r="B174" t="s">
        <v>82</v>
      </c>
      <c r="C174">
        <v>3</v>
      </c>
      <c r="D174" t="s">
        <v>82</v>
      </c>
      <c r="E174" t="s">
        <v>5</v>
      </c>
      <c r="F174" t="s">
        <v>89</v>
      </c>
      <c r="G174">
        <v>8</v>
      </c>
      <c r="I174" t="str">
        <f t="shared" si="10"/>
        <v>CoStep3StepTimeT8</v>
      </c>
      <c r="K174" t="s">
        <v>269</v>
      </c>
      <c r="M174" s="33" t="s">
        <v>92</v>
      </c>
      <c r="N174">
        <v>80</v>
      </c>
      <c r="P174" t="str">
        <f t="shared" si="8"/>
        <v>J80</v>
      </c>
      <c r="R174" t="s">
        <v>62</v>
      </c>
    </row>
    <row r="175" spans="1:18" x14ac:dyDescent="0.2">
      <c r="A175" s="33" t="s">
        <v>48</v>
      </c>
      <c r="B175" t="s">
        <v>82</v>
      </c>
      <c r="C175">
        <v>3</v>
      </c>
      <c r="D175" t="s">
        <v>83</v>
      </c>
      <c r="E175" t="s">
        <v>5</v>
      </c>
      <c r="F175" t="s">
        <v>89</v>
      </c>
      <c r="G175">
        <v>8</v>
      </c>
      <c r="I175" t="str">
        <f t="shared" si="10"/>
        <v>CoStep3DoubleSupportTimeT8</v>
      </c>
      <c r="K175" t="s">
        <v>270</v>
      </c>
      <c r="M175" s="33" t="s">
        <v>93</v>
      </c>
      <c r="N175">
        <v>80</v>
      </c>
      <c r="P175" t="str">
        <f t="shared" si="8"/>
        <v>O80</v>
      </c>
      <c r="R175" t="s">
        <v>63</v>
      </c>
    </row>
    <row r="176" spans="1:18" x14ac:dyDescent="0.2">
      <c r="A176" s="33" t="s">
        <v>48</v>
      </c>
      <c r="B176" t="s">
        <v>82</v>
      </c>
      <c r="C176">
        <v>3</v>
      </c>
      <c r="D176" t="s">
        <v>84</v>
      </c>
      <c r="E176" t="s">
        <v>5</v>
      </c>
      <c r="F176" t="s">
        <v>89</v>
      </c>
      <c r="G176">
        <v>8</v>
      </c>
      <c r="I176" t="str">
        <f t="shared" si="10"/>
        <v>CoStep3StanceTimeT8</v>
      </c>
      <c r="K176" t="s">
        <v>271</v>
      </c>
      <c r="M176" s="33" t="s">
        <v>89</v>
      </c>
      <c r="N176">
        <v>80</v>
      </c>
      <c r="P176" t="str">
        <f t="shared" si="8"/>
        <v>T80</v>
      </c>
      <c r="R176" t="s">
        <v>95</v>
      </c>
    </row>
    <row r="177" spans="1:18" x14ac:dyDescent="0.2">
      <c r="A177" s="33" t="s">
        <v>48</v>
      </c>
      <c r="B177" t="s">
        <v>85</v>
      </c>
      <c r="C177">
        <v>1</v>
      </c>
      <c r="D177" t="s">
        <v>86</v>
      </c>
      <c r="E177" t="s">
        <v>87</v>
      </c>
      <c r="F177" t="s">
        <v>89</v>
      </c>
      <c r="G177">
        <v>8</v>
      </c>
      <c r="I177" t="str">
        <f t="shared" si="10"/>
        <v>CoStride1StrideLengthSide0%T8</v>
      </c>
      <c r="K177" t="s">
        <v>272</v>
      </c>
      <c r="M177" s="33" t="s">
        <v>90</v>
      </c>
      <c r="N177">
        <v>105</v>
      </c>
      <c r="P177" t="str">
        <f t="shared" si="8"/>
        <v>B105</v>
      </c>
      <c r="R177" t="s">
        <v>64</v>
      </c>
    </row>
    <row r="178" spans="1:18" x14ac:dyDescent="0.2">
      <c r="A178" s="33" t="s">
        <v>48</v>
      </c>
      <c r="B178" t="s">
        <v>85</v>
      </c>
      <c r="C178">
        <v>1</v>
      </c>
      <c r="D178" t="s">
        <v>86</v>
      </c>
      <c r="E178" t="s">
        <v>4</v>
      </c>
      <c r="F178" t="s">
        <v>89</v>
      </c>
      <c r="G178">
        <v>8</v>
      </c>
      <c r="I178" t="str">
        <f t="shared" si="10"/>
        <v>CoStride1StrideLengthDistanceT8</v>
      </c>
      <c r="K178" t="s">
        <v>273</v>
      </c>
      <c r="M178" s="33" t="s">
        <v>91</v>
      </c>
      <c r="N178">
        <v>105</v>
      </c>
      <c r="P178" t="str">
        <f t="shared" si="8"/>
        <v>E105</v>
      </c>
      <c r="R178" t="s">
        <v>65</v>
      </c>
    </row>
    <row r="179" spans="1:18" x14ac:dyDescent="0.2">
      <c r="A179" s="33" t="s">
        <v>48</v>
      </c>
      <c r="B179" t="s">
        <v>85</v>
      </c>
      <c r="C179">
        <v>1</v>
      </c>
      <c r="D179" t="s">
        <v>85</v>
      </c>
      <c r="E179" t="s">
        <v>5</v>
      </c>
      <c r="F179" t="s">
        <v>89</v>
      </c>
      <c r="G179">
        <v>8</v>
      </c>
      <c r="I179" t="str">
        <f t="shared" si="10"/>
        <v>CoStride1StrideTimeT8</v>
      </c>
      <c r="K179" t="s">
        <v>274</v>
      </c>
      <c r="M179" s="33" t="s">
        <v>92</v>
      </c>
      <c r="N179">
        <v>105</v>
      </c>
      <c r="P179" t="str">
        <f t="shared" si="8"/>
        <v>J105</v>
      </c>
      <c r="R179" t="s">
        <v>66</v>
      </c>
    </row>
    <row r="180" spans="1:18" x14ac:dyDescent="0.2">
      <c r="A180" s="33" t="s">
        <v>48</v>
      </c>
      <c r="B180" t="s">
        <v>85</v>
      </c>
      <c r="C180">
        <v>1</v>
      </c>
      <c r="D180" t="s">
        <v>88</v>
      </c>
      <c r="E180" t="s">
        <v>5</v>
      </c>
      <c r="F180" t="s">
        <v>89</v>
      </c>
      <c r="G180">
        <v>8</v>
      </c>
      <c r="I180" t="str">
        <f t="shared" si="10"/>
        <v>CoStride1SwingTimeT8</v>
      </c>
      <c r="K180" t="s">
        <v>275</v>
      </c>
      <c r="M180" s="33" t="s">
        <v>93</v>
      </c>
      <c r="N180">
        <v>105</v>
      </c>
      <c r="P180" t="str">
        <f t="shared" si="8"/>
        <v>O105</v>
      </c>
      <c r="R180" t="s">
        <v>67</v>
      </c>
    </row>
    <row r="181" spans="1:18" x14ac:dyDescent="0.2">
      <c r="A181" s="33" t="s">
        <v>48</v>
      </c>
      <c r="B181" t="s">
        <v>85</v>
      </c>
      <c r="C181">
        <v>2</v>
      </c>
      <c r="D181" t="s">
        <v>86</v>
      </c>
      <c r="E181" t="s">
        <v>87</v>
      </c>
      <c r="F181" t="s">
        <v>89</v>
      </c>
      <c r="G181">
        <v>8</v>
      </c>
      <c r="I181" t="str">
        <f t="shared" si="10"/>
        <v>CoStride2StrideLengthSide0%T8</v>
      </c>
      <c r="K181" t="s">
        <v>276</v>
      </c>
      <c r="M181" s="33" t="s">
        <v>90</v>
      </c>
      <c r="N181">
        <v>130</v>
      </c>
      <c r="P181" t="str">
        <f t="shared" si="8"/>
        <v>B130</v>
      </c>
      <c r="R181" t="s">
        <v>68</v>
      </c>
    </row>
    <row r="182" spans="1:18" x14ac:dyDescent="0.2">
      <c r="A182" s="33" t="s">
        <v>48</v>
      </c>
      <c r="B182" t="s">
        <v>85</v>
      </c>
      <c r="C182">
        <v>2</v>
      </c>
      <c r="D182" t="s">
        <v>86</v>
      </c>
      <c r="E182" t="s">
        <v>4</v>
      </c>
      <c r="F182" t="s">
        <v>89</v>
      </c>
      <c r="G182">
        <v>8</v>
      </c>
      <c r="I182" t="str">
        <f t="shared" si="10"/>
        <v>CoStride2StrideLengthDistanceT8</v>
      </c>
      <c r="K182" t="s">
        <v>277</v>
      </c>
      <c r="M182" s="33" t="s">
        <v>91</v>
      </c>
      <c r="N182">
        <v>130</v>
      </c>
      <c r="P182" t="str">
        <f t="shared" si="8"/>
        <v>E130</v>
      </c>
      <c r="R182" t="s">
        <v>69</v>
      </c>
    </row>
    <row r="183" spans="1:18" x14ac:dyDescent="0.2">
      <c r="A183" s="33" t="s">
        <v>48</v>
      </c>
      <c r="B183" t="s">
        <v>85</v>
      </c>
      <c r="C183">
        <v>2</v>
      </c>
      <c r="D183" t="s">
        <v>85</v>
      </c>
      <c r="E183" t="s">
        <v>5</v>
      </c>
      <c r="F183" t="s">
        <v>89</v>
      </c>
      <c r="G183">
        <v>8</v>
      </c>
      <c r="I183" t="str">
        <f t="shared" si="10"/>
        <v>CoStride2StrideTimeT8</v>
      </c>
      <c r="K183" t="s">
        <v>278</v>
      </c>
      <c r="M183" s="33" t="s">
        <v>92</v>
      </c>
      <c r="N183">
        <v>130</v>
      </c>
      <c r="P183" t="str">
        <f t="shared" si="8"/>
        <v>J130</v>
      </c>
      <c r="R183" t="s">
        <v>70</v>
      </c>
    </row>
    <row r="184" spans="1:18" x14ac:dyDescent="0.2">
      <c r="A184" s="33" t="s">
        <v>48</v>
      </c>
      <c r="B184" t="s">
        <v>85</v>
      </c>
      <c r="C184">
        <v>2</v>
      </c>
      <c r="D184" t="s">
        <v>88</v>
      </c>
      <c r="E184" t="s">
        <v>5</v>
      </c>
      <c r="F184" t="s">
        <v>89</v>
      </c>
      <c r="G184">
        <v>8</v>
      </c>
      <c r="I184" t="str">
        <f t="shared" si="10"/>
        <v>CoStride2SwingTimeT8</v>
      </c>
      <c r="K184" t="s">
        <v>279</v>
      </c>
      <c r="M184" s="33" t="s">
        <v>93</v>
      </c>
      <c r="N184">
        <v>130</v>
      </c>
      <c r="P184" t="str">
        <f t="shared" si="8"/>
        <v>O130</v>
      </c>
      <c r="R184" t="s">
        <v>71</v>
      </c>
    </row>
    <row r="185" spans="1:18" x14ac:dyDescent="0.2">
      <c r="A185" s="33" t="s">
        <v>48</v>
      </c>
      <c r="B185" t="s">
        <v>82</v>
      </c>
      <c r="C185">
        <v>1</v>
      </c>
      <c r="D185" t="s">
        <v>80</v>
      </c>
      <c r="E185" t="s">
        <v>81</v>
      </c>
      <c r="F185" t="s">
        <v>89</v>
      </c>
      <c r="G185">
        <v>9</v>
      </c>
      <c r="I185" t="str">
        <f>A185&amp;B185&amp;C185&amp;D185&amp;E185&amp;F185&amp;G185</f>
        <v>CoStep1StepLengthSwingsideT9</v>
      </c>
      <c r="K185" t="s">
        <v>280</v>
      </c>
      <c r="M185" s="33" t="s">
        <v>90</v>
      </c>
      <c r="N185">
        <v>30</v>
      </c>
      <c r="P185" t="str">
        <f t="shared" si="8"/>
        <v>B30</v>
      </c>
      <c r="R185" t="s">
        <v>52</v>
      </c>
    </row>
    <row r="186" spans="1:18" x14ac:dyDescent="0.2">
      <c r="A186" s="33" t="s">
        <v>48</v>
      </c>
      <c r="B186" t="s">
        <v>82</v>
      </c>
      <c r="C186">
        <v>1</v>
      </c>
      <c r="D186" t="s">
        <v>80</v>
      </c>
      <c r="E186" t="s">
        <v>4</v>
      </c>
      <c r="F186" t="s">
        <v>89</v>
      </c>
      <c r="G186">
        <v>9</v>
      </c>
      <c r="I186" t="str">
        <f t="shared" ref="I186:I207" si="11">A186&amp;B186&amp;C186&amp;D186&amp;E186&amp;F186&amp;G186</f>
        <v>CoStep1StepLengthDistanceT9</v>
      </c>
      <c r="K186" t="s">
        <v>281</v>
      </c>
      <c r="M186" s="33" t="s">
        <v>91</v>
      </c>
      <c r="N186">
        <v>30</v>
      </c>
      <c r="P186" t="str">
        <f t="shared" si="8"/>
        <v>E30</v>
      </c>
      <c r="R186" t="s">
        <v>53</v>
      </c>
    </row>
    <row r="187" spans="1:18" x14ac:dyDescent="0.2">
      <c r="A187" s="33" t="s">
        <v>48</v>
      </c>
      <c r="B187" t="s">
        <v>82</v>
      </c>
      <c r="C187">
        <v>1</v>
      </c>
      <c r="D187" t="s">
        <v>82</v>
      </c>
      <c r="E187" t="s">
        <v>5</v>
      </c>
      <c r="F187" t="s">
        <v>89</v>
      </c>
      <c r="G187">
        <v>9</v>
      </c>
      <c r="I187" t="str">
        <f t="shared" si="11"/>
        <v>CoStep1StepTimeT9</v>
      </c>
      <c r="K187" t="s">
        <v>282</v>
      </c>
      <c r="M187" s="33" t="s">
        <v>92</v>
      </c>
      <c r="N187">
        <v>30</v>
      </c>
      <c r="P187" t="str">
        <f t="shared" si="8"/>
        <v>J30</v>
      </c>
      <c r="R187" t="s">
        <v>54</v>
      </c>
    </row>
    <row r="188" spans="1:18" x14ac:dyDescent="0.2">
      <c r="A188" s="33" t="s">
        <v>48</v>
      </c>
      <c r="B188" t="s">
        <v>82</v>
      </c>
      <c r="C188">
        <v>1</v>
      </c>
      <c r="D188" t="s">
        <v>83</v>
      </c>
      <c r="E188" t="s">
        <v>5</v>
      </c>
      <c r="F188" t="s">
        <v>89</v>
      </c>
      <c r="G188">
        <v>9</v>
      </c>
      <c r="I188" t="str">
        <f t="shared" si="11"/>
        <v>CoStep1DoubleSupportTimeT9</v>
      </c>
      <c r="K188" t="s">
        <v>283</v>
      </c>
      <c r="M188" s="33" t="s">
        <v>93</v>
      </c>
      <c r="N188">
        <v>30</v>
      </c>
      <c r="P188" t="str">
        <f t="shared" si="8"/>
        <v>O30</v>
      </c>
      <c r="R188" t="s">
        <v>55</v>
      </c>
    </row>
    <row r="189" spans="1:18" x14ac:dyDescent="0.2">
      <c r="A189" s="33" t="s">
        <v>48</v>
      </c>
      <c r="B189" t="s">
        <v>82</v>
      </c>
      <c r="C189">
        <v>1</v>
      </c>
      <c r="D189" t="s">
        <v>84</v>
      </c>
      <c r="E189" t="s">
        <v>5</v>
      </c>
      <c r="F189" t="s">
        <v>89</v>
      </c>
      <c r="G189">
        <v>9</v>
      </c>
      <c r="I189" t="str">
        <f t="shared" si="11"/>
        <v>CoStep1StanceTimeT9</v>
      </c>
      <c r="K189" t="s">
        <v>284</v>
      </c>
      <c r="M189" s="33" t="s">
        <v>89</v>
      </c>
      <c r="N189">
        <v>30</v>
      </c>
      <c r="P189" t="str">
        <f t="shared" si="8"/>
        <v>T30</v>
      </c>
      <c r="R189" t="s">
        <v>79</v>
      </c>
    </row>
    <row r="190" spans="1:18" x14ac:dyDescent="0.2">
      <c r="A190" s="33" t="s">
        <v>48</v>
      </c>
      <c r="B190" t="s">
        <v>82</v>
      </c>
      <c r="C190">
        <v>2</v>
      </c>
      <c r="D190" t="s">
        <v>80</v>
      </c>
      <c r="E190" t="s">
        <v>81</v>
      </c>
      <c r="F190" t="s">
        <v>89</v>
      </c>
      <c r="G190">
        <v>9</v>
      </c>
      <c r="I190" t="str">
        <f t="shared" si="11"/>
        <v>CoStep2StepLengthSwingsideT9</v>
      </c>
      <c r="K190" t="s">
        <v>285</v>
      </c>
      <c r="M190" s="33" t="s">
        <v>90</v>
      </c>
      <c r="N190">
        <v>55</v>
      </c>
      <c r="P190" t="str">
        <f t="shared" si="8"/>
        <v>B55</v>
      </c>
      <c r="R190" t="s">
        <v>56</v>
      </c>
    </row>
    <row r="191" spans="1:18" x14ac:dyDescent="0.2">
      <c r="A191" s="33" t="s">
        <v>48</v>
      </c>
      <c r="B191" t="s">
        <v>82</v>
      </c>
      <c r="C191">
        <v>2</v>
      </c>
      <c r="D191" t="s">
        <v>80</v>
      </c>
      <c r="E191" t="s">
        <v>4</v>
      </c>
      <c r="F191" t="s">
        <v>89</v>
      </c>
      <c r="G191">
        <v>9</v>
      </c>
      <c r="I191" t="str">
        <f t="shared" si="11"/>
        <v>CoStep2StepLengthDistanceT9</v>
      </c>
      <c r="K191" t="s">
        <v>286</v>
      </c>
      <c r="M191" s="33" t="s">
        <v>91</v>
      </c>
      <c r="N191">
        <v>55</v>
      </c>
      <c r="P191" t="str">
        <f t="shared" si="8"/>
        <v>E55</v>
      </c>
      <c r="R191" t="s">
        <v>57</v>
      </c>
    </row>
    <row r="192" spans="1:18" x14ac:dyDescent="0.2">
      <c r="A192" s="33" t="s">
        <v>48</v>
      </c>
      <c r="B192" t="s">
        <v>82</v>
      </c>
      <c r="C192">
        <v>2</v>
      </c>
      <c r="D192" t="s">
        <v>82</v>
      </c>
      <c r="E192" t="s">
        <v>5</v>
      </c>
      <c r="F192" t="s">
        <v>89</v>
      </c>
      <c r="G192">
        <v>9</v>
      </c>
      <c r="I192" t="str">
        <f t="shared" si="11"/>
        <v>CoStep2StepTimeT9</v>
      </c>
      <c r="K192" t="s">
        <v>287</v>
      </c>
      <c r="M192" s="33" t="s">
        <v>92</v>
      </c>
      <c r="N192">
        <v>55</v>
      </c>
      <c r="P192" t="str">
        <f t="shared" si="8"/>
        <v>J55</v>
      </c>
      <c r="R192" t="s">
        <v>58</v>
      </c>
    </row>
    <row r="193" spans="1:18" x14ac:dyDescent="0.2">
      <c r="A193" s="33" t="s">
        <v>48</v>
      </c>
      <c r="B193" t="s">
        <v>82</v>
      </c>
      <c r="C193">
        <v>2</v>
      </c>
      <c r="D193" t="s">
        <v>83</v>
      </c>
      <c r="E193" t="s">
        <v>5</v>
      </c>
      <c r="F193" t="s">
        <v>89</v>
      </c>
      <c r="G193">
        <v>9</v>
      </c>
      <c r="I193" t="str">
        <f t="shared" si="11"/>
        <v>CoStep2DoubleSupportTimeT9</v>
      </c>
      <c r="K193" t="s">
        <v>288</v>
      </c>
      <c r="M193" s="33" t="s">
        <v>93</v>
      </c>
      <c r="N193">
        <v>55</v>
      </c>
      <c r="P193" t="str">
        <f t="shared" si="8"/>
        <v>O55</v>
      </c>
      <c r="R193" t="s">
        <v>59</v>
      </c>
    </row>
    <row r="194" spans="1:18" x14ac:dyDescent="0.2">
      <c r="A194" s="33" t="s">
        <v>48</v>
      </c>
      <c r="B194" t="s">
        <v>82</v>
      </c>
      <c r="C194">
        <v>2</v>
      </c>
      <c r="D194" t="s">
        <v>84</v>
      </c>
      <c r="E194" t="s">
        <v>5</v>
      </c>
      <c r="F194" t="s">
        <v>89</v>
      </c>
      <c r="G194">
        <v>9</v>
      </c>
      <c r="I194" t="str">
        <f t="shared" si="11"/>
        <v>CoStep2StanceTimeT9</v>
      </c>
      <c r="K194" t="s">
        <v>289</v>
      </c>
      <c r="M194" s="33" t="s">
        <v>89</v>
      </c>
      <c r="N194">
        <v>55</v>
      </c>
      <c r="P194" t="str">
        <f t="shared" ref="P194:P257" si="12">M194&amp;N194</f>
        <v>T55</v>
      </c>
      <c r="R194" t="s">
        <v>94</v>
      </c>
    </row>
    <row r="195" spans="1:18" x14ac:dyDescent="0.2">
      <c r="A195" s="33" t="s">
        <v>48</v>
      </c>
      <c r="B195" t="s">
        <v>82</v>
      </c>
      <c r="C195">
        <v>3</v>
      </c>
      <c r="D195" t="s">
        <v>80</v>
      </c>
      <c r="E195" t="s">
        <v>81</v>
      </c>
      <c r="F195" t="s">
        <v>89</v>
      </c>
      <c r="G195">
        <v>9</v>
      </c>
      <c r="I195" t="str">
        <f t="shared" si="11"/>
        <v>CoStep3StepLengthSwingsideT9</v>
      </c>
      <c r="K195" t="s">
        <v>290</v>
      </c>
      <c r="M195" s="33" t="s">
        <v>90</v>
      </c>
      <c r="N195">
        <v>80</v>
      </c>
      <c r="P195" t="str">
        <f t="shared" si="12"/>
        <v>B80</v>
      </c>
      <c r="R195" t="s">
        <v>60</v>
      </c>
    </row>
    <row r="196" spans="1:18" x14ac:dyDescent="0.2">
      <c r="A196" s="33" t="s">
        <v>48</v>
      </c>
      <c r="B196" t="s">
        <v>82</v>
      </c>
      <c r="C196">
        <v>3</v>
      </c>
      <c r="D196" t="s">
        <v>80</v>
      </c>
      <c r="E196" t="s">
        <v>4</v>
      </c>
      <c r="F196" t="s">
        <v>89</v>
      </c>
      <c r="G196">
        <v>9</v>
      </c>
      <c r="I196" t="str">
        <f t="shared" si="11"/>
        <v>CoStep3StepLengthDistanceT9</v>
      </c>
      <c r="K196" t="s">
        <v>291</v>
      </c>
      <c r="M196" s="33" t="s">
        <v>91</v>
      </c>
      <c r="N196">
        <v>80</v>
      </c>
      <c r="P196" t="str">
        <f t="shared" si="12"/>
        <v>E80</v>
      </c>
      <c r="R196" t="s">
        <v>61</v>
      </c>
    </row>
    <row r="197" spans="1:18" x14ac:dyDescent="0.2">
      <c r="A197" s="33" t="s">
        <v>48</v>
      </c>
      <c r="B197" t="s">
        <v>82</v>
      </c>
      <c r="C197">
        <v>3</v>
      </c>
      <c r="D197" t="s">
        <v>82</v>
      </c>
      <c r="E197" t="s">
        <v>5</v>
      </c>
      <c r="F197" t="s">
        <v>89</v>
      </c>
      <c r="G197">
        <v>9</v>
      </c>
      <c r="I197" t="str">
        <f t="shared" si="11"/>
        <v>CoStep3StepTimeT9</v>
      </c>
      <c r="K197" t="s">
        <v>292</v>
      </c>
      <c r="M197" s="33" t="s">
        <v>92</v>
      </c>
      <c r="N197">
        <v>80</v>
      </c>
      <c r="P197" t="str">
        <f t="shared" si="12"/>
        <v>J80</v>
      </c>
      <c r="R197" t="s">
        <v>62</v>
      </c>
    </row>
    <row r="198" spans="1:18" x14ac:dyDescent="0.2">
      <c r="A198" s="33" t="s">
        <v>48</v>
      </c>
      <c r="B198" t="s">
        <v>82</v>
      </c>
      <c r="C198">
        <v>3</v>
      </c>
      <c r="D198" t="s">
        <v>83</v>
      </c>
      <c r="E198" t="s">
        <v>5</v>
      </c>
      <c r="F198" t="s">
        <v>89</v>
      </c>
      <c r="G198">
        <v>9</v>
      </c>
      <c r="I198" t="str">
        <f t="shared" si="11"/>
        <v>CoStep3DoubleSupportTimeT9</v>
      </c>
      <c r="K198" t="s">
        <v>293</v>
      </c>
      <c r="M198" s="33" t="s">
        <v>93</v>
      </c>
      <c r="N198">
        <v>80</v>
      </c>
      <c r="P198" t="str">
        <f t="shared" si="12"/>
        <v>O80</v>
      </c>
      <c r="R198" t="s">
        <v>63</v>
      </c>
    </row>
    <row r="199" spans="1:18" x14ac:dyDescent="0.2">
      <c r="A199" s="33" t="s">
        <v>48</v>
      </c>
      <c r="B199" t="s">
        <v>82</v>
      </c>
      <c r="C199">
        <v>3</v>
      </c>
      <c r="D199" t="s">
        <v>84</v>
      </c>
      <c r="E199" t="s">
        <v>5</v>
      </c>
      <c r="F199" t="s">
        <v>89</v>
      </c>
      <c r="G199">
        <v>9</v>
      </c>
      <c r="I199" t="str">
        <f t="shared" si="11"/>
        <v>CoStep3StanceTimeT9</v>
      </c>
      <c r="K199" t="s">
        <v>294</v>
      </c>
      <c r="M199" s="33" t="s">
        <v>89</v>
      </c>
      <c r="N199">
        <v>80</v>
      </c>
      <c r="P199" t="str">
        <f t="shared" si="12"/>
        <v>T80</v>
      </c>
      <c r="R199" t="s">
        <v>95</v>
      </c>
    </row>
    <row r="200" spans="1:18" x14ac:dyDescent="0.2">
      <c r="A200" s="33" t="s">
        <v>48</v>
      </c>
      <c r="B200" t="s">
        <v>85</v>
      </c>
      <c r="C200">
        <v>1</v>
      </c>
      <c r="D200" t="s">
        <v>86</v>
      </c>
      <c r="E200" t="s">
        <v>87</v>
      </c>
      <c r="F200" t="s">
        <v>89</v>
      </c>
      <c r="G200">
        <v>9</v>
      </c>
      <c r="I200" t="str">
        <f t="shared" si="11"/>
        <v>CoStride1StrideLengthSide0%T9</v>
      </c>
      <c r="K200" t="s">
        <v>295</v>
      </c>
      <c r="M200" s="33" t="s">
        <v>90</v>
      </c>
      <c r="N200">
        <v>105</v>
      </c>
      <c r="P200" t="str">
        <f t="shared" si="12"/>
        <v>B105</v>
      </c>
      <c r="R200" t="s">
        <v>64</v>
      </c>
    </row>
    <row r="201" spans="1:18" x14ac:dyDescent="0.2">
      <c r="A201" s="33" t="s">
        <v>48</v>
      </c>
      <c r="B201" t="s">
        <v>85</v>
      </c>
      <c r="C201">
        <v>1</v>
      </c>
      <c r="D201" t="s">
        <v>86</v>
      </c>
      <c r="E201" t="s">
        <v>4</v>
      </c>
      <c r="F201" t="s">
        <v>89</v>
      </c>
      <c r="G201">
        <v>9</v>
      </c>
      <c r="I201" t="str">
        <f t="shared" si="11"/>
        <v>CoStride1StrideLengthDistanceT9</v>
      </c>
      <c r="K201" t="s">
        <v>296</v>
      </c>
      <c r="M201" s="33" t="s">
        <v>91</v>
      </c>
      <c r="N201">
        <v>105</v>
      </c>
      <c r="P201" t="str">
        <f t="shared" si="12"/>
        <v>E105</v>
      </c>
      <c r="R201" t="s">
        <v>65</v>
      </c>
    </row>
    <row r="202" spans="1:18" x14ac:dyDescent="0.2">
      <c r="A202" s="33" t="s">
        <v>48</v>
      </c>
      <c r="B202" t="s">
        <v>85</v>
      </c>
      <c r="C202">
        <v>1</v>
      </c>
      <c r="D202" t="s">
        <v>85</v>
      </c>
      <c r="E202" t="s">
        <v>5</v>
      </c>
      <c r="F202" t="s">
        <v>89</v>
      </c>
      <c r="G202">
        <v>9</v>
      </c>
      <c r="I202" t="str">
        <f t="shared" si="11"/>
        <v>CoStride1StrideTimeT9</v>
      </c>
      <c r="K202" t="s">
        <v>297</v>
      </c>
      <c r="M202" s="33" t="s">
        <v>92</v>
      </c>
      <c r="N202">
        <v>105</v>
      </c>
      <c r="P202" t="str">
        <f t="shared" si="12"/>
        <v>J105</v>
      </c>
      <c r="R202" t="s">
        <v>66</v>
      </c>
    </row>
    <row r="203" spans="1:18" x14ac:dyDescent="0.2">
      <c r="A203" s="33" t="s">
        <v>48</v>
      </c>
      <c r="B203" t="s">
        <v>85</v>
      </c>
      <c r="C203">
        <v>1</v>
      </c>
      <c r="D203" t="s">
        <v>88</v>
      </c>
      <c r="E203" t="s">
        <v>5</v>
      </c>
      <c r="F203" t="s">
        <v>89</v>
      </c>
      <c r="G203">
        <v>9</v>
      </c>
      <c r="I203" t="str">
        <f t="shared" si="11"/>
        <v>CoStride1SwingTimeT9</v>
      </c>
      <c r="K203" t="s">
        <v>298</v>
      </c>
      <c r="M203" s="33" t="s">
        <v>93</v>
      </c>
      <c r="N203">
        <v>105</v>
      </c>
      <c r="P203" t="str">
        <f t="shared" si="12"/>
        <v>O105</v>
      </c>
      <c r="R203" t="s">
        <v>67</v>
      </c>
    </row>
    <row r="204" spans="1:18" x14ac:dyDescent="0.2">
      <c r="A204" s="33" t="s">
        <v>48</v>
      </c>
      <c r="B204" t="s">
        <v>85</v>
      </c>
      <c r="C204">
        <v>2</v>
      </c>
      <c r="D204" t="s">
        <v>86</v>
      </c>
      <c r="E204" t="s">
        <v>87</v>
      </c>
      <c r="F204" t="s">
        <v>89</v>
      </c>
      <c r="G204">
        <v>9</v>
      </c>
      <c r="I204" t="str">
        <f t="shared" si="11"/>
        <v>CoStride2StrideLengthSide0%T9</v>
      </c>
      <c r="K204" t="s">
        <v>299</v>
      </c>
      <c r="M204" s="33" t="s">
        <v>90</v>
      </c>
      <c r="N204">
        <v>130</v>
      </c>
      <c r="P204" t="str">
        <f t="shared" si="12"/>
        <v>B130</v>
      </c>
      <c r="R204" t="s">
        <v>68</v>
      </c>
    </row>
    <row r="205" spans="1:18" x14ac:dyDescent="0.2">
      <c r="A205" s="33" t="s">
        <v>48</v>
      </c>
      <c r="B205" t="s">
        <v>85</v>
      </c>
      <c r="C205">
        <v>2</v>
      </c>
      <c r="D205" t="s">
        <v>86</v>
      </c>
      <c r="E205" t="s">
        <v>4</v>
      </c>
      <c r="F205" t="s">
        <v>89</v>
      </c>
      <c r="G205">
        <v>9</v>
      </c>
      <c r="I205" t="str">
        <f t="shared" si="11"/>
        <v>CoStride2StrideLengthDistanceT9</v>
      </c>
      <c r="K205" t="s">
        <v>300</v>
      </c>
      <c r="M205" s="33" t="s">
        <v>91</v>
      </c>
      <c r="N205">
        <v>130</v>
      </c>
      <c r="P205" t="str">
        <f t="shared" si="12"/>
        <v>E130</v>
      </c>
      <c r="R205" t="s">
        <v>69</v>
      </c>
    </row>
    <row r="206" spans="1:18" x14ac:dyDescent="0.2">
      <c r="A206" s="33" t="s">
        <v>48</v>
      </c>
      <c r="B206" t="s">
        <v>85</v>
      </c>
      <c r="C206">
        <v>2</v>
      </c>
      <c r="D206" t="s">
        <v>85</v>
      </c>
      <c r="E206" t="s">
        <v>5</v>
      </c>
      <c r="F206" t="s">
        <v>89</v>
      </c>
      <c r="G206">
        <v>9</v>
      </c>
      <c r="I206" t="str">
        <f t="shared" si="11"/>
        <v>CoStride2StrideTimeT9</v>
      </c>
      <c r="K206" t="s">
        <v>301</v>
      </c>
      <c r="M206" s="33" t="s">
        <v>92</v>
      </c>
      <c r="N206">
        <v>130</v>
      </c>
      <c r="P206" t="str">
        <f t="shared" si="12"/>
        <v>J130</v>
      </c>
      <c r="R206" t="s">
        <v>70</v>
      </c>
    </row>
    <row r="207" spans="1:18" x14ac:dyDescent="0.2">
      <c r="A207" s="33" t="s">
        <v>48</v>
      </c>
      <c r="B207" t="s">
        <v>85</v>
      </c>
      <c r="C207">
        <v>2</v>
      </c>
      <c r="D207" t="s">
        <v>88</v>
      </c>
      <c r="E207" t="s">
        <v>5</v>
      </c>
      <c r="F207" t="s">
        <v>89</v>
      </c>
      <c r="G207">
        <v>9</v>
      </c>
      <c r="I207" t="str">
        <f t="shared" si="11"/>
        <v>CoStride2SwingTimeT9</v>
      </c>
      <c r="K207" t="s">
        <v>302</v>
      </c>
      <c r="M207" s="33" t="s">
        <v>93</v>
      </c>
      <c r="N207">
        <v>130</v>
      </c>
      <c r="P207" t="str">
        <f t="shared" si="12"/>
        <v>O130</v>
      </c>
      <c r="R207" t="s">
        <v>71</v>
      </c>
    </row>
    <row r="208" spans="1:18" x14ac:dyDescent="0.2">
      <c r="A208" s="33" t="s">
        <v>48</v>
      </c>
      <c r="B208" t="s">
        <v>82</v>
      </c>
      <c r="C208">
        <v>1</v>
      </c>
      <c r="D208" t="s">
        <v>80</v>
      </c>
      <c r="E208" t="s">
        <v>81</v>
      </c>
      <c r="F208" t="s">
        <v>89</v>
      </c>
      <c r="G208">
        <v>10</v>
      </c>
      <c r="I208" t="str">
        <f>A208&amp;B208&amp;C208&amp;D208&amp;E208&amp;F208&amp;G208</f>
        <v>CoStep1StepLengthSwingsideT10</v>
      </c>
      <c r="K208" t="s">
        <v>303</v>
      </c>
      <c r="M208" s="33" t="s">
        <v>90</v>
      </c>
      <c r="N208">
        <v>30</v>
      </c>
      <c r="P208" t="str">
        <f t="shared" si="12"/>
        <v>B30</v>
      </c>
      <c r="R208" t="s">
        <v>52</v>
      </c>
    </row>
    <row r="209" spans="1:18" x14ac:dyDescent="0.2">
      <c r="A209" s="33" t="s">
        <v>48</v>
      </c>
      <c r="B209" t="s">
        <v>82</v>
      </c>
      <c r="C209">
        <v>1</v>
      </c>
      <c r="D209" t="s">
        <v>80</v>
      </c>
      <c r="E209" t="s">
        <v>4</v>
      </c>
      <c r="F209" t="s">
        <v>89</v>
      </c>
      <c r="G209">
        <v>10</v>
      </c>
      <c r="I209" t="str">
        <f t="shared" ref="I209:I230" si="13">A209&amp;B209&amp;C209&amp;D209&amp;E209&amp;F209&amp;G209</f>
        <v>CoStep1StepLengthDistanceT10</v>
      </c>
      <c r="K209" t="s">
        <v>304</v>
      </c>
      <c r="M209" s="33" t="s">
        <v>91</v>
      </c>
      <c r="N209">
        <v>30</v>
      </c>
      <c r="P209" t="str">
        <f t="shared" si="12"/>
        <v>E30</v>
      </c>
      <c r="R209" t="s">
        <v>53</v>
      </c>
    </row>
    <row r="210" spans="1:18" x14ac:dyDescent="0.2">
      <c r="A210" s="33" t="s">
        <v>48</v>
      </c>
      <c r="B210" t="s">
        <v>82</v>
      </c>
      <c r="C210">
        <v>1</v>
      </c>
      <c r="D210" t="s">
        <v>82</v>
      </c>
      <c r="E210" t="s">
        <v>5</v>
      </c>
      <c r="F210" t="s">
        <v>89</v>
      </c>
      <c r="G210">
        <v>10</v>
      </c>
      <c r="I210" t="str">
        <f t="shared" si="13"/>
        <v>CoStep1StepTimeT10</v>
      </c>
      <c r="K210" t="s">
        <v>305</v>
      </c>
      <c r="M210" s="33" t="s">
        <v>92</v>
      </c>
      <c r="N210">
        <v>30</v>
      </c>
      <c r="P210" t="str">
        <f t="shared" si="12"/>
        <v>J30</v>
      </c>
      <c r="R210" t="s">
        <v>54</v>
      </c>
    </row>
    <row r="211" spans="1:18" x14ac:dyDescent="0.2">
      <c r="A211" s="33" t="s">
        <v>48</v>
      </c>
      <c r="B211" t="s">
        <v>82</v>
      </c>
      <c r="C211">
        <v>1</v>
      </c>
      <c r="D211" t="s">
        <v>83</v>
      </c>
      <c r="E211" t="s">
        <v>5</v>
      </c>
      <c r="F211" t="s">
        <v>89</v>
      </c>
      <c r="G211">
        <v>10</v>
      </c>
      <c r="I211" t="str">
        <f t="shared" si="13"/>
        <v>CoStep1DoubleSupportTimeT10</v>
      </c>
      <c r="K211" t="s">
        <v>306</v>
      </c>
      <c r="M211" s="33" t="s">
        <v>93</v>
      </c>
      <c r="N211">
        <v>30</v>
      </c>
      <c r="P211" t="str">
        <f t="shared" si="12"/>
        <v>O30</v>
      </c>
      <c r="R211" t="s">
        <v>55</v>
      </c>
    </row>
    <row r="212" spans="1:18" x14ac:dyDescent="0.2">
      <c r="A212" s="33" t="s">
        <v>48</v>
      </c>
      <c r="B212" t="s">
        <v>82</v>
      </c>
      <c r="C212">
        <v>1</v>
      </c>
      <c r="D212" t="s">
        <v>84</v>
      </c>
      <c r="E212" t="s">
        <v>5</v>
      </c>
      <c r="F212" t="s">
        <v>89</v>
      </c>
      <c r="G212">
        <v>10</v>
      </c>
      <c r="I212" t="str">
        <f t="shared" si="13"/>
        <v>CoStep1StanceTimeT10</v>
      </c>
      <c r="K212" t="s">
        <v>307</v>
      </c>
      <c r="M212" s="33" t="s">
        <v>89</v>
      </c>
      <c r="N212">
        <v>30</v>
      </c>
      <c r="P212" t="str">
        <f t="shared" si="12"/>
        <v>T30</v>
      </c>
      <c r="R212" t="s">
        <v>79</v>
      </c>
    </row>
    <row r="213" spans="1:18" x14ac:dyDescent="0.2">
      <c r="A213" s="33" t="s">
        <v>48</v>
      </c>
      <c r="B213" t="s">
        <v>82</v>
      </c>
      <c r="C213">
        <v>2</v>
      </c>
      <c r="D213" t="s">
        <v>80</v>
      </c>
      <c r="E213" t="s">
        <v>81</v>
      </c>
      <c r="F213" t="s">
        <v>89</v>
      </c>
      <c r="G213">
        <v>10</v>
      </c>
      <c r="I213" t="str">
        <f t="shared" si="13"/>
        <v>CoStep2StepLengthSwingsideT10</v>
      </c>
      <c r="K213" t="s">
        <v>308</v>
      </c>
      <c r="M213" s="33" t="s">
        <v>90</v>
      </c>
      <c r="N213">
        <v>55</v>
      </c>
      <c r="P213" t="str">
        <f t="shared" si="12"/>
        <v>B55</v>
      </c>
      <c r="R213" t="s">
        <v>56</v>
      </c>
    </row>
    <row r="214" spans="1:18" x14ac:dyDescent="0.2">
      <c r="A214" s="33" t="s">
        <v>48</v>
      </c>
      <c r="B214" t="s">
        <v>82</v>
      </c>
      <c r="C214">
        <v>2</v>
      </c>
      <c r="D214" t="s">
        <v>80</v>
      </c>
      <c r="E214" t="s">
        <v>4</v>
      </c>
      <c r="F214" t="s">
        <v>89</v>
      </c>
      <c r="G214">
        <v>10</v>
      </c>
      <c r="I214" t="str">
        <f t="shared" si="13"/>
        <v>CoStep2StepLengthDistanceT10</v>
      </c>
      <c r="K214" t="s">
        <v>309</v>
      </c>
      <c r="M214" s="33" t="s">
        <v>91</v>
      </c>
      <c r="N214">
        <v>55</v>
      </c>
      <c r="P214" t="str">
        <f t="shared" si="12"/>
        <v>E55</v>
      </c>
      <c r="R214" t="s">
        <v>57</v>
      </c>
    </row>
    <row r="215" spans="1:18" x14ac:dyDescent="0.2">
      <c r="A215" s="33" t="s">
        <v>48</v>
      </c>
      <c r="B215" t="s">
        <v>82</v>
      </c>
      <c r="C215">
        <v>2</v>
      </c>
      <c r="D215" t="s">
        <v>82</v>
      </c>
      <c r="E215" t="s">
        <v>5</v>
      </c>
      <c r="F215" t="s">
        <v>89</v>
      </c>
      <c r="G215">
        <v>10</v>
      </c>
      <c r="I215" t="str">
        <f t="shared" si="13"/>
        <v>CoStep2StepTimeT10</v>
      </c>
      <c r="K215" t="s">
        <v>310</v>
      </c>
      <c r="M215" s="33" t="s">
        <v>92</v>
      </c>
      <c r="N215">
        <v>55</v>
      </c>
      <c r="P215" t="str">
        <f t="shared" si="12"/>
        <v>J55</v>
      </c>
      <c r="R215" t="s">
        <v>58</v>
      </c>
    </row>
    <row r="216" spans="1:18" x14ac:dyDescent="0.2">
      <c r="A216" s="33" t="s">
        <v>48</v>
      </c>
      <c r="B216" t="s">
        <v>82</v>
      </c>
      <c r="C216">
        <v>2</v>
      </c>
      <c r="D216" t="s">
        <v>83</v>
      </c>
      <c r="E216" t="s">
        <v>5</v>
      </c>
      <c r="F216" t="s">
        <v>89</v>
      </c>
      <c r="G216">
        <v>10</v>
      </c>
      <c r="I216" t="str">
        <f t="shared" si="13"/>
        <v>CoStep2DoubleSupportTimeT10</v>
      </c>
      <c r="K216" t="s">
        <v>311</v>
      </c>
      <c r="M216" s="33" t="s">
        <v>93</v>
      </c>
      <c r="N216">
        <v>55</v>
      </c>
      <c r="P216" t="str">
        <f t="shared" si="12"/>
        <v>O55</v>
      </c>
      <c r="R216" t="s">
        <v>59</v>
      </c>
    </row>
    <row r="217" spans="1:18" x14ac:dyDescent="0.2">
      <c r="A217" s="33" t="s">
        <v>48</v>
      </c>
      <c r="B217" t="s">
        <v>82</v>
      </c>
      <c r="C217">
        <v>2</v>
      </c>
      <c r="D217" t="s">
        <v>84</v>
      </c>
      <c r="E217" t="s">
        <v>5</v>
      </c>
      <c r="F217" t="s">
        <v>89</v>
      </c>
      <c r="G217">
        <v>10</v>
      </c>
      <c r="I217" t="str">
        <f t="shared" si="13"/>
        <v>CoStep2StanceTimeT10</v>
      </c>
      <c r="K217" t="s">
        <v>312</v>
      </c>
      <c r="M217" s="33" t="s">
        <v>89</v>
      </c>
      <c r="N217">
        <v>55</v>
      </c>
      <c r="P217" t="str">
        <f t="shared" si="12"/>
        <v>T55</v>
      </c>
      <c r="R217" t="s">
        <v>94</v>
      </c>
    </row>
    <row r="218" spans="1:18" x14ac:dyDescent="0.2">
      <c r="A218" s="33" t="s">
        <v>48</v>
      </c>
      <c r="B218" t="s">
        <v>82</v>
      </c>
      <c r="C218">
        <v>3</v>
      </c>
      <c r="D218" t="s">
        <v>80</v>
      </c>
      <c r="E218" t="s">
        <v>81</v>
      </c>
      <c r="F218" t="s">
        <v>89</v>
      </c>
      <c r="G218">
        <v>10</v>
      </c>
      <c r="I218" t="str">
        <f t="shared" si="13"/>
        <v>CoStep3StepLengthSwingsideT10</v>
      </c>
      <c r="K218" t="s">
        <v>313</v>
      </c>
      <c r="M218" s="33" t="s">
        <v>90</v>
      </c>
      <c r="N218">
        <v>80</v>
      </c>
      <c r="P218" t="str">
        <f t="shared" si="12"/>
        <v>B80</v>
      </c>
      <c r="R218" t="s">
        <v>60</v>
      </c>
    </row>
    <row r="219" spans="1:18" x14ac:dyDescent="0.2">
      <c r="A219" s="33" t="s">
        <v>48</v>
      </c>
      <c r="B219" t="s">
        <v>82</v>
      </c>
      <c r="C219">
        <v>3</v>
      </c>
      <c r="D219" t="s">
        <v>80</v>
      </c>
      <c r="E219" t="s">
        <v>4</v>
      </c>
      <c r="F219" t="s">
        <v>89</v>
      </c>
      <c r="G219">
        <v>10</v>
      </c>
      <c r="I219" t="str">
        <f t="shared" si="13"/>
        <v>CoStep3StepLengthDistanceT10</v>
      </c>
      <c r="K219" t="s">
        <v>314</v>
      </c>
      <c r="M219" s="33" t="s">
        <v>91</v>
      </c>
      <c r="N219">
        <v>80</v>
      </c>
      <c r="P219" t="str">
        <f t="shared" si="12"/>
        <v>E80</v>
      </c>
      <c r="R219" t="s">
        <v>61</v>
      </c>
    </row>
    <row r="220" spans="1:18" x14ac:dyDescent="0.2">
      <c r="A220" s="33" t="s">
        <v>48</v>
      </c>
      <c r="B220" t="s">
        <v>82</v>
      </c>
      <c r="C220">
        <v>3</v>
      </c>
      <c r="D220" t="s">
        <v>82</v>
      </c>
      <c r="E220" t="s">
        <v>5</v>
      </c>
      <c r="F220" t="s">
        <v>89</v>
      </c>
      <c r="G220">
        <v>10</v>
      </c>
      <c r="I220" t="str">
        <f t="shared" si="13"/>
        <v>CoStep3StepTimeT10</v>
      </c>
      <c r="K220" t="s">
        <v>315</v>
      </c>
      <c r="M220" s="33" t="s">
        <v>92</v>
      </c>
      <c r="N220">
        <v>80</v>
      </c>
      <c r="P220" t="str">
        <f t="shared" si="12"/>
        <v>J80</v>
      </c>
      <c r="R220" t="s">
        <v>62</v>
      </c>
    </row>
    <row r="221" spans="1:18" x14ac:dyDescent="0.2">
      <c r="A221" s="33" t="s">
        <v>48</v>
      </c>
      <c r="B221" t="s">
        <v>82</v>
      </c>
      <c r="C221">
        <v>3</v>
      </c>
      <c r="D221" t="s">
        <v>83</v>
      </c>
      <c r="E221" t="s">
        <v>5</v>
      </c>
      <c r="F221" t="s">
        <v>89</v>
      </c>
      <c r="G221">
        <v>10</v>
      </c>
      <c r="I221" t="str">
        <f t="shared" si="13"/>
        <v>CoStep3DoubleSupportTimeT10</v>
      </c>
      <c r="K221" t="s">
        <v>316</v>
      </c>
      <c r="M221" s="33" t="s">
        <v>93</v>
      </c>
      <c r="N221">
        <v>80</v>
      </c>
      <c r="P221" t="str">
        <f t="shared" si="12"/>
        <v>O80</v>
      </c>
      <c r="R221" t="s">
        <v>63</v>
      </c>
    </row>
    <row r="222" spans="1:18" x14ac:dyDescent="0.2">
      <c r="A222" s="33" t="s">
        <v>48</v>
      </c>
      <c r="B222" t="s">
        <v>82</v>
      </c>
      <c r="C222">
        <v>3</v>
      </c>
      <c r="D222" t="s">
        <v>84</v>
      </c>
      <c r="E222" t="s">
        <v>5</v>
      </c>
      <c r="F222" t="s">
        <v>89</v>
      </c>
      <c r="G222">
        <v>10</v>
      </c>
      <c r="I222" t="str">
        <f t="shared" si="13"/>
        <v>CoStep3StanceTimeT10</v>
      </c>
      <c r="K222" t="s">
        <v>317</v>
      </c>
      <c r="M222" s="33" t="s">
        <v>89</v>
      </c>
      <c r="N222">
        <v>80</v>
      </c>
      <c r="P222" t="str">
        <f t="shared" si="12"/>
        <v>T80</v>
      </c>
      <c r="R222" t="s">
        <v>95</v>
      </c>
    </row>
    <row r="223" spans="1:18" x14ac:dyDescent="0.2">
      <c r="A223" s="33" t="s">
        <v>48</v>
      </c>
      <c r="B223" t="s">
        <v>85</v>
      </c>
      <c r="C223">
        <v>1</v>
      </c>
      <c r="D223" t="s">
        <v>86</v>
      </c>
      <c r="E223" t="s">
        <v>87</v>
      </c>
      <c r="F223" t="s">
        <v>89</v>
      </c>
      <c r="G223">
        <v>10</v>
      </c>
      <c r="I223" t="str">
        <f t="shared" si="13"/>
        <v>CoStride1StrideLengthSide0%T10</v>
      </c>
      <c r="K223" t="s">
        <v>318</v>
      </c>
      <c r="M223" s="33" t="s">
        <v>90</v>
      </c>
      <c r="N223">
        <v>105</v>
      </c>
      <c r="P223" t="str">
        <f t="shared" si="12"/>
        <v>B105</v>
      </c>
      <c r="R223" t="s">
        <v>64</v>
      </c>
    </row>
    <row r="224" spans="1:18" x14ac:dyDescent="0.2">
      <c r="A224" s="33" t="s">
        <v>48</v>
      </c>
      <c r="B224" t="s">
        <v>85</v>
      </c>
      <c r="C224">
        <v>1</v>
      </c>
      <c r="D224" t="s">
        <v>86</v>
      </c>
      <c r="E224" t="s">
        <v>4</v>
      </c>
      <c r="F224" t="s">
        <v>89</v>
      </c>
      <c r="G224">
        <v>10</v>
      </c>
      <c r="I224" t="str">
        <f t="shared" si="13"/>
        <v>CoStride1StrideLengthDistanceT10</v>
      </c>
      <c r="K224" t="s">
        <v>319</v>
      </c>
      <c r="M224" s="33" t="s">
        <v>91</v>
      </c>
      <c r="N224">
        <v>105</v>
      </c>
      <c r="P224" t="str">
        <f t="shared" si="12"/>
        <v>E105</v>
      </c>
      <c r="R224" t="s">
        <v>65</v>
      </c>
    </row>
    <row r="225" spans="1:18" x14ac:dyDescent="0.2">
      <c r="A225" s="33" t="s">
        <v>48</v>
      </c>
      <c r="B225" t="s">
        <v>85</v>
      </c>
      <c r="C225">
        <v>1</v>
      </c>
      <c r="D225" t="s">
        <v>85</v>
      </c>
      <c r="E225" t="s">
        <v>5</v>
      </c>
      <c r="F225" t="s">
        <v>89</v>
      </c>
      <c r="G225">
        <v>10</v>
      </c>
      <c r="I225" t="str">
        <f t="shared" si="13"/>
        <v>CoStride1StrideTimeT10</v>
      </c>
      <c r="K225" t="s">
        <v>320</v>
      </c>
      <c r="M225" s="33" t="s">
        <v>92</v>
      </c>
      <c r="N225">
        <v>105</v>
      </c>
      <c r="P225" t="str">
        <f t="shared" si="12"/>
        <v>J105</v>
      </c>
      <c r="R225" t="s">
        <v>66</v>
      </c>
    </row>
    <row r="226" spans="1:18" x14ac:dyDescent="0.2">
      <c r="A226" s="33" t="s">
        <v>48</v>
      </c>
      <c r="B226" t="s">
        <v>85</v>
      </c>
      <c r="C226">
        <v>1</v>
      </c>
      <c r="D226" t="s">
        <v>88</v>
      </c>
      <c r="E226" t="s">
        <v>5</v>
      </c>
      <c r="F226" t="s">
        <v>89</v>
      </c>
      <c r="G226">
        <v>10</v>
      </c>
      <c r="I226" t="str">
        <f t="shared" si="13"/>
        <v>CoStride1SwingTimeT10</v>
      </c>
      <c r="K226" t="s">
        <v>321</v>
      </c>
      <c r="M226" s="33" t="s">
        <v>93</v>
      </c>
      <c r="N226">
        <v>105</v>
      </c>
      <c r="P226" t="str">
        <f t="shared" si="12"/>
        <v>O105</v>
      </c>
      <c r="R226" t="s">
        <v>67</v>
      </c>
    </row>
    <row r="227" spans="1:18" x14ac:dyDescent="0.2">
      <c r="A227" s="33" t="s">
        <v>48</v>
      </c>
      <c r="B227" t="s">
        <v>85</v>
      </c>
      <c r="C227">
        <v>2</v>
      </c>
      <c r="D227" t="s">
        <v>86</v>
      </c>
      <c r="E227" t="s">
        <v>87</v>
      </c>
      <c r="F227" t="s">
        <v>89</v>
      </c>
      <c r="G227">
        <v>10</v>
      </c>
      <c r="I227" t="str">
        <f t="shared" si="13"/>
        <v>CoStride2StrideLengthSide0%T10</v>
      </c>
      <c r="K227" t="s">
        <v>322</v>
      </c>
      <c r="M227" s="33" t="s">
        <v>90</v>
      </c>
      <c r="N227">
        <v>130</v>
      </c>
      <c r="P227" t="str">
        <f t="shared" si="12"/>
        <v>B130</v>
      </c>
      <c r="R227" t="s">
        <v>68</v>
      </c>
    </row>
    <row r="228" spans="1:18" x14ac:dyDescent="0.2">
      <c r="A228" s="33" t="s">
        <v>48</v>
      </c>
      <c r="B228" t="s">
        <v>85</v>
      </c>
      <c r="C228">
        <v>2</v>
      </c>
      <c r="D228" t="s">
        <v>86</v>
      </c>
      <c r="E228" t="s">
        <v>4</v>
      </c>
      <c r="F228" t="s">
        <v>89</v>
      </c>
      <c r="G228">
        <v>10</v>
      </c>
      <c r="I228" t="str">
        <f t="shared" si="13"/>
        <v>CoStride2StrideLengthDistanceT10</v>
      </c>
      <c r="K228" t="s">
        <v>323</v>
      </c>
      <c r="M228" s="33" t="s">
        <v>91</v>
      </c>
      <c r="N228">
        <v>130</v>
      </c>
      <c r="P228" t="str">
        <f t="shared" si="12"/>
        <v>E130</v>
      </c>
      <c r="R228" t="s">
        <v>69</v>
      </c>
    </row>
    <row r="229" spans="1:18" x14ac:dyDescent="0.2">
      <c r="A229" s="33" t="s">
        <v>48</v>
      </c>
      <c r="B229" t="s">
        <v>85</v>
      </c>
      <c r="C229">
        <v>2</v>
      </c>
      <c r="D229" t="s">
        <v>85</v>
      </c>
      <c r="E229" t="s">
        <v>5</v>
      </c>
      <c r="F229" t="s">
        <v>89</v>
      </c>
      <c r="G229">
        <v>10</v>
      </c>
      <c r="I229" t="str">
        <f t="shared" si="13"/>
        <v>CoStride2StrideTimeT10</v>
      </c>
      <c r="K229" t="s">
        <v>324</v>
      </c>
      <c r="M229" s="33" t="s">
        <v>92</v>
      </c>
      <c r="N229">
        <v>130</v>
      </c>
      <c r="P229" t="str">
        <f t="shared" si="12"/>
        <v>J130</v>
      </c>
      <c r="R229" t="s">
        <v>70</v>
      </c>
    </row>
    <row r="230" spans="1:18" x14ac:dyDescent="0.2">
      <c r="A230" s="33" t="s">
        <v>48</v>
      </c>
      <c r="B230" t="s">
        <v>85</v>
      </c>
      <c r="C230">
        <v>2</v>
      </c>
      <c r="D230" t="s">
        <v>88</v>
      </c>
      <c r="E230" t="s">
        <v>5</v>
      </c>
      <c r="F230" t="s">
        <v>89</v>
      </c>
      <c r="G230">
        <v>10</v>
      </c>
      <c r="I230" t="str">
        <f t="shared" si="13"/>
        <v>CoStride2SwingTimeT10</v>
      </c>
      <c r="K230" t="s">
        <v>325</v>
      </c>
      <c r="M230" s="33" t="s">
        <v>93</v>
      </c>
      <c r="N230">
        <v>130</v>
      </c>
      <c r="P230" t="str">
        <f t="shared" si="12"/>
        <v>O130</v>
      </c>
      <c r="R230" t="s">
        <v>71</v>
      </c>
    </row>
    <row r="231" spans="1:18" x14ac:dyDescent="0.2">
      <c r="A231" s="33" t="s">
        <v>48</v>
      </c>
      <c r="B231" t="s">
        <v>82</v>
      </c>
      <c r="C231">
        <v>1</v>
      </c>
      <c r="D231" t="s">
        <v>80</v>
      </c>
      <c r="E231" t="s">
        <v>81</v>
      </c>
      <c r="F231" t="s">
        <v>89</v>
      </c>
      <c r="G231">
        <v>11</v>
      </c>
      <c r="I231" t="str">
        <f>A231&amp;B231&amp;C231&amp;D231&amp;E231&amp;F231&amp;G231</f>
        <v>CoStep1StepLengthSwingsideT11</v>
      </c>
      <c r="K231" t="s">
        <v>326</v>
      </c>
      <c r="M231" s="33" t="s">
        <v>90</v>
      </c>
      <c r="N231">
        <v>30</v>
      </c>
      <c r="P231" t="str">
        <f t="shared" si="12"/>
        <v>B30</v>
      </c>
      <c r="R231" t="s">
        <v>52</v>
      </c>
    </row>
    <row r="232" spans="1:18" x14ac:dyDescent="0.2">
      <c r="A232" s="33" t="s">
        <v>48</v>
      </c>
      <c r="B232" t="s">
        <v>82</v>
      </c>
      <c r="C232">
        <v>1</v>
      </c>
      <c r="D232" t="s">
        <v>80</v>
      </c>
      <c r="E232" t="s">
        <v>4</v>
      </c>
      <c r="F232" t="s">
        <v>89</v>
      </c>
      <c r="G232">
        <v>11</v>
      </c>
      <c r="I232" t="str">
        <f t="shared" ref="I232:I253" si="14">A232&amp;B232&amp;C232&amp;D232&amp;E232&amp;F232&amp;G232</f>
        <v>CoStep1StepLengthDistanceT11</v>
      </c>
      <c r="K232" t="s">
        <v>327</v>
      </c>
      <c r="M232" s="33" t="s">
        <v>91</v>
      </c>
      <c r="N232">
        <v>30</v>
      </c>
      <c r="P232" t="str">
        <f t="shared" si="12"/>
        <v>E30</v>
      </c>
      <c r="R232" t="s">
        <v>53</v>
      </c>
    </row>
    <row r="233" spans="1:18" x14ac:dyDescent="0.2">
      <c r="A233" s="33" t="s">
        <v>48</v>
      </c>
      <c r="B233" t="s">
        <v>82</v>
      </c>
      <c r="C233">
        <v>1</v>
      </c>
      <c r="D233" t="s">
        <v>82</v>
      </c>
      <c r="E233" t="s">
        <v>5</v>
      </c>
      <c r="F233" t="s">
        <v>89</v>
      </c>
      <c r="G233">
        <v>11</v>
      </c>
      <c r="I233" t="str">
        <f t="shared" si="14"/>
        <v>CoStep1StepTimeT11</v>
      </c>
      <c r="K233" t="s">
        <v>328</v>
      </c>
      <c r="M233" s="33" t="s">
        <v>92</v>
      </c>
      <c r="N233">
        <v>30</v>
      </c>
      <c r="P233" t="str">
        <f t="shared" si="12"/>
        <v>J30</v>
      </c>
      <c r="R233" t="s">
        <v>54</v>
      </c>
    </row>
    <row r="234" spans="1:18" x14ac:dyDescent="0.2">
      <c r="A234" s="33" t="s">
        <v>48</v>
      </c>
      <c r="B234" t="s">
        <v>82</v>
      </c>
      <c r="C234">
        <v>1</v>
      </c>
      <c r="D234" t="s">
        <v>83</v>
      </c>
      <c r="E234" t="s">
        <v>5</v>
      </c>
      <c r="F234" t="s">
        <v>89</v>
      </c>
      <c r="G234">
        <v>11</v>
      </c>
      <c r="I234" t="str">
        <f t="shared" si="14"/>
        <v>CoStep1DoubleSupportTimeT11</v>
      </c>
      <c r="K234" t="s">
        <v>329</v>
      </c>
      <c r="M234" s="33" t="s">
        <v>93</v>
      </c>
      <c r="N234">
        <v>30</v>
      </c>
      <c r="P234" t="str">
        <f t="shared" si="12"/>
        <v>O30</v>
      </c>
      <c r="R234" t="s">
        <v>55</v>
      </c>
    </row>
    <row r="235" spans="1:18" x14ac:dyDescent="0.2">
      <c r="A235" s="33" t="s">
        <v>48</v>
      </c>
      <c r="B235" t="s">
        <v>82</v>
      </c>
      <c r="C235">
        <v>1</v>
      </c>
      <c r="D235" t="s">
        <v>84</v>
      </c>
      <c r="E235" t="s">
        <v>5</v>
      </c>
      <c r="F235" t="s">
        <v>89</v>
      </c>
      <c r="G235">
        <v>11</v>
      </c>
      <c r="I235" t="str">
        <f t="shared" si="14"/>
        <v>CoStep1StanceTimeT11</v>
      </c>
      <c r="K235" t="s">
        <v>330</v>
      </c>
      <c r="M235" s="33" t="s">
        <v>89</v>
      </c>
      <c r="N235">
        <v>30</v>
      </c>
      <c r="P235" t="str">
        <f t="shared" si="12"/>
        <v>T30</v>
      </c>
      <c r="R235" t="s">
        <v>79</v>
      </c>
    </row>
    <row r="236" spans="1:18" x14ac:dyDescent="0.2">
      <c r="A236" s="33" t="s">
        <v>48</v>
      </c>
      <c r="B236" t="s">
        <v>82</v>
      </c>
      <c r="C236">
        <v>2</v>
      </c>
      <c r="D236" t="s">
        <v>80</v>
      </c>
      <c r="E236" t="s">
        <v>81</v>
      </c>
      <c r="F236" t="s">
        <v>89</v>
      </c>
      <c r="G236">
        <v>11</v>
      </c>
      <c r="I236" t="str">
        <f t="shared" si="14"/>
        <v>CoStep2StepLengthSwingsideT11</v>
      </c>
      <c r="K236" t="s">
        <v>331</v>
      </c>
      <c r="M236" s="33" t="s">
        <v>90</v>
      </c>
      <c r="N236">
        <v>55</v>
      </c>
      <c r="P236" t="str">
        <f t="shared" si="12"/>
        <v>B55</v>
      </c>
      <c r="R236" t="s">
        <v>56</v>
      </c>
    </row>
    <row r="237" spans="1:18" x14ac:dyDescent="0.2">
      <c r="A237" s="33" t="s">
        <v>48</v>
      </c>
      <c r="B237" t="s">
        <v>82</v>
      </c>
      <c r="C237">
        <v>2</v>
      </c>
      <c r="D237" t="s">
        <v>80</v>
      </c>
      <c r="E237" t="s">
        <v>4</v>
      </c>
      <c r="F237" t="s">
        <v>89</v>
      </c>
      <c r="G237">
        <v>11</v>
      </c>
      <c r="I237" t="str">
        <f t="shared" si="14"/>
        <v>CoStep2StepLengthDistanceT11</v>
      </c>
      <c r="K237" t="s">
        <v>332</v>
      </c>
      <c r="M237" s="33" t="s">
        <v>91</v>
      </c>
      <c r="N237">
        <v>55</v>
      </c>
      <c r="P237" t="str">
        <f t="shared" si="12"/>
        <v>E55</v>
      </c>
      <c r="R237" t="s">
        <v>57</v>
      </c>
    </row>
    <row r="238" spans="1:18" x14ac:dyDescent="0.2">
      <c r="A238" s="33" t="s">
        <v>48</v>
      </c>
      <c r="B238" t="s">
        <v>82</v>
      </c>
      <c r="C238">
        <v>2</v>
      </c>
      <c r="D238" t="s">
        <v>82</v>
      </c>
      <c r="E238" t="s">
        <v>5</v>
      </c>
      <c r="F238" t="s">
        <v>89</v>
      </c>
      <c r="G238">
        <v>11</v>
      </c>
      <c r="I238" t="str">
        <f t="shared" si="14"/>
        <v>CoStep2StepTimeT11</v>
      </c>
      <c r="K238" t="s">
        <v>333</v>
      </c>
      <c r="M238" s="33" t="s">
        <v>92</v>
      </c>
      <c r="N238">
        <v>55</v>
      </c>
      <c r="P238" t="str">
        <f t="shared" si="12"/>
        <v>J55</v>
      </c>
      <c r="R238" t="s">
        <v>58</v>
      </c>
    </row>
    <row r="239" spans="1:18" x14ac:dyDescent="0.2">
      <c r="A239" s="33" t="s">
        <v>48</v>
      </c>
      <c r="B239" t="s">
        <v>82</v>
      </c>
      <c r="C239">
        <v>2</v>
      </c>
      <c r="D239" t="s">
        <v>83</v>
      </c>
      <c r="E239" t="s">
        <v>5</v>
      </c>
      <c r="F239" t="s">
        <v>89</v>
      </c>
      <c r="G239">
        <v>11</v>
      </c>
      <c r="I239" t="str">
        <f t="shared" si="14"/>
        <v>CoStep2DoubleSupportTimeT11</v>
      </c>
      <c r="K239" t="s">
        <v>334</v>
      </c>
      <c r="M239" s="33" t="s">
        <v>93</v>
      </c>
      <c r="N239">
        <v>55</v>
      </c>
      <c r="P239" t="str">
        <f t="shared" si="12"/>
        <v>O55</v>
      </c>
      <c r="R239" t="s">
        <v>59</v>
      </c>
    </row>
    <row r="240" spans="1:18" x14ac:dyDescent="0.2">
      <c r="A240" s="33" t="s">
        <v>48</v>
      </c>
      <c r="B240" t="s">
        <v>82</v>
      </c>
      <c r="C240">
        <v>2</v>
      </c>
      <c r="D240" t="s">
        <v>84</v>
      </c>
      <c r="E240" t="s">
        <v>5</v>
      </c>
      <c r="F240" t="s">
        <v>89</v>
      </c>
      <c r="G240">
        <v>11</v>
      </c>
      <c r="I240" t="str">
        <f t="shared" si="14"/>
        <v>CoStep2StanceTimeT11</v>
      </c>
      <c r="K240" t="s">
        <v>335</v>
      </c>
      <c r="M240" s="33" t="s">
        <v>89</v>
      </c>
      <c r="N240">
        <v>55</v>
      </c>
      <c r="P240" t="str">
        <f t="shared" si="12"/>
        <v>T55</v>
      </c>
      <c r="R240" t="s">
        <v>94</v>
      </c>
    </row>
    <row r="241" spans="1:18" x14ac:dyDescent="0.2">
      <c r="A241" s="33" t="s">
        <v>48</v>
      </c>
      <c r="B241" t="s">
        <v>82</v>
      </c>
      <c r="C241">
        <v>3</v>
      </c>
      <c r="D241" t="s">
        <v>80</v>
      </c>
      <c r="E241" t="s">
        <v>81</v>
      </c>
      <c r="F241" t="s">
        <v>89</v>
      </c>
      <c r="G241">
        <v>11</v>
      </c>
      <c r="I241" t="str">
        <f t="shared" si="14"/>
        <v>CoStep3StepLengthSwingsideT11</v>
      </c>
      <c r="K241" t="s">
        <v>336</v>
      </c>
      <c r="M241" s="33" t="s">
        <v>90</v>
      </c>
      <c r="N241">
        <v>80</v>
      </c>
      <c r="P241" t="str">
        <f t="shared" si="12"/>
        <v>B80</v>
      </c>
      <c r="R241" t="s">
        <v>60</v>
      </c>
    </row>
    <row r="242" spans="1:18" x14ac:dyDescent="0.2">
      <c r="A242" s="33" t="s">
        <v>48</v>
      </c>
      <c r="B242" t="s">
        <v>82</v>
      </c>
      <c r="C242">
        <v>3</v>
      </c>
      <c r="D242" t="s">
        <v>80</v>
      </c>
      <c r="E242" t="s">
        <v>4</v>
      </c>
      <c r="F242" t="s">
        <v>89</v>
      </c>
      <c r="G242">
        <v>11</v>
      </c>
      <c r="I242" t="str">
        <f t="shared" si="14"/>
        <v>CoStep3StepLengthDistanceT11</v>
      </c>
      <c r="K242" t="s">
        <v>337</v>
      </c>
      <c r="M242" s="33" t="s">
        <v>91</v>
      </c>
      <c r="N242">
        <v>80</v>
      </c>
      <c r="P242" t="str">
        <f t="shared" si="12"/>
        <v>E80</v>
      </c>
      <c r="R242" t="s">
        <v>61</v>
      </c>
    </row>
    <row r="243" spans="1:18" x14ac:dyDescent="0.2">
      <c r="A243" s="33" t="s">
        <v>48</v>
      </c>
      <c r="B243" t="s">
        <v>82</v>
      </c>
      <c r="C243">
        <v>3</v>
      </c>
      <c r="D243" t="s">
        <v>82</v>
      </c>
      <c r="E243" t="s">
        <v>5</v>
      </c>
      <c r="F243" t="s">
        <v>89</v>
      </c>
      <c r="G243">
        <v>11</v>
      </c>
      <c r="I243" t="str">
        <f t="shared" si="14"/>
        <v>CoStep3StepTimeT11</v>
      </c>
      <c r="K243" t="s">
        <v>338</v>
      </c>
      <c r="M243" s="33" t="s">
        <v>92</v>
      </c>
      <c r="N243">
        <v>80</v>
      </c>
      <c r="P243" t="str">
        <f t="shared" si="12"/>
        <v>J80</v>
      </c>
      <c r="R243" t="s">
        <v>62</v>
      </c>
    </row>
    <row r="244" spans="1:18" x14ac:dyDescent="0.2">
      <c r="A244" s="33" t="s">
        <v>48</v>
      </c>
      <c r="B244" t="s">
        <v>82</v>
      </c>
      <c r="C244">
        <v>3</v>
      </c>
      <c r="D244" t="s">
        <v>83</v>
      </c>
      <c r="E244" t="s">
        <v>5</v>
      </c>
      <c r="F244" t="s">
        <v>89</v>
      </c>
      <c r="G244">
        <v>11</v>
      </c>
      <c r="I244" t="str">
        <f t="shared" si="14"/>
        <v>CoStep3DoubleSupportTimeT11</v>
      </c>
      <c r="K244" t="s">
        <v>339</v>
      </c>
      <c r="M244" s="33" t="s">
        <v>93</v>
      </c>
      <c r="N244">
        <v>80</v>
      </c>
      <c r="P244" t="str">
        <f t="shared" si="12"/>
        <v>O80</v>
      </c>
      <c r="R244" t="s">
        <v>63</v>
      </c>
    </row>
    <row r="245" spans="1:18" x14ac:dyDescent="0.2">
      <c r="A245" s="33" t="s">
        <v>48</v>
      </c>
      <c r="B245" t="s">
        <v>82</v>
      </c>
      <c r="C245">
        <v>3</v>
      </c>
      <c r="D245" t="s">
        <v>84</v>
      </c>
      <c r="E245" t="s">
        <v>5</v>
      </c>
      <c r="F245" t="s">
        <v>89</v>
      </c>
      <c r="G245">
        <v>11</v>
      </c>
      <c r="I245" t="str">
        <f t="shared" si="14"/>
        <v>CoStep3StanceTimeT11</v>
      </c>
      <c r="K245" t="s">
        <v>340</v>
      </c>
      <c r="M245" s="33" t="s">
        <v>89</v>
      </c>
      <c r="N245">
        <v>80</v>
      </c>
      <c r="P245" t="str">
        <f t="shared" si="12"/>
        <v>T80</v>
      </c>
      <c r="R245" t="s">
        <v>95</v>
      </c>
    </row>
    <row r="246" spans="1:18" x14ac:dyDescent="0.2">
      <c r="A246" s="33" t="s">
        <v>48</v>
      </c>
      <c r="B246" t="s">
        <v>85</v>
      </c>
      <c r="C246">
        <v>1</v>
      </c>
      <c r="D246" t="s">
        <v>86</v>
      </c>
      <c r="E246" t="s">
        <v>87</v>
      </c>
      <c r="F246" t="s">
        <v>89</v>
      </c>
      <c r="G246">
        <v>11</v>
      </c>
      <c r="I246" t="str">
        <f t="shared" si="14"/>
        <v>CoStride1StrideLengthSide0%T11</v>
      </c>
      <c r="K246" t="s">
        <v>341</v>
      </c>
      <c r="M246" s="33" t="s">
        <v>90</v>
      </c>
      <c r="N246">
        <v>105</v>
      </c>
      <c r="P246" t="str">
        <f t="shared" si="12"/>
        <v>B105</v>
      </c>
      <c r="R246" t="s">
        <v>64</v>
      </c>
    </row>
    <row r="247" spans="1:18" x14ac:dyDescent="0.2">
      <c r="A247" s="33" t="s">
        <v>48</v>
      </c>
      <c r="B247" t="s">
        <v>85</v>
      </c>
      <c r="C247">
        <v>1</v>
      </c>
      <c r="D247" t="s">
        <v>86</v>
      </c>
      <c r="E247" t="s">
        <v>4</v>
      </c>
      <c r="F247" t="s">
        <v>89</v>
      </c>
      <c r="G247">
        <v>11</v>
      </c>
      <c r="I247" t="str">
        <f t="shared" si="14"/>
        <v>CoStride1StrideLengthDistanceT11</v>
      </c>
      <c r="K247" t="s">
        <v>342</v>
      </c>
      <c r="M247" s="33" t="s">
        <v>91</v>
      </c>
      <c r="N247">
        <v>105</v>
      </c>
      <c r="P247" t="str">
        <f t="shared" si="12"/>
        <v>E105</v>
      </c>
      <c r="R247" t="s">
        <v>65</v>
      </c>
    </row>
    <row r="248" spans="1:18" x14ac:dyDescent="0.2">
      <c r="A248" s="33" t="s">
        <v>48</v>
      </c>
      <c r="B248" t="s">
        <v>85</v>
      </c>
      <c r="C248">
        <v>1</v>
      </c>
      <c r="D248" t="s">
        <v>85</v>
      </c>
      <c r="E248" t="s">
        <v>5</v>
      </c>
      <c r="F248" t="s">
        <v>89</v>
      </c>
      <c r="G248">
        <v>11</v>
      </c>
      <c r="I248" t="str">
        <f t="shared" si="14"/>
        <v>CoStride1StrideTimeT11</v>
      </c>
      <c r="K248" t="s">
        <v>343</v>
      </c>
      <c r="M248" s="33" t="s">
        <v>92</v>
      </c>
      <c r="N248">
        <v>105</v>
      </c>
      <c r="P248" t="str">
        <f t="shared" si="12"/>
        <v>J105</v>
      </c>
      <c r="R248" t="s">
        <v>66</v>
      </c>
    </row>
    <row r="249" spans="1:18" x14ac:dyDescent="0.2">
      <c r="A249" s="33" t="s">
        <v>48</v>
      </c>
      <c r="B249" t="s">
        <v>85</v>
      </c>
      <c r="C249">
        <v>1</v>
      </c>
      <c r="D249" t="s">
        <v>88</v>
      </c>
      <c r="E249" t="s">
        <v>5</v>
      </c>
      <c r="F249" t="s">
        <v>89</v>
      </c>
      <c r="G249">
        <v>11</v>
      </c>
      <c r="I249" t="str">
        <f t="shared" si="14"/>
        <v>CoStride1SwingTimeT11</v>
      </c>
      <c r="K249" t="s">
        <v>344</v>
      </c>
      <c r="M249" s="33" t="s">
        <v>93</v>
      </c>
      <c r="N249">
        <v>105</v>
      </c>
      <c r="P249" t="str">
        <f t="shared" si="12"/>
        <v>O105</v>
      </c>
      <c r="R249" t="s">
        <v>67</v>
      </c>
    </row>
    <row r="250" spans="1:18" x14ac:dyDescent="0.2">
      <c r="A250" s="33" t="s">
        <v>48</v>
      </c>
      <c r="B250" t="s">
        <v>85</v>
      </c>
      <c r="C250">
        <v>2</v>
      </c>
      <c r="D250" t="s">
        <v>86</v>
      </c>
      <c r="E250" t="s">
        <v>87</v>
      </c>
      <c r="F250" t="s">
        <v>89</v>
      </c>
      <c r="G250">
        <v>11</v>
      </c>
      <c r="I250" t="str">
        <f t="shared" si="14"/>
        <v>CoStride2StrideLengthSide0%T11</v>
      </c>
      <c r="K250" t="s">
        <v>345</v>
      </c>
      <c r="M250" s="33" t="s">
        <v>90</v>
      </c>
      <c r="N250">
        <v>130</v>
      </c>
      <c r="P250" t="str">
        <f t="shared" si="12"/>
        <v>B130</v>
      </c>
      <c r="R250" t="s">
        <v>68</v>
      </c>
    </row>
    <row r="251" spans="1:18" x14ac:dyDescent="0.2">
      <c r="A251" s="33" t="s">
        <v>48</v>
      </c>
      <c r="B251" t="s">
        <v>85</v>
      </c>
      <c r="C251">
        <v>2</v>
      </c>
      <c r="D251" t="s">
        <v>86</v>
      </c>
      <c r="E251" t="s">
        <v>4</v>
      </c>
      <c r="F251" t="s">
        <v>89</v>
      </c>
      <c r="G251">
        <v>11</v>
      </c>
      <c r="I251" t="str">
        <f t="shared" si="14"/>
        <v>CoStride2StrideLengthDistanceT11</v>
      </c>
      <c r="K251" t="s">
        <v>346</v>
      </c>
      <c r="M251" s="33" t="s">
        <v>91</v>
      </c>
      <c r="N251">
        <v>130</v>
      </c>
      <c r="P251" t="str">
        <f t="shared" si="12"/>
        <v>E130</v>
      </c>
      <c r="R251" t="s">
        <v>69</v>
      </c>
    </row>
    <row r="252" spans="1:18" x14ac:dyDescent="0.2">
      <c r="A252" s="33" t="s">
        <v>48</v>
      </c>
      <c r="B252" t="s">
        <v>85</v>
      </c>
      <c r="C252">
        <v>2</v>
      </c>
      <c r="D252" t="s">
        <v>85</v>
      </c>
      <c r="E252" t="s">
        <v>5</v>
      </c>
      <c r="F252" t="s">
        <v>89</v>
      </c>
      <c r="G252">
        <v>11</v>
      </c>
      <c r="I252" t="str">
        <f t="shared" si="14"/>
        <v>CoStride2StrideTimeT11</v>
      </c>
      <c r="K252" t="s">
        <v>347</v>
      </c>
      <c r="M252" s="33" t="s">
        <v>92</v>
      </c>
      <c r="N252">
        <v>130</v>
      </c>
      <c r="P252" t="str">
        <f t="shared" si="12"/>
        <v>J130</v>
      </c>
      <c r="R252" t="s">
        <v>70</v>
      </c>
    </row>
    <row r="253" spans="1:18" x14ac:dyDescent="0.2">
      <c r="A253" s="33" t="s">
        <v>48</v>
      </c>
      <c r="B253" t="s">
        <v>85</v>
      </c>
      <c r="C253">
        <v>2</v>
      </c>
      <c r="D253" t="s">
        <v>88</v>
      </c>
      <c r="E253" t="s">
        <v>5</v>
      </c>
      <c r="F253" t="s">
        <v>89</v>
      </c>
      <c r="G253">
        <v>11</v>
      </c>
      <c r="I253" t="str">
        <f t="shared" si="14"/>
        <v>CoStride2SwingTimeT11</v>
      </c>
      <c r="K253" t="s">
        <v>348</v>
      </c>
      <c r="M253" s="33" t="s">
        <v>93</v>
      </c>
      <c r="N253">
        <v>130</v>
      </c>
      <c r="P253" t="str">
        <f t="shared" si="12"/>
        <v>O130</v>
      </c>
      <c r="R253" t="s">
        <v>71</v>
      </c>
    </row>
    <row r="254" spans="1:18" x14ac:dyDescent="0.2">
      <c r="A254" s="33" t="s">
        <v>48</v>
      </c>
      <c r="B254" t="s">
        <v>82</v>
      </c>
      <c r="C254">
        <v>1</v>
      </c>
      <c r="D254" t="s">
        <v>80</v>
      </c>
      <c r="E254" t="s">
        <v>81</v>
      </c>
      <c r="F254" t="s">
        <v>89</v>
      </c>
      <c r="G254">
        <v>12</v>
      </c>
      <c r="I254" t="str">
        <f>A254&amp;B254&amp;C254&amp;D254&amp;E254&amp;F254&amp;G254</f>
        <v>CoStep1StepLengthSwingsideT12</v>
      </c>
      <c r="K254" t="s">
        <v>349</v>
      </c>
      <c r="M254" s="33" t="s">
        <v>90</v>
      </c>
      <c r="N254">
        <v>30</v>
      </c>
      <c r="P254" t="str">
        <f t="shared" si="12"/>
        <v>B30</v>
      </c>
      <c r="R254" t="s">
        <v>52</v>
      </c>
    </row>
    <row r="255" spans="1:18" x14ac:dyDescent="0.2">
      <c r="A255" s="33" t="s">
        <v>48</v>
      </c>
      <c r="B255" t="s">
        <v>82</v>
      </c>
      <c r="C255">
        <v>1</v>
      </c>
      <c r="D255" t="s">
        <v>80</v>
      </c>
      <c r="E255" t="s">
        <v>4</v>
      </c>
      <c r="F255" t="s">
        <v>89</v>
      </c>
      <c r="G255">
        <v>12</v>
      </c>
      <c r="I255" t="str">
        <f t="shared" ref="I255:I276" si="15">A255&amp;B255&amp;C255&amp;D255&amp;E255&amp;F255&amp;G255</f>
        <v>CoStep1StepLengthDistanceT12</v>
      </c>
      <c r="K255" t="s">
        <v>350</v>
      </c>
      <c r="M255" s="33" t="s">
        <v>91</v>
      </c>
      <c r="N255">
        <v>30</v>
      </c>
      <c r="P255" t="str">
        <f t="shared" si="12"/>
        <v>E30</v>
      </c>
      <c r="R255" t="s">
        <v>53</v>
      </c>
    </row>
    <row r="256" spans="1:18" x14ac:dyDescent="0.2">
      <c r="A256" s="33" t="s">
        <v>48</v>
      </c>
      <c r="B256" t="s">
        <v>82</v>
      </c>
      <c r="C256">
        <v>1</v>
      </c>
      <c r="D256" t="s">
        <v>82</v>
      </c>
      <c r="E256" t="s">
        <v>5</v>
      </c>
      <c r="F256" t="s">
        <v>89</v>
      </c>
      <c r="G256">
        <v>12</v>
      </c>
      <c r="I256" t="str">
        <f t="shared" si="15"/>
        <v>CoStep1StepTimeT12</v>
      </c>
      <c r="K256" t="s">
        <v>351</v>
      </c>
      <c r="M256" s="33" t="s">
        <v>92</v>
      </c>
      <c r="N256">
        <v>30</v>
      </c>
      <c r="P256" t="str">
        <f t="shared" si="12"/>
        <v>J30</v>
      </c>
      <c r="R256" t="s">
        <v>54</v>
      </c>
    </row>
    <row r="257" spans="1:18" x14ac:dyDescent="0.2">
      <c r="A257" s="33" t="s">
        <v>48</v>
      </c>
      <c r="B257" t="s">
        <v>82</v>
      </c>
      <c r="C257">
        <v>1</v>
      </c>
      <c r="D257" t="s">
        <v>83</v>
      </c>
      <c r="E257" t="s">
        <v>5</v>
      </c>
      <c r="F257" t="s">
        <v>89</v>
      </c>
      <c r="G257">
        <v>12</v>
      </c>
      <c r="I257" t="str">
        <f t="shared" si="15"/>
        <v>CoStep1DoubleSupportTimeT12</v>
      </c>
      <c r="K257" t="s">
        <v>352</v>
      </c>
      <c r="M257" s="33" t="s">
        <v>93</v>
      </c>
      <c r="N257">
        <v>30</v>
      </c>
      <c r="P257" t="str">
        <f t="shared" si="12"/>
        <v>O30</v>
      </c>
      <c r="R257" t="s">
        <v>55</v>
      </c>
    </row>
    <row r="258" spans="1:18" x14ac:dyDescent="0.2">
      <c r="A258" s="33" t="s">
        <v>48</v>
      </c>
      <c r="B258" t="s">
        <v>82</v>
      </c>
      <c r="C258">
        <v>1</v>
      </c>
      <c r="D258" t="s">
        <v>84</v>
      </c>
      <c r="E258" t="s">
        <v>5</v>
      </c>
      <c r="F258" t="s">
        <v>89</v>
      </c>
      <c r="G258">
        <v>12</v>
      </c>
      <c r="I258" t="str">
        <f t="shared" si="15"/>
        <v>CoStep1StanceTimeT12</v>
      </c>
      <c r="K258" t="s">
        <v>353</v>
      </c>
      <c r="M258" s="33" t="s">
        <v>89</v>
      </c>
      <c r="N258">
        <v>30</v>
      </c>
      <c r="P258" t="str">
        <f t="shared" ref="P258:P321" si="16">M258&amp;N258</f>
        <v>T30</v>
      </c>
      <c r="R258" t="s">
        <v>79</v>
      </c>
    </row>
    <row r="259" spans="1:18" x14ac:dyDescent="0.2">
      <c r="A259" s="33" t="s">
        <v>48</v>
      </c>
      <c r="B259" t="s">
        <v>82</v>
      </c>
      <c r="C259">
        <v>2</v>
      </c>
      <c r="D259" t="s">
        <v>80</v>
      </c>
      <c r="E259" t="s">
        <v>81</v>
      </c>
      <c r="F259" t="s">
        <v>89</v>
      </c>
      <c r="G259">
        <v>12</v>
      </c>
      <c r="I259" t="str">
        <f t="shared" si="15"/>
        <v>CoStep2StepLengthSwingsideT12</v>
      </c>
      <c r="K259" t="s">
        <v>354</v>
      </c>
      <c r="M259" s="33" t="s">
        <v>90</v>
      </c>
      <c r="N259">
        <v>55</v>
      </c>
      <c r="P259" t="str">
        <f t="shared" si="16"/>
        <v>B55</v>
      </c>
      <c r="R259" t="s">
        <v>56</v>
      </c>
    </row>
    <row r="260" spans="1:18" x14ac:dyDescent="0.2">
      <c r="A260" s="33" t="s">
        <v>48</v>
      </c>
      <c r="B260" t="s">
        <v>82</v>
      </c>
      <c r="C260">
        <v>2</v>
      </c>
      <c r="D260" t="s">
        <v>80</v>
      </c>
      <c r="E260" t="s">
        <v>4</v>
      </c>
      <c r="F260" t="s">
        <v>89</v>
      </c>
      <c r="G260">
        <v>12</v>
      </c>
      <c r="I260" t="str">
        <f t="shared" si="15"/>
        <v>CoStep2StepLengthDistanceT12</v>
      </c>
      <c r="K260" t="s">
        <v>355</v>
      </c>
      <c r="M260" s="33" t="s">
        <v>91</v>
      </c>
      <c r="N260">
        <v>55</v>
      </c>
      <c r="P260" t="str">
        <f t="shared" si="16"/>
        <v>E55</v>
      </c>
      <c r="R260" t="s">
        <v>57</v>
      </c>
    </row>
    <row r="261" spans="1:18" x14ac:dyDescent="0.2">
      <c r="A261" s="33" t="s">
        <v>48</v>
      </c>
      <c r="B261" t="s">
        <v>82</v>
      </c>
      <c r="C261">
        <v>2</v>
      </c>
      <c r="D261" t="s">
        <v>82</v>
      </c>
      <c r="E261" t="s">
        <v>5</v>
      </c>
      <c r="F261" t="s">
        <v>89</v>
      </c>
      <c r="G261">
        <v>12</v>
      </c>
      <c r="I261" t="str">
        <f t="shared" si="15"/>
        <v>CoStep2StepTimeT12</v>
      </c>
      <c r="K261" t="s">
        <v>356</v>
      </c>
      <c r="M261" s="33" t="s">
        <v>92</v>
      </c>
      <c r="N261">
        <v>55</v>
      </c>
      <c r="P261" t="str">
        <f t="shared" si="16"/>
        <v>J55</v>
      </c>
      <c r="R261" t="s">
        <v>58</v>
      </c>
    </row>
    <row r="262" spans="1:18" x14ac:dyDescent="0.2">
      <c r="A262" s="33" t="s">
        <v>48</v>
      </c>
      <c r="B262" t="s">
        <v>82</v>
      </c>
      <c r="C262">
        <v>2</v>
      </c>
      <c r="D262" t="s">
        <v>83</v>
      </c>
      <c r="E262" t="s">
        <v>5</v>
      </c>
      <c r="F262" t="s">
        <v>89</v>
      </c>
      <c r="G262">
        <v>12</v>
      </c>
      <c r="I262" t="str">
        <f t="shared" si="15"/>
        <v>CoStep2DoubleSupportTimeT12</v>
      </c>
      <c r="K262" t="s">
        <v>357</v>
      </c>
      <c r="M262" s="33" t="s">
        <v>93</v>
      </c>
      <c r="N262">
        <v>55</v>
      </c>
      <c r="P262" t="str">
        <f t="shared" si="16"/>
        <v>O55</v>
      </c>
      <c r="R262" t="s">
        <v>59</v>
      </c>
    </row>
    <row r="263" spans="1:18" x14ac:dyDescent="0.2">
      <c r="A263" s="33" t="s">
        <v>48</v>
      </c>
      <c r="B263" t="s">
        <v>82</v>
      </c>
      <c r="C263">
        <v>2</v>
      </c>
      <c r="D263" t="s">
        <v>84</v>
      </c>
      <c r="E263" t="s">
        <v>5</v>
      </c>
      <c r="F263" t="s">
        <v>89</v>
      </c>
      <c r="G263">
        <v>12</v>
      </c>
      <c r="I263" t="str">
        <f t="shared" si="15"/>
        <v>CoStep2StanceTimeT12</v>
      </c>
      <c r="K263" t="s">
        <v>358</v>
      </c>
      <c r="M263" s="33" t="s">
        <v>89</v>
      </c>
      <c r="N263">
        <v>55</v>
      </c>
      <c r="P263" t="str">
        <f t="shared" si="16"/>
        <v>T55</v>
      </c>
      <c r="R263" t="s">
        <v>94</v>
      </c>
    </row>
    <row r="264" spans="1:18" x14ac:dyDescent="0.2">
      <c r="A264" s="33" t="s">
        <v>48</v>
      </c>
      <c r="B264" t="s">
        <v>82</v>
      </c>
      <c r="C264">
        <v>3</v>
      </c>
      <c r="D264" t="s">
        <v>80</v>
      </c>
      <c r="E264" t="s">
        <v>81</v>
      </c>
      <c r="F264" t="s">
        <v>89</v>
      </c>
      <c r="G264">
        <v>12</v>
      </c>
      <c r="I264" t="str">
        <f t="shared" si="15"/>
        <v>CoStep3StepLengthSwingsideT12</v>
      </c>
      <c r="K264" t="s">
        <v>359</v>
      </c>
      <c r="M264" s="33" t="s">
        <v>90</v>
      </c>
      <c r="N264">
        <v>80</v>
      </c>
      <c r="P264" t="str">
        <f t="shared" si="16"/>
        <v>B80</v>
      </c>
      <c r="R264" t="s">
        <v>60</v>
      </c>
    </row>
    <row r="265" spans="1:18" x14ac:dyDescent="0.2">
      <c r="A265" s="33" t="s">
        <v>48</v>
      </c>
      <c r="B265" t="s">
        <v>82</v>
      </c>
      <c r="C265">
        <v>3</v>
      </c>
      <c r="D265" t="s">
        <v>80</v>
      </c>
      <c r="E265" t="s">
        <v>4</v>
      </c>
      <c r="F265" t="s">
        <v>89</v>
      </c>
      <c r="G265">
        <v>12</v>
      </c>
      <c r="I265" t="str">
        <f t="shared" si="15"/>
        <v>CoStep3StepLengthDistanceT12</v>
      </c>
      <c r="K265" t="s">
        <v>360</v>
      </c>
      <c r="M265" s="33" t="s">
        <v>91</v>
      </c>
      <c r="N265">
        <v>80</v>
      </c>
      <c r="P265" t="str">
        <f t="shared" si="16"/>
        <v>E80</v>
      </c>
      <c r="R265" t="s">
        <v>61</v>
      </c>
    </row>
    <row r="266" spans="1:18" x14ac:dyDescent="0.2">
      <c r="A266" s="33" t="s">
        <v>48</v>
      </c>
      <c r="B266" t="s">
        <v>82</v>
      </c>
      <c r="C266">
        <v>3</v>
      </c>
      <c r="D266" t="s">
        <v>82</v>
      </c>
      <c r="E266" t="s">
        <v>5</v>
      </c>
      <c r="F266" t="s">
        <v>89</v>
      </c>
      <c r="G266">
        <v>12</v>
      </c>
      <c r="I266" t="str">
        <f t="shared" si="15"/>
        <v>CoStep3StepTimeT12</v>
      </c>
      <c r="K266" t="s">
        <v>361</v>
      </c>
      <c r="M266" s="33" t="s">
        <v>92</v>
      </c>
      <c r="N266">
        <v>80</v>
      </c>
      <c r="P266" t="str">
        <f t="shared" si="16"/>
        <v>J80</v>
      </c>
      <c r="R266" t="s">
        <v>62</v>
      </c>
    </row>
    <row r="267" spans="1:18" x14ac:dyDescent="0.2">
      <c r="A267" s="33" t="s">
        <v>48</v>
      </c>
      <c r="B267" t="s">
        <v>82</v>
      </c>
      <c r="C267">
        <v>3</v>
      </c>
      <c r="D267" t="s">
        <v>83</v>
      </c>
      <c r="E267" t="s">
        <v>5</v>
      </c>
      <c r="F267" t="s">
        <v>89</v>
      </c>
      <c r="G267">
        <v>12</v>
      </c>
      <c r="I267" t="str">
        <f t="shared" si="15"/>
        <v>CoStep3DoubleSupportTimeT12</v>
      </c>
      <c r="K267" t="s">
        <v>362</v>
      </c>
      <c r="M267" s="33" t="s">
        <v>93</v>
      </c>
      <c r="N267">
        <v>80</v>
      </c>
      <c r="P267" t="str">
        <f t="shared" si="16"/>
        <v>O80</v>
      </c>
      <c r="R267" t="s">
        <v>63</v>
      </c>
    </row>
    <row r="268" spans="1:18" x14ac:dyDescent="0.2">
      <c r="A268" s="33" t="s">
        <v>48</v>
      </c>
      <c r="B268" t="s">
        <v>82</v>
      </c>
      <c r="C268">
        <v>3</v>
      </c>
      <c r="D268" t="s">
        <v>84</v>
      </c>
      <c r="E268" t="s">
        <v>5</v>
      </c>
      <c r="F268" t="s">
        <v>89</v>
      </c>
      <c r="G268">
        <v>12</v>
      </c>
      <c r="I268" t="str">
        <f t="shared" si="15"/>
        <v>CoStep3StanceTimeT12</v>
      </c>
      <c r="K268" t="s">
        <v>363</v>
      </c>
      <c r="M268" s="33" t="s">
        <v>89</v>
      </c>
      <c r="N268">
        <v>80</v>
      </c>
      <c r="P268" t="str">
        <f t="shared" si="16"/>
        <v>T80</v>
      </c>
      <c r="R268" t="s">
        <v>95</v>
      </c>
    </row>
    <row r="269" spans="1:18" x14ac:dyDescent="0.2">
      <c r="A269" s="33" t="s">
        <v>48</v>
      </c>
      <c r="B269" t="s">
        <v>85</v>
      </c>
      <c r="C269">
        <v>1</v>
      </c>
      <c r="D269" t="s">
        <v>86</v>
      </c>
      <c r="E269" t="s">
        <v>87</v>
      </c>
      <c r="F269" t="s">
        <v>89</v>
      </c>
      <c r="G269">
        <v>12</v>
      </c>
      <c r="I269" t="str">
        <f t="shared" si="15"/>
        <v>CoStride1StrideLengthSide0%T12</v>
      </c>
      <c r="K269" t="s">
        <v>364</v>
      </c>
      <c r="M269" s="33" t="s">
        <v>90</v>
      </c>
      <c r="N269">
        <v>105</v>
      </c>
      <c r="P269" t="str">
        <f t="shared" si="16"/>
        <v>B105</v>
      </c>
      <c r="R269" t="s">
        <v>64</v>
      </c>
    </row>
    <row r="270" spans="1:18" x14ac:dyDescent="0.2">
      <c r="A270" s="33" t="s">
        <v>48</v>
      </c>
      <c r="B270" t="s">
        <v>85</v>
      </c>
      <c r="C270">
        <v>1</v>
      </c>
      <c r="D270" t="s">
        <v>86</v>
      </c>
      <c r="E270" t="s">
        <v>4</v>
      </c>
      <c r="F270" t="s">
        <v>89</v>
      </c>
      <c r="G270">
        <v>12</v>
      </c>
      <c r="I270" t="str">
        <f t="shared" si="15"/>
        <v>CoStride1StrideLengthDistanceT12</v>
      </c>
      <c r="K270" t="s">
        <v>365</v>
      </c>
      <c r="M270" s="33" t="s">
        <v>91</v>
      </c>
      <c r="N270">
        <v>105</v>
      </c>
      <c r="P270" t="str">
        <f t="shared" si="16"/>
        <v>E105</v>
      </c>
      <c r="R270" t="s">
        <v>65</v>
      </c>
    </row>
    <row r="271" spans="1:18" x14ac:dyDescent="0.2">
      <c r="A271" s="33" t="s">
        <v>48</v>
      </c>
      <c r="B271" t="s">
        <v>85</v>
      </c>
      <c r="C271">
        <v>1</v>
      </c>
      <c r="D271" t="s">
        <v>85</v>
      </c>
      <c r="E271" t="s">
        <v>5</v>
      </c>
      <c r="F271" t="s">
        <v>89</v>
      </c>
      <c r="G271">
        <v>12</v>
      </c>
      <c r="I271" t="str">
        <f t="shared" si="15"/>
        <v>CoStride1StrideTimeT12</v>
      </c>
      <c r="K271" t="s">
        <v>366</v>
      </c>
      <c r="M271" s="33" t="s">
        <v>92</v>
      </c>
      <c r="N271">
        <v>105</v>
      </c>
      <c r="P271" t="str">
        <f t="shared" si="16"/>
        <v>J105</v>
      </c>
      <c r="R271" t="s">
        <v>66</v>
      </c>
    </row>
    <row r="272" spans="1:18" x14ac:dyDescent="0.2">
      <c r="A272" s="33" t="s">
        <v>48</v>
      </c>
      <c r="B272" t="s">
        <v>85</v>
      </c>
      <c r="C272">
        <v>1</v>
      </c>
      <c r="D272" t="s">
        <v>88</v>
      </c>
      <c r="E272" t="s">
        <v>5</v>
      </c>
      <c r="F272" t="s">
        <v>89</v>
      </c>
      <c r="G272">
        <v>12</v>
      </c>
      <c r="I272" t="str">
        <f t="shared" si="15"/>
        <v>CoStride1SwingTimeT12</v>
      </c>
      <c r="K272" t="s">
        <v>367</v>
      </c>
      <c r="M272" s="33" t="s">
        <v>93</v>
      </c>
      <c r="N272">
        <v>105</v>
      </c>
      <c r="P272" t="str">
        <f t="shared" si="16"/>
        <v>O105</v>
      </c>
      <c r="R272" t="s">
        <v>67</v>
      </c>
    </row>
    <row r="273" spans="1:18" x14ac:dyDescent="0.2">
      <c r="A273" s="33" t="s">
        <v>48</v>
      </c>
      <c r="B273" t="s">
        <v>85</v>
      </c>
      <c r="C273">
        <v>2</v>
      </c>
      <c r="D273" t="s">
        <v>86</v>
      </c>
      <c r="E273" t="s">
        <v>87</v>
      </c>
      <c r="F273" t="s">
        <v>89</v>
      </c>
      <c r="G273">
        <v>12</v>
      </c>
      <c r="I273" t="str">
        <f t="shared" si="15"/>
        <v>CoStride2StrideLengthSide0%T12</v>
      </c>
      <c r="K273" t="s">
        <v>368</v>
      </c>
      <c r="M273" s="33" t="s">
        <v>90</v>
      </c>
      <c r="N273">
        <v>130</v>
      </c>
      <c r="P273" t="str">
        <f t="shared" si="16"/>
        <v>B130</v>
      </c>
      <c r="R273" t="s">
        <v>68</v>
      </c>
    </row>
    <row r="274" spans="1:18" x14ac:dyDescent="0.2">
      <c r="A274" s="33" t="s">
        <v>48</v>
      </c>
      <c r="B274" t="s">
        <v>85</v>
      </c>
      <c r="C274">
        <v>2</v>
      </c>
      <c r="D274" t="s">
        <v>86</v>
      </c>
      <c r="E274" t="s">
        <v>4</v>
      </c>
      <c r="F274" t="s">
        <v>89</v>
      </c>
      <c r="G274">
        <v>12</v>
      </c>
      <c r="I274" t="str">
        <f t="shared" si="15"/>
        <v>CoStride2StrideLengthDistanceT12</v>
      </c>
      <c r="K274" t="s">
        <v>369</v>
      </c>
      <c r="M274" s="33" t="s">
        <v>91</v>
      </c>
      <c r="N274">
        <v>130</v>
      </c>
      <c r="P274" t="str">
        <f t="shared" si="16"/>
        <v>E130</v>
      </c>
      <c r="R274" t="s">
        <v>69</v>
      </c>
    </row>
    <row r="275" spans="1:18" x14ac:dyDescent="0.2">
      <c r="A275" s="33" t="s">
        <v>48</v>
      </c>
      <c r="B275" t="s">
        <v>85</v>
      </c>
      <c r="C275">
        <v>2</v>
      </c>
      <c r="D275" t="s">
        <v>85</v>
      </c>
      <c r="E275" t="s">
        <v>5</v>
      </c>
      <c r="F275" t="s">
        <v>89</v>
      </c>
      <c r="G275">
        <v>12</v>
      </c>
      <c r="I275" t="str">
        <f t="shared" si="15"/>
        <v>CoStride2StrideTimeT12</v>
      </c>
      <c r="K275" t="s">
        <v>370</v>
      </c>
      <c r="M275" s="33" t="s">
        <v>92</v>
      </c>
      <c r="N275">
        <v>130</v>
      </c>
      <c r="P275" t="str">
        <f t="shared" si="16"/>
        <v>J130</v>
      </c>
      <c r="R275" t="s">
        <v>70</v>
      </c>
    </row>
    <row r="276" spans="1:18" x14ac:dyDescent="0.2">
      <c r="A276" s="33" t="s">
        <v>48</v>
      </c>
      <c r="B276" t="s">
        <v>85</v>
      </c>
      <c r="C276">
        <v>2</v>
      </c>
      <c r="D276" t="s">
        <v>88</v>
      </c>
      <c r="E276" t="s">
        <v>5</v>
      </c>
      <c r="F276" t="s">
        <v>89</v>
      </c>
      <c r="G276">
        <v>12</v>
      </c>
      <c r="I276" t="str">
        <f t="shared" si="15"/>
        <v>CoStride2SwingTimeT12</v>
      </c>
      <c r="K276" t="s">
        <v>371</v>
      </c>
      <c r="M276" s="33" t="s">
        <v>93</v>
      </c>
      <c r="N276">
        <v>130</v>
      </c>
      <c r="P276" t="str">
        <f t="shared" si="16"/>
        <v>O130</v>
      </c>
      <c r="R276" t="s">
        <v>71</v>
      </c>
    </row>
    <row r="277" spans="1:18" x14ac:dyDescent="0.2">
      <c r="A277" s="33" t="s">
        <v>48</v>
      </c>
      <c r="B277" t="s">
        <v>82</v>
      </c>
      <c r="C277">
        <v>1</v>
      </c>
      <c r="D277" t="s">
        <v>80</v>
      </c>
      <c r="E277" t="s">
        <v>81</v>
      </c>
      <c r="F277" t="s">
        <v>89</v>
      </c>
      <c r="G277">
        <v>13</v>
      </c>
      <c r="I277" t="str">
        <f>A277&amp;B277&amp;C277&amp;D277&amp;E277&amp;F277&amp;G277</f>
        <v>CoStep1StepLengthSwingsideT13</v>
      </c>
      <c r="K277" t="s">
        <v>372</v>
      </c>
      <c r="M277" s="33" t="s">
        <v>90</v>
      </c>
      <c r="N277">
        <v>30</v>
      </c>
      <c r="P277" t="str">
        <f t="shared" si="16"/>
        <v>B30</v>
      </c>
      <c r="R277" t="s">
        <v>52</v>
      </c>
    </row>
    <row r="278" spans="1:18" x14ac:dyDescent="0.2">
      <c r="A278" s="33" t="s">
        <v>48</v>
      </c>
      <c r="B278" t="s">
        <v>82</v>
      </c>
      <c r="C278">
        <v>1</v>
      </c>
      <c r="D278" t="s">
        <v>80</v>
      </c>
      <c r="E278" t="s">
        <v>4</v>
      </c>
      <c r="F278" t="s">
        <v>89</v>
      </c>
      <c r="G278">
        <v>13</v>
      </c>
      <c r="I278" t="str">
        <f t="shared" ref="I278:I299" si="17">A278&amp;B278&amp;C278&amp;D278&amp;E278&amp;F278&amp;G278</f>
        <v>CoStep1StepLengthDistanceT13</v>
      </c>
      <c r="K278" t="s">
        <v>373</v>
      </c>
      <c r="M278" s="33" t="s">
        <v>91</v>
      </c>
      <c r="N278">
        <v>30</v>
      </c>
      <c r="P278" t="str">
        <f t="shared" si="16"/>
        <v>E30</v>
      </c>
      <c r="R278" t="s">
        <v>53</v>
      </c>
    </row>
    <row r="279" spans="1:18" x14ac:dyDescent="0.2">
      <c r="A279" s="33" t="s">
        <v>48</v>
      </c>
      <c r="B279" t="s">
        <v>82</v>
      </c>
      <c r="C279">
        <v>1</v>
      </c>
      <c r="D279" t="s">
        <v>82</v>
      </c>
      <c r="E279" t="s">
        <v>5</v>
      </c>
      <c r="F279" t="s">
        <v>89</v>
      </c>
      <c r="G279">
        <v>13</v>
      </c>
      <c r="I279" t="str">
        <f t="shared" si="17"/>
        <v>CoStep1StepTimeT13</v>
      </c>
      <c r="K279" t="s">
        <v>374</v>
      </c>
      <c r="M279" s="33" t="s">
        <v>92</v>
      </c>
      <c r="N279">
        <v>30</v>
      </c>
      <c r="P279" t="str">
        <f t="shared" si="16"/>
        <v>J30</v>
      </c>
      <c r="R279" t="s">
        <v>54</v>
      </c>
    </row>
    <row r="280" spans="1:18" x14ac:dyDescent="0.2">
      <c r="A280" s="33" t="s">
        <v>48</v>
      </c>
      <c r="B280" t="s">
        <v>82</v>
      </c>
      <c r="C280">
        <v>1</v>
      </c>
      <c r="D280" t="s">
        <v>83</v>
      </c>
      <c r="E280" t="s">
        <v>5</v>
      </c>
      <c r="F280" t="s">
        <v>89</v>
      </c>
      <c r="G280">
        <v>13</v>
      </c>
      <c r="I280" t="str">
        <f t="shared" si="17"/>
        <v>CoStep1DoubleSupportTimeT13</v>
      </c>
      <c r="K280" t="s">
        <v>375</v>
      </c>
      <c r="M280" s="33" t="s">
        <v>93</v>
      </c>
      <c r="N280">
        <v>30</v>
      </c>
      <c r="P280" t="str">
        <f t="shared" si="16"/>
        <v>O30</v>
      </c>
      <c r="R280" t="s">
        <v>55</v>
      </c>
    </row>
    <row r="281" spans="1:18" x14ac:dyDescent="0.2">
      <c r="A281" s="33" t="s">
        <v>48</v>
      </c>
      <c r="B281" t="s">
        <v>82</v>
      </c>
      <c r="C281">
        <v>1</v>
      </c>
      <c r="D281" t="s">
        <v>84</v>
      </c>
      <c r="E281" t="s">
        <v>5</v>
      </c>
      <c r="F281" t="s">
        <v>89</v>
      </c>
      <c r="G281">
        <v>13</v>
      </c>
      <c r="I281" t="str">
        <f t="shared" si="17"/>
        <v>CoStep1StanceTimeT13</v>
      </c>
      <c r="K281" t="s">
        <v>376</v>
      </c>
      <c r="M281" s="33" t="s">
        <v>89</v>
      </c>
      <c r="N281">
        <v>30</v>
      </c>
      <c r="P281" t="str">
        <f t="shared" si="16"/>
        <v>T30</v>
      </c>
      <c r="R281" t="s">
        <v>79</v>
      </c>
    </row>
    <row r="282" spans="1:18" x14ac:dyDescent="0.2">
      <c r="A282" s="33" t="s">
        <v>48</v>
      </c>
      <c r="B282" t="s">
        <v>82</v>
      </c>
      <c r="C282">
        <v>2</v>
      </c>
      <c r="D282" t="s">
        <v>80</v>
      </c>
      <c r="E282" t="s">
        <v>81</v>
      </c>
      <c r="F282" t="s">
        <v>89</v>
      </c>
      <c r="G282">
        <v>13</v>
      </c>
      <c r="I282" t="str">
        <f t="shared" si="17"/>
        <v>CoStep2StepLengthSwingsideT13</v>
      </c>
      <c r="K282" t="s">
        <v>377</v>
      </c>
      <c r="M282" s="33" t="s">
        <v>90</v>
      </c>
      <c r="N282">
        <v>55</v>
      </c>
      <c r="P282" t="str">
        <f t="shared" si="16"/>
        <v>B55</v>
      </c>
      <c r="R282" t="s">
        <v>56</v>
      </c>
    </row>
    <row r="283" spans="1:18" x14ac:dyDescent="0.2">
      <c r="A283" s="33" t="s">
        <v>48</v>
      </c>
      <c r="B283" t="s">
        <v>82</v>
      </c>
      <c r="C283">
        <v>2</v>
      </c>
      <c r="D283" t="s">
        <v>80</v>
      </c>
      <c r="E283" t="s">
        <v>4</v>
      </c>
      <c r="F283" t="s">
        <v>89</v>
      </c>
      <c r="G283">
        <v>13</v>
      </c>
      <c r="I283" t="str">
        <f t="shared" si="17"/>
        <v>CoStep2StepLengthDistanceT13</v>
      </c>
      <c r="K283" t="s">
        <v>378</v>
      </c>
      <c r="M283" s="33" t="s">
        <v>91</v>
      </c>
      <c r="N283">
        <v>55</v>
      </c>
      <c r="P283" t="str">
        <f t="shared" si="16"/>
        <v>E55</v>
      </c>
      <c r="R283" t="s">
        <v>57</v>
      </c>
    </row>
    <row r="284" spans="1:18" x14ac:dyDescent="0.2">
      <c r="A284" s="33" t="s">
        <v>48</v>
      </c>
      <c r="B284" t="s">
        <v>82</v>
      </c>
      <c r="C284">
        <v>2</v>
      </c>
      <c r="D284" t="s">
        <v>82</v>
      </c>
      <c r="E284" t="s">
        <v>5</v>
      </c>
      <c r="F284" t="s">
        <v>89</v>
      </c>
      <c r="G284">
        <v>13</v>
      </c>
      <c r="I284" t="str">
        <f t="shared" si="17"/>
        <v>CoStep2StepTimeT13</v>
      </c>
      <c r="K284" t="s">
        <v>379</v>
      </c>
      <c r="M284" s="33" t="s">
        <v>92</v>
      </c>
      <c r="N284">
        <v>55</v>
      </c>
      <c r="P284" t="str">
        <f t="shared" si="16"/>
        <v>J55</v>
      </c>
      <c r="R284" t="s">
        <v>58</v>
      </c>
    </row>
    <row r="285" spans="1:18" x14ac:dyDescent="0.2">
      <c r="A285" s="33" t="s">
        <v>48</v>
      </c>
      <c r="B285" t="s">
        <v>82</v>
      </c>
      <c r="C285">
        <v>2</v>
      </c>
      <c r="D285" t="s">
        <v>83</v>
      </c>
      <c r="E285" t="s">
        <v>5</v>
      </c>
      <c r="F285" t="s">
        <v>89</v>
      </c>
      <c r="G285">
        <v>13</v>
      </c>
      <c r="I285" t="str">
        <f t="shared" si="17"/>
        <v>CoStep2DoubleSupportTimeT13</v>
      </c>
      <c r="K285" t="s">
        <v>380</v>
      </c>
      <c r="M285" s="33" t="s">
        <v>93</v>
      </c>
      <c r="N285">
        <v>55</v>
      </c>
      <c r="P285" t="str">
        <f t="shared" si="16"/>
        <v>O55</v>
      </c>
      <c r="R285" t="s">
        <v>59</v>
      </c>
    </row>
    <row r="286" spans="1:18" x14ac:dyDescent="0.2">
      <c r="A286" s="33" t="s">
        <v>48</v>
      </c>
      <c r="B286" t="s">
        <v>82</v>
      </c>
      <c r="C286">
        <v>2</v>
      </c>
      <c r="D286" t="s">
        <v>84</v>
      </c>
      <c r="E286" t="s">
        <v>5</v>
      </c>
      <c r="F286" t="s">
        <v>89</v>
      </c>
      <c r="G286">
        <v>13</v>
      </c>
      <c r="I286" t="str">
        <f t="shared" si="17"/>
        <v>CoStep2StanceTimeT13</v>
      </c>
      <c r="K286" t="s">
        <v>381</v>
      </c>
      <c r="M286" s="33" t="s">
        <v>89</v>
      </c>
      <c r="N286">
        <v>55</v>
      </c>
      <c r="P286" t="str">
        <f t="shared" si="16"/>
        <v>T55</v>
      </c>
      <c r="R286" t="s">
        <v>94</v>
      </c>
    </row>
    <row r="287" spans="1:18" x14ac:dyDescent="0.2">
      <c r="A287" s="33" t="s">
        <v>48</v>
      </c>
      <c r="B287" t="s">
        <v>82</v>
      </c>
      <c r="C287">
        <v>3</v>
      </c>
      <c r="D287" t="s">
        <v>80</v>
      </c>
      <c r="E287" t="s">
        <v>81</v>
      </c>
      <c r="F287" t="s">
        <v>89</v>
      </c>
      <c r="G287">
        <v>13</v>
      </c>
      <c r="I287" t="str">
        <f t="shared" si="17"/>
        <v>CoStep3StepLengthSwingsideT13</v>
      </c>
      <c r="K287" t="s">
        <v>382</v>
      </c>
      <c r="M287" s="33" t="s">
        <v>90</v>
      </c>
      <c r="N287">
        <v>80</v>
      </c>
      <c r="P287" t="str">
        <f t="shared" si="16"/>
        <v>B80</v>
      </c>
      <c r="R287" t="s">
        <v>60</v>
      </c>
    </row>
    <row r="288" spans="1:18" x14ac:dyDescent="0.2">
      <c r="A288" s="33" t="s">
        <v>48</v>
      </c>
      <c r="B288" t="s">
        <v>82</v>
      </c>
      <c r="C288">
        <v>3</v>
      </c>
      <c r="D288" t="s">
        <v>80</v>
      </c>
      <c r="E288" t="s">
        <v>4</v>
      </c>
      <c r="F288" t="s">
        <v>89</v>
      </c>
      <c r="G288">
        <v>13</v>
      </c>
      <c r="I288" t="str">
        <f t="shared" si="17"/>
        <v>CoStep3StepLengthDistanceT13</v>
      </c>
      <c r="K288" t="s">
        <v>383</v>
      </c>
      <c r="M288" s="33" t="s">
        <v>91</v>
      </c>
      <c r="N288">
        <v>80</v>
      </c>
      <c r="P288" t="str">
        <f t="shared" si="16"/>
        <v>E80</v>
      </c>
      <c r="R288" t="s">
        <v>61</v>
      </c>
    </row>
    <row r="289" spans="1:18" x14ac:dyDescent="0.2">
      <c r="A289" s="33" t="s">
        <v>48</v>
      </c>
      <c r="B289" t="s">
        <v>82</v>
      </c>
      <c r="C289">
        <v>3</v>
      </c>
      <c r="D289" t="s">
        <v>82</v>
      </c>
      <c r="E289" t="s">
        <v>5</v>
      </c>
      <c r="F289" t="s">
        <v>89</v>
      </c>
      <c r="G289">
        <v>13</v>
      </c>
      <c r="I289" t="str">
        <f t="shared" si="17"/>
        <v>CoStep3StepTimeT13</v>
      </c>
      <c r="K289" t="s">
        <v>384</v>
      </c>
      <c r="M289" s="33" t="s">
        <v>92</v>
      </c>
      <c r="N289">
        <v>80</v>
      </c>
      <c r="P289" t="str">
        <f t="shared" si="16"/>
        <v>J80</v>
      </c>
      <c r="R289" t="s">
        <v>62</v>
      </c>
    </row>
    <row r="290" spans="1:18" x14ac:dyDescent="0.2">
      <c r="A290" s="33" t="s">
        <v>48</v>
      </c>
      <c r="B290" t="s">
        <v>82</v>
      </c>
      <c r="C290">
        <v>3</v>
      </c>
      <c r="D290" t="s">
        <v>83</v>
      </c>
      <c r="E290" t="s">
        <v>5</v>
      </c>
      <c r="F290" t="s">
        <v>89</v>
      </c>
      <c r="G290">
        <v>13</v>
      </c>
      <c r="I290" t="str">
        <f t="shared" si="17"/>
        <v>CoStep3DoubleSupportTimeT13</v>
      </c>
      <c r="K290" t="s">
        <v>385</v>
      </c>
      <c r="M290" s="33" t="s">
        <v>93</v>
      </c>
      <c r="N290">
        <v>80</v>
      </c>
      <c r="P290" t="str">
        <f t="shared" si="16"/>
        <v>O80</v>
      </c>
      <c r="R290" t="s">
        <v>63</v>
      </c>
    </row>
    <row r="291" spans="1:18" x14ac:dyDescent="0.2">
      <c r="A291" s="33" t="s">
        <v>48</v>
      </c>
      <c r="B291" t="s">
        <v>82</v>
      </c>
      <c r="C291">
        <v>3</v>
      </c>
      <c r="D291" t="s">
        <v>84</v>
      </c>
      <c r="E291" t="s">
        <v>5</v>
      </c>
      <c r="F291" t="s">
        <v>89</v>
      </c>
      <c r="G291">
        <v>13</v>
      </c>
      <c r="I291" t="str">
        <f t="shared" si="17"/>
        <v>CoStep3StanceTimeT13</v>
      </c>
      <c r="K291" t="s">
        <v>386</v>
      </c>
      <c r="M291" s="33" t="s">
        <v>89</v>
      </c>
      <c r="N291">
        <v>80</v>
      </c>
      <c r="P291" t="str">
        <f t="shared" si="16"/>
        <v>T80</v>
      </c>
      <c r="R291" t="s">
        <v>95</v>
      </c>
    </row>
    <row r="292" spans="1:18" x14ac:dyDescent="0.2">
      <c r="A292" s="33" t="s">
        <v>48</v>
      </c>
      <c r="B292" t="s">
        <v>85</v>
      </c>
      <c r="C292">
        <v>1</v>
      </c>
      <c r="D292" t="s">
        <v>86</v>
      </c>
      <c r="E292" t="s">
        <v>87</v>
      </c>
      <c r="F292" t="s">
        <v>89</v>
      </c>
      <c r="G292">
        <v>13</v>
      </c>
      <c r="I292" t="str">
        <f t="shared" si="17"/>
        <v>CoStride1StrideLengthSide0%T13</v>
      </c>
      <c r="K292" t="s">
        <v>387</v>
      </c>
      <c r="M292" s="33" t="s">
        <v>90</v>
      </c>
      <c r="N292">
        <v>105</v>
      </c>
      <c r="P292" t="str">
        <f t="shared" si="16"/>
        <v>B105</v>
      </c>
      <c r="R292" t="s">
        <v>64</v>
      </c>
    </row>
    <row r="293" spans="1:18" x14ac:dyDescent="0.2">
      <c r="A293" s="33" t="s">
        <v>48</v>
      </c>
      <c r="B293" t="s">
        <v>85</v>
      </c>
      <c r="C293">
        <v>1</v>
      </c>
      <c r="D293" t="s">
        <v>86</v>
      </c>
      <c r="E293" t="s">
        <v>4</v>
      </c>
      <c r="F293" t="s">
        <v>89</v>
      </c>
      <c r="G293">
        <v>13</v>
      </c>
      <c r="I293" t="str">
        <f t="shared" si="17"/>
        <v>CoStride1StrideLengthDistanceT13</v>
      </c>
      <c r="K293" t="s">
        <v>388</v>
      </c>
      <c r="M293" s="33" t="s">
        <v>91</v>
      </c>
      <c r="N293">
        <v>105</v>
      </c>
      <c r="P293" t="str">
        <f t="shared" si="16"/>
        <v>E105</v>
      </c>
      <c r="R293" t="s">
        <v>65</v>
      </c>
    </row>
    <row r="294" spans="1:18" x14ac:dyDescent="0.2">
      <c r="A294" s="33" t="s">
        <v>48</v>
      </c>
      <c r="B294" t="s">
        <v>85</v>
      </c>
      <c r="C294">
        <v>1</v>
      </c>
      <c r="D294" t="s">
        <v>85</v>
      </c>
      <c r="E294" t="s">
        <v>5</v>
      </c>
      <c r="F294" t="s">
        <v>89</v>
      </c>
      <c r="G294">
        <v>13</v>
      </c>
      <c r="I294" t="str">
        <f t="shared" si="17"/>
        <v>CoStride1StrideTimeT13</v>
      </c>
      <c r="K294" t="s">
        <v>389</v>
      </c>
      <c r="M294" s="33" t="s">
        <v>92</v>
      </c>
      <c r="N294">
        <v>105</v>
      </c>
      <c r="P294" t="str">
        <f t="shared" si="16"/>
        <v>J105</v>
      </c>
      <c r="R294" t="s">
        <v>66</v>
      </c>
    </row>
    <row r="295" spans="1:18" x14ac:dyDescent="0.2">
      <c r="A295" s="33" t="s">
        <v>48</v>
      </c>
      <c r="B295" t="s">
        <v>85</v>
      </c>
      <c r="C295">
        <v>1</v>
      </c>
      <c r="D295" t="s">
        <v>88</v>
      </c>
      <c r="E295" t="s">
        <v>5</v>
      </c>
      <c r="F295" t="s">
        <v>89</v>
      </c>
      <c r="G295">
        <v>13</v>
      </c>
      <c r="I295" t="str">
        <f t="shared" si="17"/>
        <v>CoStride1SwingTimeT13</v>
      </c>
      <c r="K295" t="s">
        <v>390</v>
      </c>
      <c r="M295" s="33" t="s">
        <v>93</v>
      </c>
      <c r="N295">
        <v>105</v>
      </c>
      <c r="P295" t="str">
        <f t="shared" si="16"/>
        <v>O105</v>
      </c>
      <c r="R295" t="s">
        <v>67</v>
      </c>
    </row>
    <row r="296" spans="1:18" x14ac:dyDescent="0.2">
      <c r="A296" s="33" t="s">
        <v>48</v>
      </c>
      <c r="B296" t="s">
        <v>85</v>
      </c>
      <c r="C296">
        <v>2</v>
      </c>
      <c r="D296" t="s">
        <v>86</v>
      </c>
      <c r="E296" t="s">
        <v>87</v>
      </c>
      <c r="F296" t="s">
        <v>89</v>
      </c>
      <c r="G296">
        <v>13</v>
      </c>
      <c r="I296" t="str">
        <f t="shared" si="17"/>
        <v>CoStride2StrideLengthSide0%T13</v>
      </c>
      <c r="K296" t="s">
        <v>391</v>
      </c>
      <c r="M296" s="33" t="s">
        <v>90</v>
      </c>
      <c r="N296">
        <v>130</v>
      </c>
      <c r="P296" t="str">
        <f t="shared" si="16"/>
        <v>B130</v>
      </c>
      <c r="R296" t="s">
        <v>68</v>
      </c>
    </row>
    <row r="297" spans="1:18" x14ac:dyDescent="0.2">
      <c r="A297" s="33" t="s">
        <v>48</v>
      </c>
      <c r="B297" t="s">
        <v>85</v>
      </c>
      <c r="C297">
        <v>2</v>
      </c>
      <c r="D297" t="s">
        <v>86</v>
      </c>
      <c r="E297" t="s">
        <v>4</v>
      </c>
      <c r="F297" t="s">
        <v>89</v>
      </c>
      <c r="G297">
        <v>13</v>
      </c>
      <c r="I297" t="str">
        <f t="shared" si="17"/>
        <v>CoStride2StrideLengthDistanceT13</v>
      </c>
      <c r="K297" t="s">
        <v>392</v>
      </c>
      <c r="M297" s="33" t="s">
        <v>91</v>
      </c>
      <c r="N297">
        <v>130</v>
      </c>
      <c r="P297" t="str">
        <f t="shared" si="16"/>
        <v>E130</v>
      </c>
      <c r="R297" t="s">
        <v>69</v>
      </c>
    </row>
    <row r="298" spans="1:18" x14ac:dyDescent="0.2">
      <c r="A298" s="33" t="s">
        <v>48</v>
      </c>
      <c r="B298" t="s">
        <v>85</v>
      </c>
      <c r="C298">
        <v>2</v>
      </c>
      <c r="D298" t="s">
        <v>85</v>
      </c>
      <c r="E298" t="s">
        <v>5</v>
      </c>
      <c r="F298" t="s">
        <v>89</v>
      </c>
      <c r="G298">
        <v>13</v>
      </c>
      <c r="I298" t="str">
        <f t="shared" si="17"/>
        <v>CoStride2StrideTimeT13</v>
      </c>
      <c r="K298" t="s">
        <v>393</v>
      </c>
      <c r="M298" s="33" t="s">
        <v>92</v>
      </c>
      <c r="N298">
        <v>130</v>
      </c>
      <c r="P298" t="str">
        <f t="shared" si="16"/>
        <v>J130</v>
      </c>
      <c r="R298" t="s">
        <v>70</v>
      </c>
    </row>
    <row r="299" spans="1:18" x14ac:dyDescent="0.2">
      <c r="A299" s="33" t="s">
        <v>48</v>
      </c>
      <c r="B299" t="s">
        <v>85</v>
      </c>
      <c r="C299">
        <v>2</v>
      </c>
      <c r="D299" t="s">
        <v>88</v>
      </c>
      <c r="E299" t="s">
        <v>5</v>
      </c>
      <c r="F299" t="s">
        <v>89</v>
      </c>
      <c r="G299">
        <v>13</v>
      </c>
      <c r="I299" t="str">
        <f t="shared" si="17"/>
        <v>CoStride2SwingTimeT13</v>
      </c>
      <c r="K299" t="s">
        <v>394</v>
      </c>
      <c r="M299" s="33" t="s">
        <v>93</v>
      </c>
      <c r="N299">
        <v>130</v>
      </c>
      <c r="P299" t="str">
        <f t="shared" si="16"/>
        <v>O130</v>
      </c>
      <c r="R299" t="s">
        <v>71</v>
      </c>
    </row>
    <row r="300" spans="1:18" x14ac:dyDescent="0.2">
      <c r="A300" s="33" t="s">
        <v>48</v>
      </c>
      <c r="B300" t="s">
        <v>82</v>
      </c>
      <c r="C300">
        <v>1</v>
      </c>
      <c r="D300" t="s">
        <v>80</v>
      </c>
      <c r="E300" t="s">
        <v>81</v>
      </c>
      <c r="F300" t="s">
        <v>89</v>
      </c>
      <c r="G300">
        <v>14</v>
      </c>
      <c r="I300" t="str">
        <f>A300&amp;B300&amp;C300&amp;D300&amp;E300&amp;F300&amp;G300</f>
        <v>CoStep1StepLengthSwingsideT14</v>
      </c>
      <c r="K300" t="s">
        <v>395</v>
      </c>
      <c r="M300" s="33" t="s">
        <v>90</v>
      </c>
      <c r="N300">
        <v>30</v>
      </c>
      <c r="P300" t="str">
        <f t="shared" si="16"/>
        <v>B30</v>
      </c>
      <c r="R300" t="s">
        <v>52</v>
      </c>
    </row>
    <row r="301" spans="1:18" x14ac:dyDescent="0.2">
      <c r="A301" s="33" t="s">
        <v>48</v>
      </c>
      <c r="B301" t="s">
        <v>82</v>
      </c>
      <c r="C301">
        <v>1</v>
      </c>
      <c r="D301" t="s">
        <v>80</v>
      </c>
      <c r="E301" t="s">
        <v>4</v>
      </c>
      <c r="F301" t="s">
        <v>89</v>
      </c>
      <c r="G301">
        <v>14</v>
      </c>
      <c r="I301" t="str">
        <f t="shared" ref="I301:I322" si="18">A301&amp;B301&amp;C301&amp;D301&amp;E301&amp;F301&amp;G301</f>
        <v>CoStep1StepLengthDistanceT14</v>
      </c>
      <c r="K301" t="s">
        <v>396</v>
      </c>
      <c r="M301" s="33" t="s">
        <v>91</v>
      </c>
      <c r="N301">
        <v>30</v>
      </c>
      <c r="P301" t="str">
        <f t="shared" si="16"/>
        <v>E30</v>
      </c>
      <c r="R301" t="s">
        <v>53</v>
      </c>
    </row>
    <row r="302" spans="1:18" x14ac:dyDescent="0.2">
      <c r="A302" s="33" t="s">
        <v>48</v>
      </c>
      <c r="B302" t="s">
        <v>82</v>
      </c>
      <c r="C302">
        <v>1</v>
      </c>
      <c r="D302" t="s">
        <v>82</v>
      </c>
      <c r="E302" t="s">
        <v>5</v>
      </c>
      <c r="F302" t="s">
        <v>89</v>
      </c>
      <c r="G302">
        <v>14</v>
      </c>
      <c r="I302" t="str">
        <f t="shared" si="18"/>
        <v>CoStep1StepTimeT14</v>
      </c>
      <c r="K302" t="s">
        <v>397</v>
      </c>
      <c r="M302" s="33" t="s">
        <v>92</v>
      </c>
      <c r="N302">
        <v>30</v>
      </c>
      <c r="P302" t="str">
        <f t="shared" si="16"/>
        <v>J30</v>
      </c>
      <c r="R302" t="s">
        <v>54</v>
      </c>
    </row>
    <row r="303" spans="1:18" x14ac:dyDescent="0.2">
      <c r="A303" s="33" t="s">
        <v>48</v>
      </c>
      <c r="B303" t="s">
        <v>82</v>
      </c>
      <c r="C303">
        <v>1</v>
      </c>
      <c r="D303" t="s">
        <v>83</v>
      </c>
      <c r="E303" t="s">
        <v>5</v>
      </c>
      <c r="F303" t="s">
        <v>89</v>
      </c>
      <c r="G303">
        <v>14</v>
      </c>
      <c r="I303" t="str">
        <f t="shared" si="18"/>
        <v>CoStep1DoubleSupportTimeT14</v>
      </c>
      <c r="K303" t="s">
        <v>398</v>
      </c>
      <c r="M303" s="33" t="s">
        <v>93</v>
      </c>
      <c r="N303">
        <v>30</v>
      </c>
      <c r="P303" t="str">
        <f t="shared" si="16"/>
        <v>O30</v>
      </c>
      <c r="R303" t="s">
        <v>55</v>
      </c>
    </row>
    <row r="304" spans="1:18" x14ac:dyDescent="0.2">
      <c r="A304" s="33" t="s">
        <v>48</v>
      </c>
      <c r="B304" t="s">
        <v>82</v>
      </c>
      <c r="C304">
        <v>1</v>
      </c>
      <c r="D304" t="s">
        <v>84</v>
      </c>
      <c r="E304" t="s">
        <v>5</v>
      </c>
      <c r="F304" t="s">
        <v>89</v>
      </c>
      <c r="G304">
        <v>14</v>
      </c>
      <c r="I304" t="str">
        <f t="shared" si="18"/>
        <v>CoStep1StanceTimeT14</v>
      </c>
      <c r="K304" t="s">
        <v>399</v>
      </c>
      <c r="M304" s="33" t="s">
        <v>89</v>
      </c>
      <c r="N304">
        <v>30</v>
      </c>
      <c r="P304" t="str">
        <f t="shared" si="16"/>
        <v>T30</v>
      </c>
      <c r="R304" t="s">
        <v>79</v>
      </c>
    </row>
    <row r="305" spans="1:18" x14ac:dyDescent="0.2">
      <c r="A305" s="33" t="s">
        <v>48</v>
      </c>
      <c r="B305" t="s">
        <v>82</v>
      </c>
      <c r="C305">
        <v>2</v>
      </c>
      <c r="D305" t="s">
        <v>80</v>
      </c>
      <c r="E305" t="s">
        <v>81</v>
      </c>
      <c r="F305" t="s">
        <v>89</v>
      </c>
      <c r="G305">
        <v>14</v>
      </c>
      <c r="I305" t="str">
        <f t="shared" si="18"/>
        <v>CoStep2StepLengthSwingsideT14</v>
      </c>
      <c r="K305" t="s">
        <v>400</v>
      </c>
      <c r="M305" s="33" t="s">
        <v>90</v>
      </c>
      <c r="N305">
        <v>55</v>
      </c>
      <c r="P305" t="str">
        <f t="shared" si="16"/>
        <v>B55</v>
      </c>
      <c r="R305" t="s">
        <v>56</v>
      </c>
    </row>
    <row r="306" spans="1:18" x14ac:dyDescent="0.2">
      <c r="A306" s="33" t="s">
        <v>48</v>
      </c>
      <c r="B306" t="s">
        <v>82</v>
      </c>
      <c r="C306">
        <v>2</v>
      </c>
      <c r="D306" t="s">
        <v>80</v>
      </c>
      <c r="E306" t="s">
        <v>4</v>
      </c>
      <c r="F306" t="s">
        <v>89</v>
      </c>
      <c r="G306">
        <v>14</v>
      </c>
      <c r="I306" t="str">
        <f t="shared" si="18"/>
        <v>CoStep2StepLengthDistanceT14</v>
      </c>
      <c r="K306" t="s">
        <v>401</v>
      </c>
      <c r="M306" s="33" t="s">
        <v>91</v>
      </c>
      <c r="N306">
        <v>55</v>
      </c>
      <c r="P306" t="str">
        <f t="shared" si="16"/>
        <v>E55</v>
      </c>
      <c r="R306" t="s">
        <v>57</v>
      </c>
    </row>
    <row r="307" spans="1:18" x14ac:dyDescent="0.2">
      <c r="A307" s="33" t="s">
        <v>48</v>
      </c>
      <c r="B307" t="s">
        <v>82</v>
      </c>
      <c r="C307">
        <v>2</v>
      </c>
      <c r="D307" t="s">
        <v>82</v>
      </c>
      <c r="E307" t="s">
        <v>5</v>
      </c>
      <c r="F307" t="s">
        <v>89</v>
      </c>
      <c r="G307">
        <v>14</v>
      </c>
      <c r="I307" t="str">
        <f t="shared" si="18"/>
        <v>CoStep2StepTimeT14</v>
      </c>
      <c r="K307" t="s">
        <v>402</v>
      </c>
      <c r="M307" s="33" t="s">
        <v>92</v>
      </c>
      <c r="N307">
        <v>55</v>
      </c>
      <c r="P307" t="str">
        <f t="shared" si="16"/>
        <v>J55</v>
      </c>
      <c r="R307" t="s">
        <v>58</v>
      </c>
    </row>
    <row r="308" spans="1:18" x14ac:dyDescent="0.2">
      <c r="A308" s="33" t="s">
        <v>48</v>
      </c>
      <c r="B308" t="s">
        <v>82</v>
      </c>
      <c r="C308">
        <v>2</v>
      </c>
      <c r="D308" t="s">
        <v>83</v>
      </c>
      <c r="E308" t="s">
        <v>5</v>
      </c>
      <c r="F308" t="s">
        <v>89</v>
      </c>
      <c r="G308">
        <v>14</v>
      </c>
      <c r="I308" t="str">
        <f t="shared" si="18"/>
        <v>CoStep2DoubleSupportTimeT14</v>
      </c>
      <c r="K308" t="s">
        <v>403</v>
      </c>
      <c r="M308" s="33" t="s">
        <v>93</v>
      </c>
      <c r="N308">
        <v>55</v>
      </c>
      <c r="P308" t="str">
        <f t="shared" si="16"/>
        <v>O55</v>
      </c>
      <c r="R308" t="s">
        <v>59</v>
      </c>
    </row>
    <row r="309" spans="1:18" x14ac:dyDescent="0.2">
      <c r="A309" s="33" t="s">
        <v>48</v>
      </c>
      <c r="B309" t="s">
        <v>82</v>
      </c>
      <c r="C309">
        <v>2</v>
      </c>
      <c r="D309" t="s">
        <v>84</v>
      </c>
      <c r="E309" t="s">
        <v>5</v>
      </c>
      <c r="F309" t="s">
        <v>89</v>
      </c>
      <c r="G309">
        <v>14</v>
      </c>
      <c r="I309" t="str">
        <f t="shared" si="18"/>
        <v>CoStep2StanceTimeT14</v>
      </c>
      <c r="K309" t="s">
        <v>404</v>
      </c>
      <c r="M309" s="33" t="s">
        <v>89</v>
      </c>
      <c r="N309">
        <v>55</v>
      </c>
      <c r="P309" t="str">
        <f t="shared" si="16"/>
        <v>T55</v>
      </c>
      <c r="R309" t="s">
        <v>94</v>
      </c>
    </row>
    <row r="310" spans="1:18" x14ac:dyDescent="0.2">
      <c r="A310" s="33" t="s">
        <v>48</v>
      </c>
      <c r="B310" t="s">
        <v>82</v>
      </c>
      <c r="C310">
        <v>3</v>
      </c>
      <c r="D310" t="s">
        <v>80</v>
      </c>
      <c r="E310" t="s">
        <v>81</v>
      </c>
      <c r="F310" t="s">
        <v>89</v>
      </c>
      <c r="G310">
        <v>14</v>
      </c>
      <c r="I310" t="str">
        <f t="shared" si="18"/>
        <v>CoStep3StepLengthSwingsideT14</v>
      </c>
      <c r="K310" t="s">
        <v>405</v>
      </c>
      <c r="M310" s="33" t="s">
        <v>90</v>
      </c>
      <c r="N310">
        <v>80</v>
      </c>
      <c r="P310" t="str">
        <f t="shared" si="16"/>
        <v>B80</v>
      </c>
      <c r="R310" t="s">
        <v>60</v>
      </c>
    </row>
    <row r="311" spans="1:18" x14ac:dyDescent="0.2">
      <c r="A311" s="33" t="s">
        <v>48</v>
      </c>
      <c r="B311" t="s">
        <v>82</v>
      </c>
      <c r="C311">
        <v>3</v>
      </c>
      <c r="D311" t="s">
        <v>80</v>
      </c>
      <c r="E311" t="s">
        <v>4</v>
      </c>
      <c r="F311" t="s">
        <v>89</v>
      </c>
      <c r="G311">
        <v>14</v>
      </c>
      <c r="I311" t="str">
        <f t="shared" si="18"/>
        <v>CoStep3StepLengthDistanceT14</v>
      </c>
      <c r="K311" t="s">
        <v>406</v>
      </c>
      <c r="M311" s="33" t="s">
        <v>91</v>
      </c>
      <c r="N311">
        <v>80</v>
      </c>
      <c r="P311" t="str">
        <f t="shared" si="16"/>
        <v>E80</v>
      </c>
      <c r="R311" t="s">
        <v>61</v>
      </c>
    </row>
    <row r="312" spans="1:18" x14ac:dyDescent="0.2">
      <c r="A312" s="33" t="s">
        <v>48</v>
      </c>
      <c r="B312" t="s">
        <v>82</v>
      </c>
      <c r="C312">
        <v>3</v>
      </c>
      <c r="D312" t="s">
        <v>82</v>
      </c>
      <c r="E312" t="s">
        <v>5</v>
      </c>
      <c r="F312" t="s">
        <v>89</v>
      </c>
      <c r="G312">
        <v>14</v>
      </c>
      <c r="I312" t="str">
        <f t="shared" si="18"/>
        <v>CoStep3StepTimeT14</v>
      </c>
      <c r="K312" t="s">
        <v>407</v>
      </c>
      <c r="M312" s="33" t="s">
        <v>92</v>
      </c>
      <c r="N312">
        <v>80</v>
      </c>
      <c r="P312" t="str">
        <f t="shared" si="16"/>
        <v>J80</v>
      </c>
      <c r="R312" t="s">
        <v>62</v>
      </c>
    </row>
    <row r="313" spans="1:18" x14ac:dyDescent="0.2">
      <c r="A313" s="33" t="s">
        <v>48</v>
      </c>
      <c r="B313" t="s">
        <v>82</v>
      </c>
      <c r="C313">
        <v>3</v>
      </c>
      <c r="D313" t="s">
        <v>83</v>
      </c>
      <c r="E313" t="s">
        <v>5</v>
      </c>
      <c r="F313" t="s">
        <v>89</v>
      </c>
      <c r="G313">
        <v>14</v>
      </c>
      <c r="I313" t="str">
        <f t="shared" si="18"/>
        <v>CoStep3DoubleSupportTimeT14</v>
      </c>
      <c r="K313" t="s">
        <v>408</v>
      </c>
      <c r="M313" s="33" t="s">
        <v>93</v>
      </c>
      <c r="N313">
        <v>80</v>
      </c>
      <c r="P313" t="str">
        <f t="shared" si="16"/>
        <v>O80</v>
      </c>
      <c r="R313" t="s">
        <v>63</v>
      </c>
    </row>
    <row r="314" spans="1:18" x14ac:dyDescent="0.2">
      <c r="A314" s="33" t="s">
        <v>48</v>
      </c>
      <c r="B314" t="s">
        <v>82</v>
      </c>
      <c r="C314">
        <v>3</v>
      </c>
      <c r="D314" t="s">
        <v>84</v>
      </c>
      <c r="E314" t="s">
        <v>5</v>
      </c>
      <c r="F314" t="s">
        <v>89</v>
      </c>
      <c r="G314">
        <v>14</v>
      </c>
      <c r="I314" t="str">
        <f t="shared" si="18"/>
        <v>CoStep3StanceTimeT14</v>
      </c>
      <c r="K314" t="s">
        <v>409</v>
      </c>
      <c r="M314" s="33" t="s">
        <v>89</v>
      </c>
      <c r="N314">
        <v>80</v>
      </c>
      <c r="P314" t="str">
        <f t="shared" si="16"/>
        <v>T80</v>
      </c>
      <c r="R314" t="s">
        <v>95</v>
      </c>
    </row>
    <row r="315" spans="1:18" x14ac:dyDescent="0.2">
      <c r="A315" s="33" t="s">
        <v>48</v>
      </c>
      <c r="B315" t="s">
        <v>85</v>
      </c>
      <c r="C315">
        <v>1</v>
      </c>
      <c r="D315" t="s">
        <v>86</v>
      </c>
      <c r="E315" t="s">
        <v>87</v>
      </c>
      <c r="F315" t="s">
        <v>89</v>
      </c>
      <c r="G315">
        <v>14</v>
      </c>
      <c r="I315" t="str">
        <f t="shared" si="18"/>
        <v>CoStride1StrideLengthSide0%T14</v>
      </c>
      <c r="K315" t="s">
        <v>410</v>
      </c>
      <c r="M315" s="33" t="s">
        <v>90</v>
      </c>
      <c r="N315">
        <v>105</v>
      </c>
      <c r="P315" t="str">
        <f t="shared" si="16"/>
        <v>B105</v>
      </c>
      <c r="R315" t="s">
        <v>64</v>
      </c>
    </row>
    <row r="316" spans="1:18" x14ac:dyDescent="0.2">
      <c r="A316" s="33" t="s">
        <v>48</v>
      </c>
      <c r="B316" t="s">
        <v>85</v>
      </c>
      <c r="C316">
        <v>1</v>
      </c>
      <c r="D316" t="s">
        <v>86</v>
      </c>
      <c r="E316" t="s">
        <v>4</v>
      </c>
      <c r="F316" t="s">
        <v>89</v>
      </c>
      <c r="G316">
        <v>14</v>
      </c>
      <c r="I316" t="str">
        <f t="shared" si="18"/>
        <v>CoStride1StrideLengthDistanceT14</v>
      </c>
      <c r="K316" t="s">
        <v>411</v>
      </c>
      <c r="M316" s="33" t="s">
        <v>91</v>
      </c>
      <c r="N316">
        <v>105</v>
      </c>
      <c r="P316" t="str">
        <f t="shared" si="16"/>
        <v>E105</v>
      </c>
      <c r="R316" t="s">
        <v>65</v>
      </c>
    </row>
    <row r="317" spans="1:18" x14ac:dyDescent="0.2">
      <c r="A317" s="33" t="s">
        <v>48</v>
      </c>
      <c r="B317" t="s">
        <v>85</v>
      </c>
      <c r="C317">
        <v>1</v>
      </c>
      <c r="D317" t="s">
        <v>85</v>
      </c>
      <c r="E317" t="s">
        <v>5</v>
      </c>
      <c r="F317" t="s">
        <v>89</v>
      </c>
      <c r="G317">
        <v>14</v>
      </c>
      <c r="I317" t="str">
        <f t="shared" si="18"/>
        <v>CoStride1StrideTimeT14</v>
      </c>
      <c r="K317" t="s">
        <v>412</v>
      </c>
      <c r="M317" s="33" t="s">
        <v>92</v>
      </c>
      <c r="N317">
        <v>105</v>
      </c>
      <c r="P317" t="str">
        <f t="shared" si="16"/>
        <v>J105</v>
      </c>
      <c r="R317" t="s">
        <v>66</v>
      </c>
    </row>
    <row r="318" spans="1:18" x14ac:dyDescent="0.2">
      <c r="A318" s="33" t="s">
        <v>48</v>
      </c>
      <c r="B318" t="s">
        <v>85</v>
      </c>
      <c r="C318">
        <v>1</v>
      </c>
      <c r="D318" t="s">
        <v>88</v>
      </c>
      <c r="E318" t="s">
        <v>5</v>
      </c>
      <c r="F318" t="s">
        <v>89</v>
      </c>
      <c r="G318">
        <v>14</v>
      </c>
      <c r="I318" t="str">
        <f t="shared" si="18"/>
        <v>CoStride1SwingTimeT14</v>
      </c>
      <c r="K318" t="s">
        <v>413</v>
      </c>
      <c r="M318" s="33" t="s">
        <v>93</v>
      </c>
      <c r="N318">
        <v>105</v>
      </c>
      <c r="P318" t="str">
        <f t="shared" si="16"/>
        <v>O105</v>
      </c>
      <c r="R318" t="s">
        <v>67</v>
      </c>
    </row>
    <row r="319" spans="1:18" x14ac:dyDescent="0.2">
      <c r="A319" s="33" t="s">
        <v>48</v>
      </c>
      <c r="B319" t="s">
        <v>85</v>
      </c>
      <c r="C319">
        <v>2</v>
      </c>
      <c r="D319" t="s">
        <v>86</v>
      </c>
      <c r="E319" t="s">
        <v>87</v>
      </c>
      <c r="F319" t="s">
        <v>89</v>
      </c>
      <c r="G319">
        <v>14</v>
      </c>
      <c r="I319" t="str">
        <f t="shared" si="18"/>
        <v>CoStride2StrideLengthSide0%T14</v>
      </c>
      <c r="K319" t="s">
        <v>414</v>
      </c>
      <c r="M319" s="33" t="s">
        <v>90</v>
      </c>
      <c r="N319">
        <v>130</v>
      </c>
      <c r="P319" t="str">
        <f t="shared" si="16"/>
        <v>B130</v>
      </c>
      <c r="R319" t="s">
        <v>68</v>
      </c>
    </row>
    <row r="320" spans="1:18" x14ac:dyDescent="0.2">
      <c r="A320" s="33" t="s">
        <v>48</v>
      </c>
      <c r="B320" t="s">
        <v>85</v>
      </c>
      <c r="C320">
        <v>2</v>
      </c>
      <c r="D320" t="s">
        <v>86</v>
      </c>
      <c r="E320" t="s">
        <v>4</v>
      </c>
      <c r="F320" t="s">
        <v>89</v>
      </c>
      <c r="G320">
        <v>14</v>
      </c>
      <c r="I320" t="str">
        <f t="shared" si="18"/>
        <v>CoStride2StrideLengthDistanceT14</v>
      </c>
      <c r="K320" t="s">
        <v>415</v>
      </c>
      <c r="M320" s="33" t="s">
        <v>91</v>
      </c>
      <c r="N320">
        <v>130</v>
      </c>
      <c r="P320" t="str">
        <f t="shared" si="16"/>
        <v>E130</v>
      </c>
      <c r="R320" t="s">
        <v>69</v>
      </c>
    </row>
    <row r="321" spans="1:18" x14ac:dyDescent="0.2">
      <c r="A321" s="33" t="s">
        <v>48</v>
      </c>
      <c r="B321" t="s">
        <v>85</v>
      </c>
      <c r="C321">
        <v>2</v>
      </c>
      <c r="D321" t="s">
        <v>85</v>
      </c>
      <c r="E321" t="s">
        <v>5</v>
      </c>
      <c r="F321" t="s">
        <v>89</v>
      </c>
      <c r="G321">
        <v>14</v>
      </c>
      <c r="I321" t="str">
        <f t="shared" si="18"/>
        <v>CoStride2StrideTimeT14</v>
      </c>
      <c r="K321" t="s">
        <v>416</v>
      </c>
      <c r="M321" s="33" t="s">
        <v>92</v>
      </c>
      <c r="N321">
        <v>130</v>
      </c>
      <c r="P321" t="str">
        <f t="shared" si="16"/>
        <v>J130</v>
      </c>
      <c r="R321" t="s">
        <v>70</v>
      </c>
    </row>
    <row r="322" spans="1:18" x14ac:dyDescent="0.2">
      <c r="A322" s="33" t="s">
        <v>48</v>
      </c>
      <c r="B322" t="s">
        <v>85</v>
      </c>
      <c r="C322">
        <v>2</v>
      </c>
      <c r="D322" t="s">
        <v>88</v>
      </c>
      <c r="E322" t="s">
        <v>5</v>
      </c>
      <c r="F322" t="s">
        <v>89</v>
      </c>
      <c r="G322">
        <v>14</v>
      </c>
      <c r="I322" t="str">
        <f t="shared" si="18"/>
        <v>CoStride2SwingTimeT14</v>
      </c>
      <c r="K322" t="s">
        <v>417</v>
      </c>
      <c r="M322" s="33" t="s">
        <v>93</v>
      </c>
      <c r="N322">
        <v>130</v>
      </c>
      <c r="P322" t="str">
        <f t="shared" ref="P322:P385" si="19">M322&amp;N322</f>
        <v>O130</v>
      </c>
      <c r="R322" t="s">
        <v>71</v>
      </c>
    </row>
    <row r="323" spans="1:18" x14ac:dyDescent="0.2">
      <c r="A323" s="33" t="s">
        <v>48</v>
      </c>
      <c r="B323" t="s">
        <v>82</v>
      </c>
      <c r="C323">
        <v>1</v>
      </c>
      <c r="D323" t="s">
        <v>80</v>
      </c>
      <c r="E323" t="s">
        <v>81</v>
      </c>
      <c r="F323" t="s">
        <v>89</v>
      </c>
      <c r="G323">
        <v>15</v>
      </c>
      <c r="I323" t="str">
        <f>A323&amp;B323&amp;C323&amp;D323&amp;E323&amp;F323&amp;G323</f>
        <v>CoStep1StepLengthSwingsideT15</v>
      </c>
      <c r="K323" t="s">
        <v>418</v>
      </c>
      <c r="M323" s="33" t="s">
        <v>90</v>
      </c>
      <c r="N323">
        <v>30</v>
      </c>
      <c r="P323" t="str">
        <f t="shared" si="19"/>
        <v>B30</v>
      </c>
      <c r="R323" t="s">
        <v>52</v>
      </c>
    </row>
    <row r="324" spans="1:18" x14ac:dyDescent="0.2">
      <c r="A324" s="33" t="s">
        <v>48</v>
      </c>
      <c r="B324" t="s">
        <v>82</v>
      </c>
      <c r="C324">
        <v>1</v>
      </c>
      <c r="D324" t="s">
        <v>80</v>
      </c>
      <c r="E324" t="s">
        <v>4</v>
      </c>
      <c r="F324" t="s">
        <v>89</v>
      </c>
      <c r="G324">
        <v>15</v>
      </c>
      <c r="I324" t="str">
        <f t="shared" ref="I324:I345" si="20">A324&amp;B324&amp;C324&amp;D324&amp;E324&amp;F324&amp;G324</f>
        <v>CoStep1StepLengthDistanceT15</v>
      </c>
      <c r="K324" t="s">
        <v>419</v>
      </c>
      <c r="M324" s="33" t="s">
        <v>91</v>
      </c>
      <c r="N324">
        <v>30</v>
      </c>
      <c r="P324" t="str">
        <f t="shared" si="19"/>
        <v>E30</v>
      </c>
      <c r="R324" t="s">
        <v>53</v>
      </c>
    </row>
    <row r="325" spans="1:18" x14ac:dyDescent="0.2">
      <c r="A325" s="33" t="s">
        <v>48</v>
      </c>
      <c r="B325" t="s">
        <v>82</v>
      </c>
      <c r="C325">
        <v>1</v>
      </c>
      <c r="D325" t="s">
        <v>82</v>
      </c>
      <c r="E325" t="s">
        <v>5</v>
      </c>
      <c r="F325" t="s">
        <v>89</v>
      </c>
      <c r="G325">
        <v>15</v>
      </c>
      <c r="I325" t="str">
        <f t="shared" si="20"/>
        <v>CoStep1StepTimeT15</v>
      </c>
      <c r="K325" t="s">
        <v>420</v>
      </c>
      <c r="M325" s="33" t="s">
        <v>92</v>
      </c>
      <c r="N325">
        <v>30</v>
      </c>
      <c r="P325" t="str">
        <f t="shared" si="19"/>
        <v>J30</v>
      </c>
      <c r="R325" t="s">
        <v>54</v>
      </c>
    </row>
    <row r="326" spans="1:18" x14ac:dyDescent="0.2">
      <c r="A326" s="33" t="s">
        <v>48</v>
      </c>
      <c r="B326" t="s">
        <v>82</v>
      </c>
      <c r="C326">
        <v>1</v>
      </c>
      <c r="D326" t="s">
        <v>83</v>
      </c>
      <c r="E326" t="s">
        <v>5</v>
      </c>
      <c r="F326" t="s">
        <v>89</v>
      </c>
      <c r="G326">
        <v>15</v>
      </c>
      <c r="I326" t="str">
        <f t="shared" si="20"/>
        <v>CoStep1DoubleSupportTimeT15</v>
      </c>
      <c r="K326" t="s">
        <v>421</v>
      </c>
      <c r="M326" s="33" t="s">
        <v>93</v>
      </c>
      <c r="N326">
        <v>30</v>
      </c>
      <c r="P326" t="str">
        <f t="shared" si="19"/>
        <v>O30</v>
      </c>
      <c r="R326" t="s">
        <v>55</v>
      </c>
    </row>
    <row r="327" spans="1:18" x14ac:dyDescent="0.2">
      <c r="A327" s="33" t="s">
        <v>48</v>
      </c>
      <c r="B327" t="s">
        <v>82</v>
      </c>
      <c r="C327">
        <v>1</v>
      </c>
      <c r="D327" t="s">
        <v>84</v>
      </c>
      <c r="E327" t="s">
        <v>5</v>
      </c>
      <c r="F327" t="s">
        <v>89</v>
      </c>
      <c r="G327">
        <v>15</v>
      </c>
      <c r="I327" t="str">
        <f t="shared" si="20"/>
        <v>CoStep1StanceTimeT15</v>
      </c>
      <c r="K327" t="s">
        <v>422</v>
      </c>
      <c r="M327" s="33" t="s">
        <v>89</v>
      </c>
      <c r="N327">
        <v>30</v>
      </c>
      <c r="P327" t="str">
        <f t="shared" si="19"/>
        <v>T30</v>
      </c>
      <c r="R327" t="s">
        <v>79</v>
      </c>
    </row>
    <row r="328" spans="1:18" x14ac:dyDescent="0.2">
      <c r="A328" s="33" t="s">
        <v>48</v>
      </c>
      <c r="B328" t="s">
        <v>82</v>
      </c>
      <c r="C328">
        <v>2</v>
      </c>
      <c r="D328" t="s">
        <v>80</v>
      </c>
      <c r="E328" t="s">
        <v>81</v>
      </c>
      <c r="F328" t="s">
        <v>89</v>
      </c>
      <c r="G328">
        <v>15</v>
      </c>
      <c r="I328" t="str">
        <f t="shared" si="20"/>
        <v>CoStep2StepLengthSwingsideT15</v>
      </c>
      <c r="K328" t="s">
        <v>423</v>
      </c>
      <c r="M328" s="33" t="s">
        <v>90</v>
      </c>
      <c r="N328">
        <v>55</v>
      </c>
      <c r="P328" t="str">
        <f t="shared" si="19"/>
        <v>B55</v>
      </c>
      <c r="R328" t="s">
        <v>56</v>
      </c>
    </row>
    <row r="329" spans="1:18" x14ac:dyDescent="0.2">
      <c r="A329" s="33" t="s">
        <v>48</v>
      </c>
      <c r="B329" t="s">
        <v>82</v>
      </c>
      <c r="C329">
        <v>2</v>
      </c>
      <c r="D329" t="s">
        <v>80</v>
      </c>
      <c r="E329" t="s">
        <v>4</v>
      </c>
      <c r="F329" t="s">
        <v>89</v>
      </c>
      <c r="G329">
        <v>15</v>
      </c>
      <c r="I329" t="str">
        <f t="shared" si="20"/>
        <v>CoStep2StepLengthDistanceT15</v>
      </c>
      <c r="K329" t="s">
        <v>424</v>
      </c>
      <c r="M329" s="33" t="s">
        <v>91</v>
      </c>
      <c r="N329">
        <v>55</v>
      </c>
      <c r="P329" t="str">
        <f t="shared" si="19"/>
        <v>E55</v>
      </c>
      <c r="R329" t="s">
        <v>57</v>
      </c>
    </row>
    <row r="330" spans="1:18" x14ac:dyDescent="0.2">
      <c r="A330" s="33" t="s">
        <v>48</v>
      </c>
      <c r="B330" t="s">
        <v>82</v>
      </c>
      <c r="C330">
        <v>2</v>
      </c>
      <c r="D330" t="s">
        <v>82</v>
      </c>
      <c r="E330" t="s">
        <v>5</v>
      </c>
      <c r="F330" t="s">
        <v>89</v>
      </c>
      <c r="G330">
        <v>15</v>
      </c>
      <c r="I330" t="str">
        <f t="shared" si="20"/>
        <v>CoStep2StepTimeT15</v>
      </c>
      <c r="K330" t="s">
        <v>425</v>
      </c>
      <c r="M330" s="33" t="s">
        <v>92</v>
      </c>
      <c r="N330">
        <v>55</v>
      </c>
      <c r="P330" t="str">
        <f t="shared" si="19"/>
        <v>J55</v>
      </c>
      <c r="R330" t="s">
        <v>58</v>
      </c>
    </row>
    <row r="331" spans="1:18" x14ac:dyDescent="0.2">
      <c r="A331" s="33" t="s">
        <v>48</v>
      </c>
      <c r="B331" t="s">
        <v>82</v>
      </c>
      <c r="C331">
        <v>2</v>
      </c>
      <c r="D331" t="s">
        <v>83</v>
      </c>
      <c r="E331" t="s">
        <v>5</v>
      </c>
      <c r="F331" t="s">
        <v>89</v>
      </c>
      <c r="G331">
        <v>15</v>
      </c>
      <c r="I331" t="str">
        <f t="shared" si="20"/>
        <v>CoStep2DoubleSupportTimeT15</v>
      </c>
      <c r="K331" t="s">
        <v>426</v>
      </c>
      <c r="M331" s="33" t="s">
        <v>93</v>
      </c>
      <c r="N331">
        <v>55</v>
      </c>
      <c r="P331" t="str">
        <f t="shared" si="19"/>
        <v>O55</v>
      </c>
      <c r="R331" t="s">
        <v>59</v>
      </c>
    </row>
    <row r="332" spans="1:18" x14ac:dyDescent="0.2">
      <c r="A332" s="33" t="s">
        <v>48</v>
      </c>
      <c r="B332" t="s">
        <v>82</v>
      </c>
      <c r="C332">
        <v>2</v>
      </c>
      <c r="D332" t="s">
        <v>84</v>
      </c>
      <c r="E332" t="s">
        <v>5</v>
      </c>
      <c r="F332" t="s">
        <v>89</v>
      </c>
      <c r="G332">
        <v>15</v>
      </c>
      <c r="I332" t="str">
        <f t="shared" si="20"/>
        <v>CoStep2StanceTimeT15</v>
      </c>
      <c r="K332" t="s">
        <v>427</v>
      </c>
      <c r="M332" s="33" t="s">
        <v>89</v>
      </c>
      <c r="N332">
        <v>55</v>
      </c>
      <c r="P332" t="str">
        <f t="shared" si="19"/>
        <v>T55</v>
      </c>
      <c r="R332" t="s">
        <v>94</v>
      </c>
    </row>
    <row r="333" spans="1:18" x14ac:dyDescent="0.2">
      <c r="A333" s="33" t="s">
        <v>48</v>
      </c>
      <c r="B333" t="s">
        <v>82</v>
      </c>
      <c r="C333">
        <v>3</v>
      </c>
      <c r="D333" t="s">
        <v>80</v>
      </c>
      <c r="E333" t="s">
        <v>81</v>
      </c>
      <c r="F333" t="s">
        <v>89</v>
      </c>
      <c r="G333">
        <v>15</v>
      </c>
      <c r="I333" t="str">
        <f t="shared" si="20"/>
        <v>CoStep3StepLengthSwingsideT15</v>
      </c>
      <c r="K333" t="s">
        <v>428</v>
      </c>
      <c r="M333" s="33" t="s">
        <v>90</v>
      </c>
      <c r="N333">
        <v>80</v>
      </c>
      <c r="P333" t="str">
        <f t="shared" si="19"/>
        <v>B80</v>
      </c>
      <c r="R333" t="s">
        <v>60</v>
      </c>
    </row>
    <row r="334" spans="1:18" x14ac:dyDescent="0.2">
      <c r="A334" s="33" t="s">
        <v>48</v>
      </c>
      <c r="B334" t="s">
        <v>82</v>
      </c>
      <c r="C334">
        <v>3</v>
      </c>
      <c r="D334" t="s">
        <v>80</v>
      </c>
      <c r="E334" t="s">
        <v>4</v>
      </c>
      <c r="F334" t="s">
        <v>89</v>
      </c>
      <c r="G334">
        <v>15</v>
      </c>
      <c r="I334" t="str">
        <f t="shared" si="20"/>
        <v>CoStep3StepLengthDistanceT15</v>
      </c>
      <c r="K334" t="s">
        <v>429</v>
      </c>
      <c r="M334" s="33" t="s">
        <v>91</v>
      </c>
      <c r="N334">
        <v>80</v>
      </c>
      <c r="P334" t="str">
        <f t="shared" si="19"/>
        <v>E80</v>
      </c>
      <c r="R334" t="s">
        <v>61</v>
      </c>
    </row>
    <row r="335" spans="1:18" x14ac:dyDescent="0.2">
      <c r="A335" s="33" t="s">
        <v>48</v>
      </c>
      <c r="B335" t="s">
        <v>82</v>
      </c>
      <c r="C335">
        <v>3</v>
      </c>
      <c r="D335" t="s">
        <v>82</v>
      </c>
      <c r="E335" t="s">
        <v>5</v>
      </c>
      <c r="F335" t="s">
        <v>89</v>
      </c>
      <c r="G335">
        <v>15</v>
      </c>
      <c r="I335" t="str">
        <f t="shared" si="20"/>
        <v>CoStep3StepTimeT15</v>
      </c>
      <c r="K335" t="s">
        <v>430</v>
      </c>
      <c r="M335" s="33" t="s">
        <v>92</v>
      </c>
      <c r="N335">
        <v>80</v>
      </c>
      <c r="P335" t="str">
        <f t="shared" si="19"/>
        <v>J80</v>
      </c>
      <c r="R335" t="s">
        <v>62</v>
      </c>
    </row>
    <row r="336" spans="1:18" x14ac:dyDescent="0.2">
      <c r="A336" s="33" t="s">
        <v>48</v>
      </c>
      <c r="B336" t="s">
        <v>82</v>
      </c>
      <c r="C336">
        <v>3</v>
      </c>
      <c r="D336" t="s">
        <v>83</v>
      </c>
      <c r="E336" t="s">
        <v>5</v>
      </c>
      <c r="F336" t="s">
        <v>89</v>
      </c>
      <c r="G336">
        <v>15</v>
      </c>
      <c r="I336" t="str">
        <f t="shared" si="20"/>
        <v>CoStep3DoubleSupportTimeT15</v>
      </c>
      <c r="K336" t="s">
        <v>431</v>
      </c>
      <c r="M336" s="33" t="s">
        <v>93</v>
      </c>
      <c r="N336">
        <v>80</v>
      </c>
      <c r="P336" t="str">
        <f t="shared" si="19"/>
        <v>O80</v>
      </c>
      <c r="R336" t="s">
        <v>63</v>
      </c>
    </row>
    <row r="337" spans="1:18" x14ac:dyDescent="0.2">
      <c r="A337" s="33" t="s">
        <v>48</v>
      </c>
      <c r="B337" t="s">
        <v>82</v>
      </c>
      <c r="C337">
        <v>3</v>
      </c>
      <c r="D337" t="s">
        <v>84</v>
      </c>
      <c r="E337" t="s">
        <v>5</v>
      </c>
      <c r="F337" t="s">
        <v>89</v>
      </c>
      <c r="G337">
        <v>15</v>
      </c>
      <c r="I337" t="str">
        <f t="shared" si="20"/>
        <v>CoStep3StanceTimeT15</v>
      </c>
      <c r="K337" t="s">
        <v>432</v>
      </c>
      <c r="M337" s="33" t="s">
        <v>89</v>
      </c>
      <c r="N337">
        <v>80</v>
      </c>
      <c r="P337" t="str">
        <f t="shared" si="19"/>
        <v>T80</v>
      </c>
      <c r="R337" t="s">
        <v>95</v>
      </c>
    </row>
    <row r="338" spans="1:18" x14ac:dyDescent="0.2">
      <c r="A338" s="33" t="s">
        <v>48</v>
      </c>
      <c r="B338" t="s">
        <v>85</v>
      </c>
      <c r="C338">
        <v>1</v>
      </c>
      <c r="D338" t="s">
        <v>86</v>
      </c>
      <c r="E338" t="s">
        <v>87</v>
      </c>
      <c r="F338" t="s">
        <v>89</v>
      </c>
      <c r="G338">
        <v>15</v>
      </c>
      <c r="I338" t="str">
        <f t="shared" si="20"/>
        <v>CoStride1StrideLengthSide0%T15</v>
      </c>
      <c r="K338" t="s">
        <v>433</v>
      </c>
      <c r="M338" s="33" t="s">
        <v>90</v>
      </c>
      <c r="N338">
        <v>105</v>
      </c>
      <c r="P338" t="str">
        <f t="shared" si="19"/>
        <v>B105</v>
      </c>
      <c r="R338" t="s">
        <v>64</v>
      </c>
    </row>
    <row r="339" spans="1:18" x14ac:dyDescent="0.2">
      <c r="A339" s="33" t="s">
        <v>48</v>
      </c>
      <c r="B339" t="s">
        <v>85</v>
      </c>
      <c r="C339">
        <v>1</v>
      </c>
      <c r="D339" t="s">
        <v>86</v>
      </c>
      <c r="E339" t="s">
        <v>4</v>
      </c>
      <c r="F339" t="s">
        <v>89</v>
      </c>
      <c r="G339">
        <v>15</v>
      </c>
      <c r="I339" t="str">
        <f t="shared" si="20"/>
        <v>CoStride1StrideLengthDistanceT15</v>
      </c>
      <c r="K339" t="s">
        <v>434</v>
      </c>
      <c r="M339" s="33" t="s">
        <v>91</v>
      </c>
      <c r="N339">
        <v>105</v>
      </c>
      <c r="P339" t="str">
        <f t="shared" si="19"/>
        <v>E105</v>
      </c>
      <c r="R339" t="s">
        <v>65</v>
      </c>
    </row>
    <row r="340" spans="1:18" x14ac:dyDescent="0.2">
      <c r="A340" s="33" t="s">
        <v>48</v>
      </c>
      <c r="B340" t="s">
        <v>85</v>
      </c>
      <c r="C340">
        <v>1</v>
      </c>
      <c r="D340" t="s">
        <v>85</v>
      </c>
      <c r="E340" t="s">
        <v>5</v>
      </c>
      <c r="F340" t="s">
        <v>89</v>
      </c>
      <c r="G340">
        <v>15</v>
      </c>
      <c r="I340" t="str">
        <f t="shared" si="20"/>
        <v>CoStride1StrideTimeT15</v>
      </c>
      <c r="K340" t="s">
        <v>435</v>
      </c>
      <c r="M340" s="33" t="s">
        <v>92</v>
      </c>
      <c r="N340">
        <v>105</v>
      </c>
      <c r="P340" t="str">
        <f t="shared" si="19"/>
        <v>J105</v>
      </c>
      <c r="R340" t="s">
        <v>66</v>
      </c>
    </row>
    <row r="341" spans="1:18" x14ac:dyDescent="0.2">
      <c r="A341" s="33" t="s">
        <v>48</v>
      </c>
      <c r="B341" t="s">
        <v>85</v>
      </c>
      <c r="C341">
        <v>1</v>
      </c>
      <c r="D341" t="s">
        <v>88</v>
      </c>
      <c r="E341" t="s">
        <v>5</v>
      </c>
      <c r="F341" t="s">
        <v>89</v>
      </c>
      <c r="G341">
        <v>15</v>
      </c>
      <c r="I341" t="str">
        <f t="shared" si="20"/>
        <v>CoStride1SwingTimeT15</v>
      </c>
      <c r="K341" t="s">
        <v>436</v>
      </c>
      <c r="M341" s="33" t="s">
        <v>93</v>
      </c>
      <c r="N341">
        <v>105</v>
      </c>
      <c r="P341" t="str">
        <f t="shared" si="19"/>
        <v>O105</v>
      </c>
      <c r="R341" t="s">
        <v>67</v>
      </c>
    </row>
    <row r="342" spans="1:18" x14ac:dyDescent="0.2">
      <c r="A342" s="33" t="s">
        <v>48</v>
      </c>
      <c r="B342" t="s">
        <v>85</v>
      </c>
      <c r="C342">
        <v>2</v>
      </c>
      <c r="D342" t="s">
        <v>86</v>
      </c>
      <c r="E342" t="s">
        <v>87</v>
      </c>
      <c r="F342" t="s">
        <v>89</v>
      </c>
      <c r="G342">
        <v>15</v>
      </c>
      <c r="I342" t="str">
        <f t="shared" si="20"/>
        <v>CoStride2StrideLengthSide0%T15</v>
      </c>
      <c r="K342" t="s">
        <v>437</v>
      </c>
      <c r="M342" s="33" t="s">
        <v>90</v>
      </c>
      <c r="N342">
        <v>130</v>
      </c>
      <c r="P342" t="str">
        <f t="shared" si="19"/>
        <v>B130</v>
      </c>
      <c r="R342" t="s">
        <v>68</v>
      </c>
    </row>
    <row r="343" spans="1:18" x14ac:dyDescent="0.2">
      <c r="A343" s="33" t="s">
        <v>48</v>
      </c>
      <c r="B343" t="s">
        <v>85</v>
      </c>
      <c r="C343">
        <v>2</v>
      </c>
      <c r="D343" t="s">
        <v>86</v>
      </c>
      <c r="E343" t="s">
        <v>4</v>
      </c>
      <c r="F343" t="s">
        <v>89</v>
      </c>
      <c r="G343">
        <v>15</v>
      </c>
      <c r="I343" t="str">
        <f t="shared" si="20"/>
        <v>CoStride2StrideLengthDistanceT15</v>
      </c>
      <c r="K343" t="s">
        <v>438</v>
      </c>
      <c r="M343" s="33" t="s">
        <v>91</v>
      </c>
      <c r="N343">
        <v>130</v>
      </c>
      <c r="P343" t="str">
        <f t="shared" si="19"/>
        <v>E130</v>
      </c>
      <c r="R343" t="s">
        <v>69</v>
      </c>
    </row>
    <row r="344" spans="1:18" x14ac:dyDescent="0.2">
      <c r="A344" s="33" t="s">
        <v>48</v>
      </c>
      <c r="B344" t="s">
        <v>85</v>
      </c>
      <c r="C344">
        <v>2</v>
      </c>
      <c r="D344" t="s">
        <v>85</v>
      </c>
      <c r="E344" t="s">
        <v>5</v>
      </c>
      <c r="F344" t="s">
        <v>89</v>
      </c>
      <c r="G344">
        <v>15</v>
      </c>
      <c r="I344" t="str">
        <f t="shared" si="20"/>
        <v>CoStride2StrideTimeT15</v>
      </c>
      <c r="K344" t="s">
        <v>439</v>
      </c>
      <c r="M344" s="33" t="s">
        <v>92</v>
      </c>
      <c r="N344">
        <v>130</v>
      </c>
      <c r="P344" t="str">
        <f t="shared" si="19"/>
        <v>J130</v>
      </c>
      <c r="R344" t="s">
        <v>70</v>
      </c>
    </row>
    <row r="345" spans="1:18" x14ac:dyDescent="0.2">
      <c r="A345" s="33" t="s">
        <v>48</v>
      </c>
      <c r="B345" t="s">
        <v>85</v>
      </c>
      <c r="C345">
        <v>2</v>
      </c>
      <c r="D345" t="s">
        <v>88</v>
      </c>
      <c r="E345" t="s">
        <v>5</v>
      </c>
      <c r="F345" t="s">
        <v>89</v>
      </c>
      <c r="G345">
        <v>15</v>
      </c>
      <c r="I345" t="str">
        <f t="shared" si="20"/>
        <v>CoStride2SwingTimeT15</v>
      </c>
      <c r="K345" t="s">
        <v>440</v>
      </c>
      <c r="M345" s="33" t="s">
        <v>93</v>
      </c>
      <c r="N345">
        <v>130</v>
      </c>
      <c r="P345" t="str">
        <f t="shared" si="19"/>
        <v>O130</v>
      </c>
      <c r="R345" t="s">
        <v>71</v>
      </c>
    </row>
    <row r="346" spans="1:18" x14ac:dyDescent="0.2">
      <c r="A346" s="33" t="s">
        <v>48</v>
      </c>
      <c r="B346" t="s">
        <v>82</v>
      </c>
      <c r="C346">
        <v>1</v>
      </c>
      <c r="D346" t="s">
        <v>80</v>
      </c>
      <c r="E346" t="s">
        <v>81</v>
      </c>
      <c r="F346" t="s">
        <v>89</v>
      </c>
      <c r="G346">
        <v>16</v>
      </c>
      <c r="I346" t="str">
        <f>A346&amp;B346&amp;C346&amp;D346&amp;E346&amp;F346&amp;G346</f>
        <v>CoStep1StepLengthSwingsideT16</v>
      </c>
      <c r="K346" t="s">
        <v>441</v>
      </c>
      <c r="M346" s="33" t="s">
        <v>90</v>
      </c>
      <c r="N346">
        <v>30</v>
      </c>
      <c r="P346" t="str">
        <f t="shared" si="19"/>
        <v>B30</v>
      </c>
      <c r="R346" t="s">
        <v>52</v>
      </c>
    </row>
    <row r="347" spans="1:18" x14ac:dyDescent="0.2">
      <c r="A347" s="33" t="s">
        <v>48</v>
      </c>
      <c r="B347" t="s">
        <v>82</v>
      </c>
      <c r="C347">
        <v>1</v>
      </c>
      <c r="D347" t="s">
        <v>80</v>
      </c>
      <c r="E347" t="s">
        <v>4</v>
      </c>
      <c r="F347" t="s">
        <v>89</v>
      </c>
      <c r="G347">
        <v>16</v>
      </c>
      <c r="I347" t="str">
        <f t="shared" ref="I347:I368" si="21">A347&amp;B347&amp;C347&amp;D347&amp;E347&amp;F347&amp;G347</f>
        <v>CoStep1StepLengthDistanceT16</v>
      </c>
      <c r="K347" t="s">
        <v>442</v>
      </c>
      <c r="M347" s="33" t="s">
        <v>91</v>
      </c>
      <c r="N347">
        <v>30</v>
      </c>
      <c r="P347" t="str">
        <f t="shared" si="19"/>
        <v>E30</v>
      </c>
      <c r="R347" t="s">
        <v>53</v>
      </c>
    </row>
    <row r="348" spans="1:18" x14ac:dyDescent="0.2">
      <c r="A348" s="33" t="s">
        <v>48</v>
      </c>
      <c r="B348" t="s">
        <v>82</v>
      </c>
      <c r="C348">
        <v>1</v>
      </c>
      <c r="D348" t="s">
        <v>82</v>
      </c>
      <c r="E348" t="s">
        <v>5</v>
      </c>
      <c r="F348" t="s">
        <v>89</v>
      </c>
      <c r="G348">
        <v>16</v>
      </c>
      <c r="I348" t="str">
        <f t="shared" si="21"/>
        <v>CoStep1StepTimeT16</v>
      </c>
      <c r="K348" t="s">
        <v>443</v>
      </c>
      <c r="M348" s="33" t="s">
        <v>92</v>
      </c>
      <c r="N348">
        <v>30</v>
      </c>
      <c r="P348" t="str">
        <f t="shared" si="19"/>
        <v>J30</v>
      </c>
      <c r="R348" t="s">
        <v>54</v>
      </c>
    </row>
    <row r="349" spans="1:18" x14ac:dyDescent="0.2">
      <c r="A349" s="33" t="s">
        <v>48</v>
      </c>
      <c r="B349" t="s">
        <v>82</v>
      </c>
      <c r="C349">
        <v>1</v>
      </c>
      <c r="D349" t="s">
        <v>83</v>
      </c>
      <c r="E349" t="s">
        <v>5</v>
      </c>
      <c r="F349" t="s">
        <v>89</v>
      </c>
      <c r="G349">
        <v>16</v>
      </c>
      <c r="I349" t="str">
        <f t="shared" si="21"/>
        <v>CoStep1DoubleSupportTimeT16</v>
      </c>
      <c r="K349" t="s">
        <v>444</v>
      </c>
      <c r="M349" s="33" t="s">
        <v>93</v>
      </c>
      <c r="N349">
        <v>30</v>
      </c>
      <c r="P349" t="str">
        <f t="shared" si="19"/>
        <v>O30</v>
      </c>
      <c r="R349" t="s">
        <v>55</v>
      </c>
    </row>
    <row r="350" spans="1:18" x14ac:dyDescent="0.2">
      <c r="A350" s="33" t="s">
        <v>48</v>
      </c>
      <c r="B350" t="s">
        <v>82</v>
      </c>
      <c r="C350">
        <v>1</v>
      </c>
      <c r="D350" t="s">
        <v>84</v>
      </c>
      <c r="E350" t="s">
        <v>5</v>
      </c>
      <c r="F350" t="s">
        <v>89</v>
      </c>
      <c r="G350">
        <v>16</v>
      </c>
      <c r="I350" t="str">
        <f t="shared" si="21"/>
        <v>CoStep1StanceTimeT16</v>
      </c>
      <c r="K350" t="s">
        <v>445</v>
      </c>
      <c r="M350" s="33" t="s">
        <v>89</v>
      </c>
      <c r="N350">
        <v>30</v>
      </c>
      <c r="P350" t="str">
        <f t="shared" si="19"/>
        <v>T30</v>
      </c>
      <c r="R350" t="s">
        <v>79</v>
      </c>
    </row>
    <row r="351" spans="1:18" x14ac:dyDescent="0.2">
      <c r="A351" s="33" t="s">
        <v>48</v>
      </c>
      <c r="B351" t="s">
        <v>82</v>
      </c>
      <c r="C351">
        <v>2</v>
      </c>
      <c r="D351" t="s">
        <v>80</v>
      </c>
      <c r="E351" t="s">
        <v>81</v>
      </c>
      <c r="F351" t="s">
        <v>89</v>
      </c>
      <c r="G351">
        <v>16</v>
      </c>
      <c r="I351" t="str">
        <f t="shared" si="21"/>
        <v>CoStep2StepLengthSwingsideT16</v>
      </c>
      <c r="K351" t="s">
        <v>446</v>
      </c>
      <c r="M351" s="33" t="s">
        <v>90</v>
      </c>
      <c r="N351">
        <v>55</v>
      </c>
      <c r="P351" t="str">
        <f t="shared" si="19"/>
        <v>B55</v>
      </c>
      <c r="R351" t="s">
        <v>56</v>
      </c>
    </row>
    <row r="352" spans="1:18" x14ac:dyDescent="0.2">
      <c r="A352" s="33" t="s">
        <v>48</v>
      </c>
      <c r="B352" t="s">
        <v>82</v>
      </c>
      <c r="C352">
        <v>2</v>
      </c>
      <c r="D352" t="s">
        <v>80</v>
      </c>
      <c r="E352" t="s">
        <v>4</v>
      </c>
      <c r="F352" t="s">
        <v>89</v>
      </c>
      <c r="G352">
        <v>16</v>
      </c>
      <c r="I352" t="str">
        <f t="shared" si="21"/>
        <v>CoStep2StepLengthDistanceT16</v>
      </c>
      <c r="K352" t="s">
        <v>447</v>
      </c>
      <c r="M352" s="33" t="s">
        <v>91</v>
      </c>
      <c r="N352">
        <v>55</v>
      </c>
      <c r="P352" t="str">
        <f t="shared" si="19"/>
        <v>E55</v>
      </c>
      <c r="R352" t="s">
        <v>57</v>
      </c>
    </row>
    <row r="353" spans="1:18" x14ac:dyDescent="0.2">
      <c r="A353" s="33" t="s">
        <v>48</v>
      </c>
      <c r="B353" t="s">
        <v>82</v>
      </c>
      <c r="C353">
        <v>2</v>
      </c>
      <c r="D353" t="s">
        <v>82</v>
      </c>
      <c r="E353" t="s">
        <v>5</v>
      </c>
      <c r="F353" t="s">
        <v>89</v>
      </c>
      <c r="G353">
        <v>16</v>
      </c>
      <c r="I353" t="str">
        <f t="shared" si="21"/>
        <v>CoStep2StepTimeT16</v>
      </c>
      <c r="K353" t="s">
        <v>448</v>
      </c>
      <c r="M353" s="33" t="s">
        <v>92</v>
      </c>
      <c r="N353">
        <v>55</v>
      </c>
      <c r="P353" t="str">
        <f t="shared" si="19"/>
        <v>J55</v>
      </c>
      <c r="R353" t="s">
        <v>58</v>
      </c>
    </row>
    <row r="354" spans="1:18" x14ac:dyDescent="0.2">
      <c r="A354" s="33" t="s">
        <v>48</v>
      </c>
      <c r="B354" t="s">
        <v>82</v>
      </c>
      <c r="C354">
        <v>2</v>
      </c>
      <c r="D354" t="s">
        <v>83</v>
      </c>
      <c r="E354" t="s">
        <v>5</v>
      </c>
      <c r="F354" t="s">
        <v>89</v>
      </c>
      <c r="G354">
        <v>16</v>
      </c>
      <c r="I354" t="str">
        <f t="shared" si="21"/>
        <v>CoStep2DoubleSupportTimeT16</v>
      </c>
      <c r="K354" t="s">
        <v>449</v>
      </c>
      <c r="M354" s="33" t="s">
        <v>93</v>
      </c>
      <c r="N354">
        <v>55</v>
      </c>
      <c r="P354" t="str">
        <f t="shared" si="19"/>
        <v>O55</v>
      </c>
      <c r="R354" t="s">
        <v>59</v>
      </c>
    </row>
    <row r="355" spans="1:18" x14ac:dyDescent="0.2">
      <c r="A355" s="33" t="s">
        <v>48</v>
      </c>
      <c r="B355" t="s">
        <v>82</v>
      </c>
      <c r="C355">
        <v>2</v>
      </c>
      <c r="D355" t="s">
        <v>84</v>
      </c>
      <c r="E355" t="s">
        <v>5</v>
      </c>
      <c r="F355" t="s">
        <v>89</v>
      </c>
      <c r="G355">
        <v>16</v>
      </c>
      <c r="I355" t="str">
        <f t="shared" si="21"/>
        <v>CoStep2StanceTimeT16</v>
      </c>
      <c r="K355" t="s">
        <v>450</v>
      </c>
      <c r="M355" s="33" t="s">
        <v>89</v>
      </c>
      <c r="N355">
        <v>55</v>
      </c>
      <c r="P355" t="str">
        <f t="shared" si="19"/>
        <v>T55</v>
      </c>
      <c r="R355" t="s">
        <v>94</v>
      </c>
    </row>
    <row r="356" spans="1:18" x14ac:dyDescent="0.2">
      <c r="A356" s="33" t="s">
        <v>48</v>
      </c>
      <c r="B356" t="s">
        <v>82</v>
      </c>
      <c r="C356">
        <v>3</v>
      </c>
      <c r="D356" t="s">
        <v>80</v>
      </c>
      <c r="E356" t="s">
        <v>81</v>
      </c>
      <c r="F356" t="s">
        <v>89</v>
      </c>
      <c r="G356">
        <v>16</v>
      </c>
      <c r="I356" t="str">
        <f t="shared" si="21"/>
        <v>CoStep3StepLengthSwingsideT16</v>
      </c>
      <c r="K356" t="s">
        <v>451</v>
      </c>
      <c r="M356" s="33" t="s">
        <v>90</v>
      </c>
      <c r="N356">
        <v>80</v>
      </c>
      <c r="P356" t="str">
        <f t="shared" si="19"/>
        <v>B80</v>
      </c>
      <c r="R356" t="s">
        <v>60</v>
      </c>
    </row>
    <row r="357" spans="1:18" x14ac:dyDescent="0.2">
      <c r="A357" s="33" t="s">
        <v>48</v>
      </c>
      <c r="B357" t="s">
        <v>82</v>
      </c>
      <c r="C357">
        <v>3</v>
      </c>
      <c r="D357" t="s">
        <v>80</v>
      </c>
      <c r="E357" t="s">
        <v>4</v>
      </c>
      <c r="F357" t="s">
        <v>89</v>
      </c>
      <c r="G357">
        <v>16</v>
      </c>
      <c r="I357" t="str">
        <f t="shared" si="21"/>
        <v>CoStep3StepLengthDistanceT16</v>
      </c>
      <c r="K357" t="s">
        <v>452</v>
      </c>
      <c r="M357" s="33" t="s">
        <v>91</v>
      </c>
      <c r="N357">
        <v>80</v>
      </c>
      <c r="P357" t="str">
        <f t="shared" si="19"/>
        <v>E80</v>
      </c>
      <c r="R357" t="s">
        <v>61</v>
      </c>
    </row>
    <row r="358" spans="1:18" x14ac:dyDescent="0.2">
      <c r="A358" s="33" t="s">
        <v>48</v>
      </c>
      <c r="B358" t="s">
        <v>82</v>
      </c>
      <c r="C358">
        <v>3</v>
      </c>
      <c r="D358" t="s">
        <v>82</v>
      </c>
      <c r="E358" t="s">
        <v>5</v>
      </c>
      <c r="F358" t="s">
        <v>89</v>
      </c>
      <c r="G358">
        <v>16</v>
      </c>
      <c r="I358" t="str">
        <f t="shared" si="21"/>
        <v>CoStep3StepTimeT16</v>
      </c>
      <c r="K358" t="s">
        <v>453</v>
      </c>
      <c r="M358" s="33" t="s">
        <v>92</v>
      </c>
      <c r="N358">
        <v>80</v>
      </c>
      <c r="P358" t="str">
        <f t="shared" si="19"/>
        <v>J80</v>
      </c>
      <c r="R358" t="s">
        <v>62</v>
      </c>
    </row>
    <row r="359" spans="1:18" x14ac:dyDescent="0.2">
      <c r="A359" s="33" t="s">
        <v>48</v>
      </c>
      <c r="B359" t="s">
        <v>82</v>
      </c>
      <c r="C359">
        <v>3</v>
      </c>
      <c r="D359" t="s">
        <v>83</v>
      </c>
      <c r="E359" t="s">
        <v>5</v>
      </c>
      <c r="F359" t="s">
        <v>89</v>
      </c>
      <c r="G359">
        <v>16</v>
      </c>
      <c r="I359" t="str">
        <f t="shared" si="21"/>
        <v>CoStep3DoubleSupportTimeT16</v>
      </c>
      <c r="K359" t="s">
        <v>454</v>
      </c>
      <c r="M359" s="33" t="s">
        <v>93</v>
      </c>
      <c r="N359">
        <v>80</v>
      </c>
      <c r="P359" t="str">
        <f t="shared" si="19"/>
        <v>O80</v>
      </c>
      <c r="R359" t="s">
        <v>63</v>
      </c>
    </row>
    <row r="360" spans="1:18" x14ac:dyDescent="0.2">
      <c r="A360" s="33" t="s">
        <v>48</v>
      </c>
      <c r="B360" t="s">
        <v>82</v>
      </c>
      <c r="C360">
        <v>3</v>
      </c>
      <c r="D360" t="s">
        <v>84</v>
      </c>
      <c r="E360" t="s">
        <v>5</v>
      </c>
      <c r="F360" t="s">
        <v>89</v>
      </c>
      <c r="G360">
        <v>16</v>
      </c>
      <c r="I360" t="str">
        <f t="shared" si="21"/>
        <v>CoStep3StanceTimeT16</v>
      </c>
      <c r="K360" t="s">
        <v>455</v>
      </c>
      <c r="M360" s="33" t="s">
        <v>89</v>
      </c>
      <c r="N360">
        <v>80</v>
      </c>
      <c r="P360" t="str">
        <f t="shared" si="19"/>
        <v>T80</v>
      </c>
      <c r="R360" t="s">
        <v>95</v>
      </c>
    </row>
    <row r="361" spans="1:18" x14ac:dyDescent="0.2">
      <c r="A361" s="33" t="s">
        <v>48</v>
      </c>
      <c r="B361" t="s">
        <v>85</v>
      </c>
      <c r="C361">
        <v>1</v>
      </c>
      <c r="D361" t="s">
        <v>86</v>
      </c>
      <c r="E361" t="s">
        <v>87</v>
      </c>
      <c r="F361" t="s">
        <v>89</v>
      </c>
      <c r="G361">
        <v>16</v>
      </c>
      <c r="I361" t="str">
        <f t="shared" si="21"/>
        <v>CoStride1StrideLengthSide0%T16</v>
      </c>
      <c r="K361" t="s">
        <v>456</v>
      </c>
      <c r="M361" s="33" t="s">
        <v>90</v>
      </c>
      <c r="N361">
        <v>105</v>
      </c>
      <c r="P361" t="str">
        <f t="shared" si="19"/>
        <v>B105</v>
      </c>
      <c r="R361" t="s">
        <v>64</v>
      </c>
    </row>
    <row r="362" spans="1:18" x14ac:dyDescent="0.2">
      <c r="A362" s="33" t="s">
        <v>48</v>
      </c>
      <c r="B362" t="s">
        <v>85</v>
      </c>
      <c r="C362">
        <v>1</v>
      </c>
      <c r="D362" t="s">
        <v>86</v>
      </c>
      <c r="E362" t="s">
        <v>4</v>
      </c>
      <c r="F362" t="s">
        <v>89</v>
      </c>
      <c r="G362">
        <v>16</v>
      </c>
      <c r="I362" t="str">
        <f t="shared" si="21"/>
        <v>CoStride1StrideLengthDistanceT16</v>
      </c>
      <c r="K362" t="s">
        <v>457</v>
      </c>
      <c r="M362" s="33" t="s">
        <v>91</v>
      </c>
      <c r="N362">
        <v>105</v>
      </c>
      <c r="P362" t="str">
        <f t="shared" si="19"/>
        <v>E105</v>
      </c>
      <c r="R362" t="s">
        <v>65</v>
      </c>
    </row>
    <row r="363" spans="1:18" x14ac:dyDescent="0.2">
      <c r="A363" s="33" t="s">
        <v>48</v>
      </c>
      <c r="B363" t="s">
        <v>85</v>
      </c>
      <c r="C363">
        <v>1</v>
      </c>
      <c r="D363" t="s">
        <v>85</v>
      </c>
      <c r="E363" t="s">
        <v>5</v>
      </c>
      <c r="F363" t="s">
        <v>89</v>
      </c>
      <c r="G363">
        <v>16</v>
      </c>
      <c r="I363" t="str">
        <f t="shared" si="21"/>
        <v>CoStride1StrideTimeT16</v>
      </c>
      <c r="K363" t="s">
        <v>458</v>
      </c>
      <c r="M363" s="33" t="s">
        <v>92</v>
      </c>
      <c r="N363">
        <v>105</v>
      </c>
      <c r="P363" t="str">
        <f t="shared" si="19"/>
        <v>J105</v>
      </c>
      <c r="R363" t="s">
        <v>66</v>
      </c>
    </row>
    <row r="364" spans="1:18" x14ac:dyDescent="0.2">
      <c r="A364" s="33" t="s">
        <v>48</v>
      </c>
      <c r="B364" t="s">
        <v>85</v>
      </c>
      <c r="C364">
        <v>1</v>
      </c>
      <c r="D364" t="s">
        <v>88</v>
      </c>
      <c r="E364" t="s">
        <v>5</v>
      </c>
      <c r="F364" t="s">
        <v>89</v>
      </c>
      <c r="G364">
        <v>16</v>
      </c>
      <c r="I364" t="str">
        <f t="shared" si="21"/>
        <v>CoStride1SwingTimeT16</v>
      </c>
      <c r="K364" t="s">
        <v>459</v>
      </c>
      <c r="M364" s="33" t="s">
        <v>93</v>
      </c>
      <c r="N364">
        <v>105</v>
      </c>
      <c r="P364" t="str">
        <f t="shared" si="19"/>
        <v>O105</v>
      </c>
      <c r="R364" t="s">
        <v>67</v>
      </c>
    </row>
    <row r="365" spans="1:18" x14ac:dyDescent="0.2">
      <c r="A365" s="33" t="s">
        <v>48</v>
      </c>
      <c r="B365" t="s">
        <v>85</v>
      </c>
      <c r="C365">
        <v>2</v>
      </c>
      <c r="D365" t="s">
        <v>86</v>
      </c>
      <c r="E365" t="s">
        <v>87</v>
      </c>
      <c r="F365" t="s">
        <v>89</v>
      </c>
      <c r="G365">
        <v>16</v>
      </c>
      <c r="I365" t="str">
        <f t="shared" si="21"/>
        <v>CoStride2StrideLengthSide0%T16</v>
      </c>
      <c r="K365" t="s">
        <v>460</v>
      </c>
      <c r="M365" s="33" t="s">
        <v>90</v>
      </c>
      <c r="N365">
        <v>130</v>
      </c>
      <c r="P365" t="str">
        <f t="shared" si="19"/>
        <v>B130</v>
      </c>
      <c r="R365" t="s">
        <v>68</v>
      </c>
    </row>
    <row r="366" spans="1:18" x14ac:dyDescent="0.2">
      <c r="A366" s="33" t="s">
        <v>48</v>
      </c>
      <c r="B366" t="s">
        <v>85</v>
      </c>
      <c r="C366">
        <v>2</v>
      </c>
      <c r="D366" t="s">
        <v>86</v>
      </c>
      <c r="E366" t="s">
        <v>4</v>
      </c>
      <c r="F366" t="s">
        <v>89</v>
      </c>
      <c r="G366">
        <v>16</v>
      </c>
      <c r="I366" t="str">
        <f t="shared" si="21"/>
        <v>CoStride2StrideLengthDistanceT16</v>
      </c>
      <c r="K366" t="s">
        <v>461</v>
      </c>
      <c r="M366" s="33" t="s">
        <v>91</v>
      </c>
      <c r="N366">
        <v>130</v>
      </c>
      <c r="P366" t="str">
        <f t="shared" si="19"/>
        <v>E130</v>
      </c>
      <c r="R366" t="s">
        <v>69</v>
      </c>
    </row>
    <row r="367" spans="1:18" x14ac:dyDescent="0.2">
      <c r="A367" s="33" t="s">
        <v>48</v>
      </c>
      <c r="B367" t="s">
        <v>85</v>
      </c>
      <c r="C367">
        <v>2</v>
      </c>
      <c r="D367" t="s">
        <v>85</v>
      </c>
      <c r="E367" t="s">
        <v>5</v>
      </c>
      <c r="F367" t="s">
        <v>89</v>
      </c>
      <c r="G367">
        <v>16</v>
      </c>
      <c r="I367" t="str">
        <f t="shared" si="21"/>
        <v>CoStride2StrideTimeT16</v>
      </c>
      <c r="K367" t="s">
        <v>462</v>
      </c>
      <c r="M367" s="33" t="s">
        <v>92</v>
      </c>
      <c r="N367">
        <v>130</v>
      </c>
      <c r="P367" t="str">
        <f t="shared" si="19"/>
        <v>J130</v>
      </c>
      <c r="R367" t="s">
        <v>70</v>
      </c>
    </row>
    <row r="368" spans="1:18" x14ac:dyDescent="0.2">
      <c r="A368" s="33" t="s">
        <v>48</v>
      </c>
      <c r="B368" t="s">
        <v>85</v>
      </c>
      <c r="C368">
        <v>2</v>
      </c>
      <c r="D368" t="s">
        <v>88</v>
      </c>
      <c r="E368" t="s">
        <v>5</v>
      </c>
      <c r="F368" t="s">
        <v>89</v>
      </c>
      <c r="G368">
        <v>16</v>
      </c>
      <c r="I368" t="str">
        <f t="shared" si="21"/>
        <v>CoStride2SwingTimeT16</v>
      </c>
      <c r="K368" t="s">
        <v>463</v>
      </c>
      <c r="M368" s="33" t="s">
        <v>93</v>
      </c>
      <c r="N368">
        <v>130</v>
      </c>
      <c r="P368" t="str">
        <f t="shared" si="19"/>
        <v>O130</v>
      </c>
      <c r="R368" t="s">
        <v>71</v>
      </c>
    </row>
    <row r="369" spans="1:18" x14ac:dyDescent="0.2">
      <c r="A369" s="33" t="s">
        <v>48</v>
      </c>
      <c r="B369" t="s">
        <v>82</v>
      </c>
      <c r="C369">
        <v>1</v>
      </c>
      <c r="D369" t="s">
        <v>80</v>
      </c>
      <c r="E369" t="s">
        <v>81</v>
      </c>
      <c r="F369" t="s">
        <v>89</v>
      </c>
      <c r="G369">
        <v>17</v>
      </c>
      <c r="I369" t="str">
        <f>A369&amp;B369&amp;C369&amp;D369&amp;E369&amp;F369&amp;G369</f>
        <v>CoStep1StepLengthSwingsideT17</v>
      </c>
      <c r="K369" t="s">
        <v>464</v>
      </c>
      <c r="M369" s="33" t="s">
        <v>90</v>
      </c>
      <c r="N369">
        <v>30</v>
      </c>
      <c r="P369" t="str">
        <f t="shared" si="19"/>
        <v>B30</v>
      </c>
      <c r="R369" t="s">
        <v>52</v>
      </c>
    </row>
    <row r="370" spans="1:18" x14ac:dyDescent="0.2">
      <c r="A370" s="33" t="s">
        <v>48</v>
      </c>
      <c r="B370" t="s">
        <v>82</v>
      </c>
      <c r="C370">
        <v>1</v>
      </c>
      <c r="D370" t="s">
        <v>80</v>
      </c>
      <c r="E370" t="s">
        <v>4</v>
      </c>
      <c r="F370" t="s">
        <v>89</v>
      </c>
      <c r="G370">
        <v>17</v>
      </c>
      <c r="I370" t="str">
        <f t="shared" ref="I370:I391" si="22">A370&amp;B370&amp;C370&amp;D370&amp;E370&amp;F370&amp;G370</f>
        <v>CoStep1StepLengthDistanceT17</v>
      </c>
      <c r="K370" t="s">
        <v>465</v>
      </c>
      <c r="M370" s="33" t="s">
        <v>91</v>
      </c>
      <c r="N370">
        <v>30</v>
      </c>
      <c r="P370" t="str">
        <f t="shared" si="19"/>
        <v>E30</v>
      </c>
      <c r="R370" t="s">
        <v>53</v>
      </c>
    </row>
    <row r="371" spans="1:18" x14ac:dyDescent="0.2">
      <c r="A371" s="33" t="s">
        <v>48</v>
      </c>
      <c r="B371" t="s">
        <v>82</v>
      </c>
      <c r="C371">
        <v>1</v>
      </c>
      <c r="D371" t="s">
        <v>82</v>
      </c>
      <c r="E371" t="s">
        <v>5</v>
      </c>
      <c r="F371" t="s">
        <v>89</v>
      </c>
      <c r="G371">
        <v>17</v>
      </c>
      <c r="I371" t="str">
        <f t="shared" si="22"/>
        <v>CoStep1StepTimeT17</v>
      </c>
      <c r="K371" t="s">
        <v>466</v>
      </c>
      <c r="M371" s="33" t="s">
        <v>92</v>
      </c>
      <c r="N371">
        <v>30</v>
      </c>
      <c r="P371" t="str">
        <f t="shared" si="19"/>
        <v>J30</v>
      </c>
      <c r="R371" t="s">
        <v>54</v>
      </c>
    </row>
    <row r="372" spans="1:18" x14ac:dyDescent="0.2">
      <c r="A372" s="33" t="s">
        <v>48</v>
      </c>
      <c r="B372" t="s">
        <v>82</v>
      </c>
      <c r="C372">
        <v>1</v>
      </c>
      <c r="D372" t="s">
        <v>83</v>
      </c>
      <c r="E372" t="s">
        <v>5</v>
      </c>
      <c r="F372" t="s">
        <v>89</v>
      </c>
      <c r="G372">
        <v>17</v>
      </c>
      <c r="I372" t="str">
        <f t="shared" si="22"/>
        <v>CoStep1DoubleSupportTimeT17</v>
      </c>
      <c r="K372" t="s">
        <v>467</v>
      </c>
      <c r="M372" s="33" t="s">
        <v>93</v>
      </c>
      <c r="N372">
        <v>30</v>
      </c>
      <c r="P372" t="str">
        <f t="shared" si="19"/>
        <v>O30</v>
      </c>
      <c r="R372" t="s">
        <v>55</v>
      </c>
    </row>
    <row r="373" spans="1:18" x14ac:dyDescent="0.2">
      <c r="A373" s="33" t="s">
        <v>48</v>
      </c>
      <c r="B373" t="s">
        <v>82</v>
      </c>
      <c r="C373">
        <v>1</v>
      </c>
      <c r="D373" t="s">
        <v>84</v>
      </c>
      <c r="E373" t="s">
        <v>5</v>
      </c>
      <c r="F373" t="s">
        <v>89</v>
      </c>
      <c r="G373">
        <v>17</v>
      </c>
      <c r="I373" t="str">
        <f t="shared" si="22"/>
        <v>CoStep1StanceTimeT17</v>
      </c>
      <c r="K373" t="s">
        <v>468</v>
      </c>
      <c r="M373" s="33" t="s">
        <v>89</v>
      </c>
      <c r="N373">
        <v>30</v>
      </c>
      <c r="P373" t="str">
        <f t="shared" si="19"/>
        <v>T30</v>
      </c>
      <c r="R373" t="s">
        <v>79</v>
      </c>
    </row>
    <row r="374" spans="1:18" x14ac:dyDescent="0.2">
      <c r="A374" s="33" t="s">
        <v>48</v>
      </c>
      <c r="B374" t="s">
        <v>82</v>
      </c>
      <c r="C374">
        <v>2</v>
      </c>
      <c r="D374" t="s">
        <v>80</v>
      </c>
      <c r="E374" t="s">
        <v>81</v>
      </c>
      <c r="F374" t="s">
        <v>89</v>
      </c>
      <c r="G374">
        <v>17</v>
      </c>
      <c r="I374" t="str">
        <f t="shared" si="22"/>
        <v>CoStep2StepLengthSwingsideT17</v>
      </c>
      <c r="K374" t="s">
        <v>469</v>
      </c>
      <c r="M374" s="33" t="s">
        <v>90</v>
      </c>
      <c r="N374">
        <v>55</v>
      </c>
      <c r="P374" t="str">
        <f t="shared" si="19"/>
        <v>B55</v>
      </c>
      <c r="R374" t="s">
        <v>56</v>
      </c>
    </row>
    <row r="375" spans="1:18" x14ac:dyDescent="0.2">
      <c r="A375" s="33" t="s">
        <v>48</v>
      </c>
      <c r="B375" t="s">
        <v>82</v>
      </c>
      <c r="C375">
        <v>2</v>
      </c>
      <c r="D375" t="s">
        <v>80</v>
      </c>
      <c r="E375" t="s">
        <v>4</v>
      </c>
      <c r="F375" t="s">
        <v>89</v>
      </c>
      <c r="G375">
        <v>17</v>
      </c>
      <c r="I375" t="str">
        <f t="shared" si="22"/>
        <v>CoStep2StepLengthDistanceT17</v>
      </c>
      <c r="K375" t="s">
        <v>470</v>
      </c>
      <c r="M375" s="33" t="s">
        <v>91</v>
      </c>
      <c r="N375">
        <v>55</v>
      </c>
      <c r="P375" t="str">
        <f t="shared" si="19"/>
        <v>E55</v>
      </c>
      <c r="R375" t="s">
        <v>57</v>
      </c>
    </row>
    <row r="376" spans="1:18" x14ac:dyDescent="0.2">
      <c r="A376" s="33" t="s">
        <v>48</v>
      </c>
      <c r="B376" t="s">
        <v>82</v>
      </c>
      <c r="C376">
        <v>2</v>
      </c>
      <c r="D376" t="s">
        <v>82</v>
      </c>
      <c r="E376" t="s">
        <v>5</v>
      </c>
      <c r="F376" t="s">
        <v>89</v>
      </c>
      <c r="G376">
        <v>17</v>
      </c>
      <c r="I376" t="str">
        <f t="shared" si="22"/>
        <v>CoStep2StepTimeT17</v>
      </c>
      <c r="K376" t="s">
        <v>471</v>
      </c>
      <c r="M376" s="33" t="s">
        <v>92</v>
      </c>
      <c r="N376">
        <v>55</v>
      </c>
      <c r="P376" t="str">
        <f t="shared" si="19"/>
        <v>J55</v>
      </c>
      <c r="R376" t="s">
        <v>58</v>
      </c>
    </row>
    <row r="377" spans="1:18" x14ac:dyDescent="0.2">
      <c r="A377" s="33" t="s">
        <v>48</v>
      </c>
      <c r="B377" t="s">
        <v>82</v>
      </c>
      <c r="C377">
        <v>2</v>
      </c>
      <c r="D377" t="s">
        <v>83</v>
      </c>
      <c r="E377" t="s">
        <v>5</v>
      </c>
      <c r="F377" t="s">
        <v>89</v>
      </c>
      <c r="G377">
        <v>17</v>
      </c>
      <c r="I377" t="str">
        <f t="shared" si="22"/>
        <v>CoStep2DoubleSupportTimeT17</v>
      </c>
      <c r="K377" t="s">
        <v>472</v>
      </c>
      <c r="M377" s="33" t="s">
        <v>93</v>
      </c>
      <c r="N377">
        <v>55</v>
      </c>
      <c r="P377" t="str">
        <f t="shared" si="19"/>
        <v>O55</v>
      </c>
      <c r="R377" t="s">
        <v>59</v>
      </c>
    </row>
    <row r="378" spans="1:18" x14ac:dyDescent="0.2">
      <c r="A378" s="33" t="s">
        <v>48</v>
      </c>
      <c r="B378" t="s">
        <v>82</v>
      </c>
      <c r="C378">
        <v>2</v>
      </c>
      <c r="D378" t="s">
        <v>84</v>
      </c>
      <c r="E378" t="s">
        <v>5</v>
      </c>
      <c r="F378" t="s">
        <v>89</v>
      </c>
      <c r="G378">
        <v>17</v>
      </c>
      <c r="I378" t="str">
        <f t="shared" si="22"/>
        <v>CoStep2StanceTimeT17</v>
      </c>
      <c r="K378" t="s">
        <v>473</v>
      </c>
      <c r="M378" s="33" t="s">
        <v>89</v>
      </c>
      <c r="N378">
        <v>55</v>
      </c>
      <c r="P378" t="str">
        <f t="shared" si="19"/>
        <v>T55</v>
      </c>
      <c r="R378" t="s">
        <v>94</v>
      </c>
    </row>
    <row r="379" spans="1:18" x14ac:dyDescent="0.2">
      <c r="A379" s="33" t="s">
        <v>48</v>
      </c>
      <c r="B379" t="s">
        <v>82</v>
      </c>
      <c r="C379">
        <v>3</v>
      </c>
      <c r="D379" t="s">
        <v>80</v>
      </c>
      <c r="E379" t="s">
        <v>81</v>
      </c>
      <c r="F379" t="s">
        <v>89</v>
      </c>
      <c r="G379">
        <v>17</v>
      </c>
      <c r="I379" t="str">
        <f t="shared" si="22"/>
        <v>CoStep3StepLengthSwingsideT17</v>
      </c>
      <c r="K379" t="s">
        <v>474</v>
      </c>
      <c r="M379" s="33" t="s">
        <v>90</v>
      </c>
      <c r="N379">
        <v>80</v>
      </c>
      <c r="P379" t="str">
        <f t="shared" si="19"/>
        <v>B80</v>
      </c>
      <c r="R379" t="s">
        <v>60</v>
      </c>
    </row>
    <row r="380" spans="1:18" x14ac:dyDescent="0.2">
      <c r="A380" s="33" t="s">
        <v>48</v>
      </c>
      <c r="B380" t="s">
        <v>82</v>
      </c>
      <c r="C380">
        <v>3</v>
      </c>
      <c r="D380" t="s">
        <v>80</v>
      </c>
      <c r="E380" t="s">
        <v>4</v>
      </c>
      <c r="F380" t="s">
        <v>89</v>
      </c>
      <c r="G380">
        <v>17</v>
      </c>
      <c r="I380" t="str">
        <f t="shared" si="22"/>
        <v>CoStep3StepLengthDistanceT17</v>
      </c>
      <c r="K380" t="s">
        <v>475</v>
      </c>
      <c r="M380" s="33" t="s">
        <v>91</v>
      </c>
      <c r="N380">
        <v>80</v>
      </c>
      <c r="P380" t="str">
        <f t="shared" si="19"/>
        <v>E80</v>
      </c>
      <c r="R380" t="s">
        <v>61</v>
      </c>
    </row>
    <row r="381" spans="1:18" x14ac:dyDescent="0.2">
      <c r="A381" s="33" t="s">
        <v>48</v>
      </c>
      <c r="B381" t="s">
        <v>82</v>
      </c>
      <c r="C381">
        <v>3</v>
      </c>
      <c r="D381" t="s">
        <v>82</v>
      </c>
      <c r="E381" t="s">
        <v>5</v>
      </c>
      <c r="F381" t="s">
        <v>89</v>
      </c>
      <c r="G381">
        <v>17</v>
      </c>
      <c r="I381" t="str">
        <f t="shared" si="22"/>
        <v>CoStep3StepTimeT17</v>
      </c>
      <c r="K381" t="s">
        <v>476</v>
      </c>
      <c r="M381" s="33" t="s">
        <v>92</v>
      </c>
      <c r="N381">
        <v>80</v>
      </c>
      <c r="P381" t="str">
        <f t="shared" si="19"/>
        <v>J80</v>
      </c>
      <c r="R381" t="s">
        <v>62</v>
      </c>
    </row>
    <row r="382" spans="1:18" x14ac:dyDescent="0.2">
      <c r="A382" s="33" t="s">
        <v>48</v>
      </c>
      <c r="B382" t="s">
        <v>82</v>
      </c>
      <c r="C382">
        <v>3</v>
      </c>
      <c r="D382" t="s">
        <v>83</v>
      </c>
      <c r="E382" t="s">
        <v>5</v>
      </c>
      <c r="F382" t="s">
        <v>89</v>
      </c>
      <c r="G382">
        <v>17</v>
      </c>
      <c r="I382" t="str">
        <f t="shared" si="22"/>
        <v>CoStep3DoubleSupportTimeT17</v>
      </c>
      <c r="K382" t="s">
        <v>477</v>
      </c>
      <c r="M382" s="33" t="s">
        <v>93</v>
      </c>
      <c r="N382">
        <v>80</v>
      </c>
      <c r="P382" t="str">
        <f t="shared" si="19"/>
        <v>O80</v>
      </c>
      <c r="R382" t="s">
        <v>63</v>
      </c>
    </row>
    <row r="383" spans="1:18" x14ac:dyDescent="0.2">
      <c r="A383" s="33" t="s">
        <v>48</v>
      </c>
      <c r="B383" t="s">
        <v>82</v>
      </c>
      <c r="C383">
        <v>3</v>
      </c>
      <c r="D383" t="s">
        <v>84</v>
      </c>
      <c r="E383" t="s">
        <v>5</v>
      </c>
      <c r="F383" t="s">
        <v>89</v>
      </c>
      <c r="G383">
        <v>17</v>
      </c>
      <c r="I383" t="str">
        <f t="shared" si="22"/>
        <v>CoStep3StanceTimeT17</v>
      </c>
      <c r="K383" t="s">
        <v>478</v>
      </c>
      <c r="M383" s="33" t="s">
        <v>89</v>
      </c>
      <c r="N383">
        <v>80</v>
      </c>
      <c r="P383" t="str">
        <f t="shared" si="19"/>
        <v>T80</v>
      </c>
      <c r="R383" t="s">
        <v>95</v>
      </c>
    </row>
    <row r="384" spans="1:18" x14ac:dyDescent="0.2">
      <c r="A384" s="33" t="s">
        <v>48</v>
      </c>
      <c r="B384" t="s">
        <v>85</v>
      </c>
      <c r="C384">
        <v>1</v>
      </c>
      <c r="D384" t="s">
        <v>86</v>
      </c>
      <c r="E384" t="s">
        <v>87</v>
      </c>
      <c r="F384" t="s">
        <v>89</v>
      </c>
      <c r="G384">
        <v>17</v>
      </c>
      <c r="I384" t="str">
        <f t="shared" si="22"/>
        <v>CoStride1StrideLengthSide0%T17</v>
      </c>
      <c r="K384" t="s">
        <v>479</v>
      </c>
      <c r="M384" s="33" t="s">
        <v>90</v>
      </c>
      <c r="N384">
        <v>105</v>
      </c>
      <c r="P384" t="str">
        <f t="shared" si="19"/>
        <v>B105</v>
      </c>
      <c r="R384" t="s">
        <v>64</v>
      </c>
    </row>
    <row r="385" spans="1:18" x14ac:dyDescent="0.2">
      <c r="A385" s="33" t="s">
        <v>48</v>
      </c>
      <c r="B385" t="s">
        <v>85</v>
      </c>
      <c r="C385">
        <v>1</v>
      </c>
      <c r="D385" t="s">
        <v>86</v>
      </c>
      <c r="E385" t="s">
        <v>4</v>
      </c>
      <c r="F385" t="s">
        <v>89</v>
      </c>
      <c r="G385">
        <v>17</v>
      </c>
      <c r="I385" t="str">
        <f t="shared" si="22"/>
        <v>CoStride1StrideLengthDistanceT17</v>
      </c>
      <c r="K385" t="s">
        <v>480</v>
      </c>
      <c r="M385" s="33" t="s">
        <v>91</v>
      </c>
      <c r="N385">
        <v>105</v>
      </c>
      <c r="P385" t="str">
        <f t="shared" si="19"/>
        <v>E105</v>
      </c>
      <c r="R385" t="s">
        <v>65</v>
      </c>
    </row>
    <row r="386" spans="1:18" x14ac:dyDescent="0.2">
      <c r="A386" s="33" t="s">
        <v>48</v>
      </c>
      <c r="B386" t="s">
        <v>85</v>
      </c>
      <c r="C386">
        <v>1</v>
      </c>
      <c r="D386" t="s">
        <v>85</v>
      </c>
      <c r="E386" t="s">
        <v>5</v>
      </c>
      <c r="F386" t="s">
        <v>89</v>
      </c>
      <c r="G386">
        <v>17</v>
      </c>
      <c r="I386" t="str">
        <f t="shared" si="22"/>
        <v>CoStride1StrideTimeT17</v>
      </c>
      <c r="K386" t="s">
        <v>481</v>
      </c>
      <c r="M386" s="33" t="s">
        <v>92</v>
      </c>
      <c r="N386">
        <v>105</v>
      </c>
      <c r="P386" t="str">
        <f t="shared" ref="P386:P449" si="23">M386&amp;N386</f>
        <v>J105</v>
      </c>
      <c r="R386" t="s">
        <v>66</v>
      </c>
    </row>
    <row r="387" spans="1:18" x14ac:dyDescent="0.2">
      <c r="A387" s="33" t="s">
        <v>48</v>
      </c>
      <c r="B387" t="s">
        <v>85</v>
      </c>
      <c r="C387">
        <v>1</v>
      </c>
      <c r="D387" t="s">
        <v>88</v>
      </c>
      <c r="E387" t="s">
        <v>5</v>
      </c>
      <c r="F387" t="s">
        <v>89</v>
      </c>
      <c r="G387">
        <v>17</v>
      </c>
      <c r="I387" t="str">
        <f t="shared" si="22"/>
        <v>CoStride1SwingTimeT17</v>
      </c>
      <c r="K387" t="s">
        <v>482</v>
      </c>
      <c r="M387" s="33" t="s">
        <v>93</v>
      </c>
      <c r="N387">
        <v>105</v>
      </c>
      <c r="P387" t="str">
        <f t="shared" si="23"/>
        <v>O105</v>
      </c>
      <c r="R387" t="s">
        <v>67</v>
      </c>
    </row>
    <row r="388" spans="1:18" x14ac:dyDescent="0.2">
      <c r="A388" s="33" t="s">
        <v>48</v>
      </c>
      <c r="B388" t="s">
        <v>85</v>
      </c>
      <c r="C388">
        <v>2</v>
      </c>
      <c r="D388" t="s">
        <v>86</v>
      </c>
      <c r="E388" t="s">
        <v>87</v>
      </c>
      <c r="F388" t="s">
        <v>89</v>
      </c>
      <c r="G388">
        <v>17</v>
      </c>
      <c r="I388" t="str">
        <f t="shared" si="22"/>
        <v>CoStride2StrideLengthSide0%T17</v>
      </c>
      <c r="K388" t="s">
        <v>483</v>
      </c>
      <c r="M388" s="33" t="s">
        <v>90</v>
      </c>
      <c r="N388">
        <v>130</v>
      </c>
      <c r="P388" t="str">
        <f t="shared" si="23"/>
        <v>B130</v>
      </c>
      <c r="R388" t="s">
        <v>68</v>
      </c>
    </row>
    <row r="389" spans="1:18" x14ac:dyDescent="0.2">
      <c r="A389" s="33" t="s">
        <v>48</v>
      </c>
      <c r="B389" t="s">
        <v>85</v>
      </c>
      <c r="C389">
        <v>2</v>
      </c>
      <c r="D389" t="s">
        <v>86</v>
      </c>
      <c r="E389" t="s">
        <v>4</v>
      </c>
      <c r="F389" t="s">
        <v>89</v>
      </c>
      <c r="G389">
        <v>17</v>
      </c>
      <c r="I389" t="str">
        <f t="shared" si="22"/>
        <v>CoStride2StrideLengthDistanceT17</v>
      </c>
      <c r="K389" t="s">
        <v>484</v>
      </c>
      <c r="M389" s="33" t="s">
        <v>91</v>
      </c>
      <c r="N389">
        <v>130</v>
      </c>
      <c r="P389" t="str">
        <f t="shared" si="23"/>
        <v>E130</v>
      </c>
      <c r="R389" t="s">
        <v>69</v>
      </c>
    </row>
    <row r="390" spans="1:18" x14ac:dyDescent="0.2">
      <c r="A390" s="33" t="s">
        <v>48</v>
      </c>
      <c r="B390" t="s">
        <v>85</v>
      </c>
      <c r="C390">
        <v>2</v>
      </c>
      <c r="D390" t="s">
        <v>85</v>
      </c>
      <c r="E390" t="s">
        <v>5</v>
      </c>
      <c r="F390" t="s">
        <v>89</v>
      </c>
      <c r="G390">
        <v>17</v>
      </c>
      <c r="I390" t="str">
        <f t="shared" si="22"/>
        <v>CoStride2StrideTimeT17</v>
      </c>
      <c r="K390" t="s">
        <v>485</v>
      </c>
      <c r="M390" s="33" t="s">
        <v>92</v>
      </c>
      <c r="N390">
        <v>130</v>
      </c>
      <c r="P390" t="str">
        <f t="shared" si="23"/>
        <v>J130</v>
      </c>
      <c r="R390" t="s">
        <v>70</v>
      </c>
    </row>
    <row r="391" spans="1:18" x14ac:dyDescent="0.2">
      <c r="A391" s="33" t="s">
        <v>48</v>
      </c>
      <c r="B391" t="s">
        <v>85</v>
      </c>
      <c r="C391">
        <v>2</v>
      </c>
      <c r="D391" t="s">
        <v>88</v>
      </c>
      <c r="E391" t="s">
        <v>5</v>
      </c>
      <c r="F391" t="s">
        <v>89</v>
      </c>
      <c r="G391">
        <v>17</v>
      </c>
      <c r="I391" t="str">
        <f t="shared" si="22"/>
        <v>CoStride2SwingTimeT17</v>
      </c>
      <c r="K391" t="s">
        <v>486</v>
      </c>
      <c r="M391" s="33" t="s">
        <v>93</v>
      </c>
      <c r="N391">
        <v>130</v>
      </c>
      <c r="P391" t="str">
        <f t="shared" si="23"/>
        <v>O130</v>
      </c>
      <c r="R391" t="s">
        <v>71</v>
      </c>
    </row>
    <row r="392" spans="1:18" x14ac:dyDescent="0.2">
      <c r="A392" s="33" t="s">
        <v>48</v>
      </c>
      <c r="B392" t="s">
        <v>82</v>
      </c>
      <c r="C392">
        <v>1</v>
      </c>
      <c r="D392" t="s">
        <v>80</v>
      </c>
      <c r="E392" t="s">
        <v>81</v>
      </c>
      <c r="F392" t="s">
        <v>89</v>
      </c>
      <c r="G392">
        <v>18</v>
      </c>
      <c r="I392" t="str">
        <f>A392&amp;B392&amp;C392&amp;D392&amp;E392&amp;F392&amp;G392</f>
        <v>CoStep1StepLengthSwingsideT18</v>
      </c>
      <c r="K392" t="s">
        <v>487</v>
      </c>
      <c r="M392" s="33" t="s">
        <v>90</v>
      </c>
      <c r="N392">
        <v>30</v>
      </c>
      <c r="P392" t="str">
        <f t="shared" si="23"/>
        <v>B30</v>
      </c>
      <c r="R392" t="s">
        <v>52</v>
      </c>
    </row>
    <row r="393" spans="1:18" x14ac:dyDescent="0.2">
      <c r="A393" s="33" t="s">
        <v>48</v>
      </c>
      <c r="B393" t="s">
        <v>82</v>
      </c>
      <c r="C393">
        <v>1</v>
      </c>
      <c r="D393" t="s">
        <v>80</v>
      </c>
      <c r="E393" t="s">
        <v>4</v>
      </c>
      <c r="F393" t="s">
        <v>89</v>
      </c>
      <c r="G393">
        <v>18</v>
      </c>
      <c r="I393" t="str">
        <f t="shared" ref="I393:I414" si="24">A393&amp;B393&amp;C393&amp;D393&amp;E393&amp;F393&amp;G393</f>
        <v>CoStep1StepLengthDistanceT18</v>
      </c>
      <c r="K393" t="s">
        <v>488</v>
      </c>
      <c r="M393" s="33" t="s">
        <v>91</v>
      </c>
      <c r="N393">
        <v>30</v>
      </c>
      <c r="P393" t="str">
        <f t="shared" si="23"/>
        <v>E30</v>
      </c>
      <c r="R393" t="s">
        <v>53</v>
      </c>
    </row>
    <row r="394" spans="1:18" x14ac:dyDescent="0.2">
      <c r="A394" s="33" t="s">
        <v>48</v>
      </c>
      <c r="B394" t="s">
        <v>82</v>
      </c>
      <c r="C394">
        <v>1</v>
      </c>
      <c r="D394" t="s">
        <v>82</v>
      </c>
      <c r="E394" t="s">
        <v>5</v>
      </c>
      <c r="F394" t="s">
        <v>89</v>
      </c>
      <c r="G394">
        <v>18</v>
      </c>
      <c r="I394" t="str">
        <f t="shared" si="24"/>
        <v>CoStep1StepTimeT18</v>
      </c>
      <c r="K394" t="s">
        <v>489</v>
      </c>
      <c r="M394" s="33" t="s">
        <v>92</v>
      </c>
      <c r="N394">
        <v>30</v>
      </c>
      <c r="P394" t="str">
        <f t="shared" si="23"/>
        <v>J30</v>
      </c>
      <c r="R394" t="s">
        <v>54</v>
      </c>
    </row>
    <row r="395" spans="1:18" x14ac:dyDescent="0.2">
      <c r="A395" s="33" t="s">
        <v>48</v>
      </c>
      <c r="B395" t="s">
        <v>82</v>
      </c>
      <c r="C395">
        <v>1</v>
      </c>
      <c r="D395" t="s">
        <v>83</v>
      </c>
      <c r="E395" t="s">
        <v>5</v>
      </c>
      <c r="F395" t="s">
        <v>89</v>
      </c>
      <c r="G395">
        <v>18</v>
      </c>
      <c r="I395" t="str">
        <f t="shared" si="24"/>
        <v>CoStep1DoubleSupportTimeT18</v>
      </c>
      <c r="K395" t="s">
        <v>490</v>
      </c>
      <c r="M395" s="33" t="s">
        <v>93</v>
      </c>
      <c r="N395">
        <v>30</v>
      </c>
      <c r="P395" t="str">
        <f t="shared" si="23"/>
        <v>O30</v>
      </c>
      <c r="R395" t="s">
        <v>55</v>
      </c>
    </row>
    <row r="396" spans="1:18" x14ac:dyDescent="0.2">
      <c r="A396" s="33" t="s">
        <v>48</v>
      </c>
      <c r="B396" t="s">
        <v>82</v>
      </c>
      <c r="C396">
        <v>1</v>
      </c>
      <c r="D396" t="s">
        <v>84</v>
      </c>
      <c r="E396" t="s">
        <v>5</v>
      </c>
      <c r="F396" t="s">
        <v>89</v>
      </c>
      <c r="G396">
        <v>18</v>
      </c>
      <c r="I396" t="str">
        <f t="shared" si="24"/>
        <v>CoStep1StanceTimeT18</v>
      </c>
      <c r="K396" t="s">
        <v>491</v>
      </c>
      <c r="M396" s="33" t="s">
        <v>89</v>
      </c>
      <c r="N396">
        <v>30</v>
      </c>
      <c r="P396" t="str">
        <f t="shared" si="23"/>
        <v>T30</v>
      </c>
      <c r="R396" t="s">
        <v>79</v>
      </c>
    </row>
    <row r="397" spans="1:18" x14ac:dyDescent="0.2">
      <c r="A397" s="33" t="s">
        <v>48</v>
      </c>
      <c r="B397" t="s">
        <v>82</v>
      </c>
      <c r="C397">
        <v>2</v>
      </c>
      <c r="D397" t="s">
        <v>80</v>
      </c>
      <c r="E397" t="s">
        <v>81</v>
      </c>
      <c r="F397" t="s">
        <v>89</v>
      </c>
      <c r="G397">
        <v>18</v>
      </c>
      <c r="I397" t="str">
        <f t="shared" si="24"/>
        <v>CoStep2StepLengthSwingsideT18</v>
      </c>
      <c r="K397" t="s">
        <v>492</v>
      </c>
      <c r="M397" s="33" t="s">
        <v>90</v>
      </c>
      <c r="N397">
        <v>55</v>
      </c>
      <c r="P397" t="str">
        <f t="shared" si="23"/>
        <v>B55</v>
      </c>
      <c r="R397" t="s">
        <v>56</v>
      </c>
    </row>
    <row r="398" spans="1:18" x14ac:dyDescent="0.2">
      <c r="A398" s="33" t="s">
        <v>48</v>
      </c>
      <c r="B398" t="s">
        <v>82</v>
      </c>
      <c r="C398">
        <v>2</v>
      </c>
      <c r="D398" t="s">
        <v>80</v>
      </c>
      <c r="E398" t="s">
        <v>4</v>
      </c>
      <c r="F398" t="s">
        <v>89</v>
      </c>
      <c r="G398">
        <v>18</v>
      </c>
      <c r="I398" t="str">
        <f t="shared" si="24"/>
        <v>CoStep2StepLengthDistanceT18</v>
      </c>
      <c r="K398" t="s">
        <v>493</v>
      </c>
      <c r="M398" s="33" t="s">
        <v>91</v>
      </c>
      <c r="N398">
        <v>55</v>
      </c>
      <c r="P398" t="str">
        <f t="shared" si="23"/>
        <v>E55</v>
      </c>
      <c r="R398" t="s">
        <v>57</v>
      </c>
    </row>
    <row r="399" spans="1:18" x14ac:dyDescent="0.2">
      <c r="A399" s="33" t="s">
        <v>48</v>
      </c>
      <c r="B399" t="s">
        <v>82</v>
      </c>
      <c r="C399">
        <v>2</v>
      </c>
      <c r="D399" t="s">
        <v>82</v>
      </c>
      <c r="E399" t="s">
        <v>5</v>
      </c>
      <c r="F399" t="s">
        <v>89</v>
      </c>
      <c r="G399">
        <v>18</v>
      </c>
      <c r="I399" t="str">
        <f t="shared" si="24"/>
        <v>CoStep2StepTimeT18</v>
      </c>
      <c r="K399" t="s">
        <v>494</v>
      </c>
      <c r="M399" s="33" t="s">
        <v>92</v>
      </c>
      <c r="N399">
        <v>55</v>
      </c>
      <c r="P399" t="str">
        <f t="shared" si="23"/>
        <v>J55</v>
      </c>
      <c r="R399" t="s">
        <v>58</v>
      </c>
    </row>
    <row r="400" spans="1:18" x14ac:dyDescent="0.2">
      <c r="A400" s="33" t="s">
        <v>48</v>
      </c>
      <c r="B400" t="s">
        <v>82</v>
      </c>
      <c r="C400">
        <v>2</v>
      </c>
      <c r="D400" t="s">
        <v>83</v>
      </c>
      <c r="E400" t="s">
        <v>5</v>
      </c>
      <c r="F400" t="s">
        <v>89</v>
      </c>
      <c r="G400">
        <v>18</v>
      </c>
      <c r="I400" t="str">
        <f t="shared" si="24"/>
        <v>CoStep2DoubleSupportTimeT18</v>
      </c>
      <c r="K400" t="s">
        <v>495</v>
      </c>
      <c r="M400" s="33" t="s">
        <v>93</v>
      </c>
      <c r="N400">
        <v>55</v>
      </c>
      <c r="P400" t="str">
        <f t="shared" si="23"/>
        <v>O55</v>
      </c>
      <c r="R400" t="s">
        <v>59</v>
      </c>
    </row>
    <row r="401" spans="1:18" x14ac:dyDescent="0.2">
      <c r="A401" s="33" t="s">
        <v>48</v>
      </c>
      <c r="B401" t="s">
        <v>82</v>
      </c>
      <c r="C401">
        <v>2</v>
      </c>
      <c r="D401" t="s">
        <v>84</v>
      </c>
      <c r="E401" t="s">
        <v>5</v>
      </c>
      <c r="F401" t="s">
        <v>89</v>
      </c>
      <c r="G401">
        <v>18</v>
      </c>
      <c r="I401" t="str">
        <f t="shared" si="24"/>
        <v>CoStep2StanceTimeT18</v>
      </c>
      <c r="K401" t="s">
        <v>496</v>
      </c>
      <c r="M401" s="33" t="s">
        <v>89</v>
      </c>
      <c r="N401">
        <v>55</v>
      </c>
      <c r="P401" t="str">
        <f t="shared" si="23"/>
        <v>T55</v>
      </c>
      <c r="R401" t="s">
        <v>94</v>
      </c>
    </row>
    <row r="402" spans="1:18" x14ac:dyDescent="0.2">
      <c r="A402" s="33" t="s">
        <v>48</v>
      </c>
      <c r="B402" t="s">
        <v>82</v>
      </c>
      <c r="C402">
        <v>3</v>
      </c>
      <c r="D402" t="s">
        <v>80</v>
      </c>
      <c r="E402" t="s">
        <v>81</v>
      </c>
      <c r="F402" t="s">
        <v>89</v>
      </c>
      <c r="G402">
        <v>18</v>
      </c>
      <c r="I402" t="str">
        <f t="shared" si="24"/>
        <v>CoStep3StepLengthSwingsideT18</v>
      </c>
      <c r="K402" t="s">
        <v>497</v>
      </c>
      <c r="M402" s="33" t="s">
        <v>90</v>
      </c>
      <c r="N402">
        <v>80</v>
      </c>
      <c r="P402" t="str">
        <f t="shared" si="23"/>
        <v>B80</v>
      </c>
      <c r="R402" t="s">
        <v>60</v>
      </c>
    </row>
    <row r="403" spans="1:18" x14ac:dyDescent="0.2">
      <c r="A403" s="33" t="s">
        <v>48</v>
      </c>
      <c r="B403" t="s">
        <v>82</v>
      </c>
      <c r="C403">
        <v>3</v>
      </c>
      <c r="D403" t="s">
        <v>80</v>
      </c>
      <c r="E403" t="s">
        <v>4</v>
      </c>
      <c r="F403" t="s">
        <v>89</v>
      </c>
      <c r="G403">
        <v>18</v>
      </c>
      <c r="I403" t="str">
        <f t="shared" si="24"/>
        <v>CoStep3StepLengthDistanceT18</v>
      </c>
      <c r="K403" t="s">
        <v>498</v>
      </c>
      <c r="M403" s="33" t="s">
        <v>91</v>
      </c>
      <c r="N403">
        <v>80</v>
      </c>
      <c r="P403" t="str">
        <f t="shared" si="23"/>
        <v>E80</v>
      </c>
      <c r="R403" t="s">
        <v>61</v>
      </c>
    </row>
    <row r="404" spans="1:18" x14ac:dyDescent="0.2">
      <c r="A404" s="33" t="s">
        <v>48</v>
      </c>
      <c r="B404" t="s">
        <v>82</v>
      </c>
      <c r="C404">
        <v>3</v>
      </c>
      <c r="D404" t="s">
        <v>82</v>
      </c>
      <c r="E404" t="s">
        <v>5</v>
      </c>
      <c r="F404" t="s">
        <v>89</v>
      </c>
      <c r="G404">
        <v>18</v>
      </c>
      <c r="I404" t="str">
        <f t="shared" si="24"/>
        <v>CoStep3StepTimeT18</v>
      </c>
      <c r="K404" t="s">
        <v>499</v>
      </c>
      <c r="M404" s="33" t="s">
        <v>92</v>
      </c>
      <c r="N404">
        <v>80</v>
      </c>
      <c r="P404" t="str">
        <f t="shared" si="23"/>
        <v>J80</v>
      </c>
      <c r="R404" t="s">
        <v>62</v>
      </c>
    </row>
    <row r="405" spans="1:18" x14ac:dyDescent="0.2">
      <c r="A405" s="33" t="s">
        <v>48</v>
      </c>
      <c r="B405" t="s">
        <v>82</v>
      </c>
      <c r="C405">
        <v>3</v>
      </c>
      <c r="D405" t="s">
        <v>83</v>
      </c>
      <c r="E405" t="s">
        <v>5</v>
      </c>
      <c r="F405" t="s">
        <v>89</v>
      </c>
      <c r="G405">
        <v>18</v>
      </c>
      <c r="I405" t="str">
        <f t="shared" si="24"/>
        <v>CoStep3DoubleSupportTimeT18</v>
      </c>
      <c r="K405" t="s">
        <v>500</v>
      </c>
      <c r="M405" s="33" t="s">
        <v>93</v>
      </c>
      <c r="N405">
        <v>80</v>
      </c>
      <c r="P405" t="str">
        <f t="shared" si="23"/>
        <v>O80</v>
      </c>
      <c r="R405" t="s">
        <v>63</v>
      </c>
    </row>
    <row r="406" spans="1:18" x14ac:dyDescent="0.2">
      <c r="A406" s="33" t="s">
        <v>48</v>
      </c>
      <c r="B406" t="s">
        <v>82</v>
      </c>
      <c r="C406">
        <v>3</v>
      </c>
      <c r="D406" t="s">
        <v>84</v>
      </c>
      <c r="E406" t="s">
        <v>5</v>
      </c>
      <c r="F406" t="s">
        <v>89</v>
      </c>
      <c r="G406">
        <v>18</v>
      </c>
      <c r="I406" t="str">
        <f t="shared" si="24"/>
        <v>CoStep3StanceTimeT18</v>
      </c>
      <c r="K406" t="s">
        <v>501</v>
      </c>
      <c r="M406" s="33" t="s">
        <v>89</v>
      </c>
      <c r="N406">
        <v>80</v>
      </c>
      <c r="P406" t="str">
        <f t="shared" si="23"/>
        <v>T80</v>
      </c>
      <c r="R406" t="s">
        <v>95</v>
      </c>
    </row>
    <row r="407" spans="1:18" x14ac:dyDescent="0.2">
      <c r="A407" s="33" t="s">
        <v>48</v>
      </c>
      <c r="B407" t="s">
        <v>85</v>
      </c>
      <c r="C407">
        <v>1</v>
      </c>
      <c r="D407" t="s">
        <v>86</v>
      </c>
      <c r="E407" t="s">
        <v>87</v>
      </c>
      <c r="F407" t="s">
        <v>89</v>
      </c>
      <c r="G407">
        <v>18</v>
      </c>
      <c r="I407" t="str">
        <f t="shared" si="24"/>
        <v>CoStride1StrideLengthSide0%T18</v>
      </c>
      <c r="K407" t="s">
        <v>502</v>
      </c>
      <c r="M407" s="33" t="s">
        <v>90</v>
      </c>
      <c r="N407">
        <v>105</v>
      </c>
      <c r="P407" t="str">
        <f t="shared" si="23"/>
        <v>B105</v>
      </c>
      <c r="R407" t="s">
        <v>64</v>
      </c>
    </row>
    <row r="408" spans="1:18" x14ac:dyDescent="0.2">
      <c r="A408" s="33" t="s">
        <v>48</v>
      </c>
      <c r="B408" t="s">
        <v>85</v>
      </c>
      <c r="C408">
        <v>1</v>
      </c>
      <c r="D408" t="s">
        <v>86</v>
      </c>
      <c r="E408" t="s">
        <v>4</v>
      </c>
      <c r="F408" t="s">
        <v>89</v>
      </c>
      <c r="G408">
        <v>18</v>
      </c>
      <c r="I408" t="str">
        <f t="shared" si="24"/>
        <v>CoStride1StrideLengthDistanceT18</v>
      </c>
      <c r="K408" t="s">
        <v>503</v>
      </c>
      <c r="M408" s="33" t="s">
        <v>91</v>
      </c>
      <c r="N408">
        <v>105</v>
      </c>
      <c r="P408" t="str">
        <f t="shared" si="23"/>
        <v>E105</v>
      </c>
      <c r="R408" t="s">
        <v>65</v>
      </c>
    </row>
    <row r="409" spans="1:18" x14ac:dyDescent="0.2">
      <c r="A409" s="33" t="s">
        <v>48</v>
      </c>
      <c r="B409" t="s">
        <v>85</v>
      </c>
      <c r="C409">
        <v>1</v>
      </c>
      <c r="D409" t="s">
        <v>85</v>
      </c>
      <c r="E409" t="s">
        <v>5</v>
      </c>
      <c r="F409" t="s">
        <v>89</v>
      </c>
      <c r="G409">
        <v>18</v>
      </c>
      <c r="I409" t="str">
        <f t="shared" si="24"/>
        <v>CoStride1StrideTimeT18</v>
      </c>
      <c r="K409" t="s">
        <v>504</v>
      </c>
      <c r="M409" s="33" t="s">
        <v>92</v>
      </c>
      <c r="N409">
        <v>105</v>
      </c>
      <c r="P409" t="str">
        <f t="shared" si="23"/>
        <v>J105</v>
      </c>
      <c r="R409" t="s">
        <v>66</v>
      </c>
    </row>
    <row r="410" spans="1:18" x14ac:dyDescent="0.2">
      <c r="A410" s="33" t="s">
        <v>48</v>
      </c>
      <c r="B410" t="s">
        <v>85</v>
      </c>
      <c r="C410">
        <v>1</v>
      </c>
      <c r="D410" t="s">
        <v>88</v>
      </c>
      <c r="E410" t="s">
        <v>5</v>
      </c>
      <c r="F410" t="s">
        <v>89</v>
      </c>
      <c r="G410">
        <v>18</v>
      </c>
      <c r="I410" t="str">
        <f t="shared" si="24"/>
        <v>CoStride1SwingTimeT18</v>
      </c>
      <c r="K410" t="s">
        <v>505</v>
      </c>
      <c r="M410" s="33" t="s">
        <v>93</v>
      </c>
      <c r="N410">
        <v>105</v>
      </c>
      <c r="P410" t="str">
        <f t="shared" si="23"/>
        <v>O105</v>
      </c>
      <c r="R410" t="s">
        <v>67</v>
      </c>
    </row>
    <row r="411" spans="1:18" x14ac:dyDescent="0.2">
      <c r="A411" s="33" t="s">
        <v>48</v>
      </c>
      <c r="B411" t="s">
        <v>85</v>
      </c>
      <c r="C411">
        <v>2</v>
      </c>
      <c r="D411" t="s">
        <v>86</v>
      </c>
      <c r="E411" t="s">
        <v>87</v>
      </c>
      <c r="F411" t="s">
        <v>89</v>
      </c>
      <c r="G411">
        <v>18</v>
      </c>
      <c r="I411" t="str">
        <f t="shared" si="24"/>
        <v>CoStride2StrideLengthSide0%T18</v>
      </c>
      <c r="K411" t="s">
        <v>506</v>
      </c>
      <c r="M411" s="33" t="s">
        <v>90</v>
      </c>
      <c r="N411">
        <v>130</v>
      </c>
      <c r="P411" t="str">
        <f t="shared" si="23"/>
        <v>B130</v>
      </c>
      <c r="R411" t="s">
        <v>68</v>
      </c>
    </row>
    <row r="412" spans="1:18" x14ac:dyDescent="0.2">
      <c r="A412" s="33" t="s">
        <v>48</v>
      </c>
      <c r="B412" t="s">
        <v>85</v>
      </c>
      <c r="C412">
        <v>2</v>
      </c>
      <c r="D412" t="s">
        <v>86</v>
      </c>
      <c r="E412" t="s">
        <v>4</v>
      </c>
      <c r="F412" t="s">
        <v>89</v>
      </c>
      <c r="G412">
        <v>18</v>
      </c>
      <c r="I412" t="str">
        <f t="shared" si="24"/>
        <v>CoStride2StrideLengthDistanceT18</v>
      </c>
      <c r="K412" t="s">
        <v>507</v>
      </c>
      <c r="M412" s="33" t="s">
        <v>91</v>
      </c>
      <c r="N412">
        <v>130</v>
      </c>
      <c r="P412" t="str">
        <f t="shared" si="23"/>
        <v>E130</v>
      </c>
      <c r="R412" t="s">
        <v>69</v>
      </c>
    </row>
    <row r="413" spans="1:18" x14ac:dyDescent="0.2">
      <c r="A413" s="33" t="s">
        <v>48</v>
      </c>
      <c r="B413" t="s">
        <v>85</v>
      </c>
      <c r="C413">
        <v>2</v>
      </c>
      <c r="D413" t="s">
        <v>85</v>
      </c>
      <c r="E413" t="s">
        <v>5</v>
      </c>
      <c r="F413" t="s">
        <v>89</v>
      </c>
      <c r="G413">
        <v>18</v>
      </c>
      <c r="I413" t="str">
        <f t="shared" si="24"/>
        <v>CoStride2StrideTimeT18</v>
      </c>
      <c r="K413" t="s">
        <v>508</v>
      </c>
      <c r="M413" s="33" t="s">
        <v>92</v>
      </c>
      <c r="N413">
        <v>130</v>
      </c>
      <c r="P413" t="str">
        <f t="shared" si="23"/>
        <v>J130</v>
      </c>
      <c r="R413" t="s">
        <v>70</v>
      </c>
    </row>
    <row r="414" spans="1:18" x14ac:dyDescent="0.2">
      <c r="A414" s="33" t="s">
        <v>48</v>
      </c>
      <c r="B414" t="s">
        <v>85</v>
      </c>
      <c r="C414">
        <v>2</v>
      </c>
      <c r="D414" t="s">
        <v>88</v>
      </c>
      <c r="E414" t="s">
        <v>5</v>
      </c>
      <c r="F414" t="s">
        <v>89</v>
      </c>
      <c r="G414">
        <v>18</v>
      </c>
      <c r="I414" t="str">
        <f t="shared" si="24"/>
        <v>CoStride2SwingTimeT18</v>
      </c>
      <c r="K414" t="s">
        <v>509</v>
      </c>
      <c r="M414" s="33" t="s">
        <v>93</v>
      </c>
      <c r="N414">
        <v>130</v>
      </c>
      <c r="P414" t="str">
        <f t="shared" si="23"/>
        <v>O130</v>
      </c>
      <c r="R414" t="s">
        <v>71</v>
      </c>
    </row>
    <row r="415" spans="1:18" x14ac:dyDescent="0.2">
      <c r="A415" s="33" t="s">
        <v>48</v>
      </c>
      <c r="B415" t="s">
        <v>82</v>
      </c>
      <c r="C415">
        <v>1</v>
      </c>
      <c r="D415" t="s">
        <v>80</v>
      </c>
      <c r="E415" t="s">
        <v>81</v>
      </c>
      <c r="F415" t="s">
        <v>89</v>
      </c>
      <c r="G415">
        <v>19</v>
      </c>
      <c r="I415" t="str">
        <f>A415&amp;B415&amp;C415&amp;D415&amp;E415&amp;F415&amp;G415</f>
        <v>CoStep1StepLengthSwingsideT19</v>
      </c>
      <c r="K415" t="s">
        <v>510</v>
      </c>
      <c r="M415" s="33" t="s">
        <v>90</v>
      </c>
      <c r="N415">
        <v>30</v>
      </c>
      <c r="P415" t="str">
        <f t="shared" si="23"/>
        <v>B30</v>
      </c>
      <c r="R415" t="s">
        <v>52</v>
      </c>
    </row>
    <row r="416" spans="1:18" x14ac:dyDescent="0.2">
      <c r="A416" s="33" t="s">
        <v>48</v>
      </c>
      <c r="B416" t="s">
        <v>82</v>
      </c>
      <c r="C416">
        <v>1</v>
      </c>
      <c r="D416" t="s">
        <v>80</v>
      </c>
      <c r="E416" t="s">
        <v>4</v>
      </c>
      <c r="F416" t="s">
        <v>89</v>
      </c>
      <c r="G416">
        <v>19</v>
      </c>
      <c r="I416" t="str">
        <f t="shared" ref="I416:I437" si="25">A416&amp;B416&amp;C416&amp;D416&amp;E416&amp;F416&amp;G416</f>
        <v>CoStep1StepLengthDistanceT19</v>
      </c>
      <c r="K416" t="s">
        <v>511</v>
      </c>
      <c r="M416" s="33" t="s">
        <v>91</v>
      </c>
      <c r="N416">
        <v>30</v>
      </c>
      <c r="P416" t="str">
        <f t="shared" si="23"/>
        <v>E30</v>
      </c>
      <c r="R416" t="s">
        <v>53</v>
      </c>
    </row>
    <row r="417" spans="1:18" x14ac:dyDescent="0.2">
      <c r="A417" s="33" t="s">
        <v>48</v>
      </c>
      <c r="B417" t="s">
        <v>82</v>
      </c>
      <c r="C417">
        <v>1</v>
      </c>
      <c r="D417" t="s">
        <v>82</v>
      </c>
      <c r="E417" t="s">
        <v>5</v>
      </c>
      <c r="F417" t="s">
        <v>89</v>
      </c>
      <c r="G417">
        <v>19</v>
      </c>
      <c r="I417" t="str">
        <f t="shared" si="25"/>
        <v>CoStep1StepTimeT19</v>
      </c>
      <c r="K417" t="s">
        <v>512</v>
      </c>
      <c r="M417" s="33" t="s">
        <v>92</v>
      </c>
      <c r="N417">
        <v>30</v>
      </c>
      <c r="P417" t="str">
        <f t="shared" si="23"/>
        <v>J30</v>
      </c>
      <c r="R417" t="s">
        <v>54</v>
      </c>
    </row>
    <row r="418" spans="1:18" x14ac:dyDescent="0.2">
      <c r="A418" s="33" t="s">
        <v>48</v>
      </c>
      <c r="B418" t="s">
        <v>82</v>
      </c>
      <c r="C418">
        <v>1</v>
      </c>
      <c r="D418" t="s">
        <v>83</v>
      </c>
      <c r="E418" t="s">
        <v>5</v>
      </c>
      <c r="F418" t="s">
        <v>89</v>
      </c>
      <c r="G418">
        <v>19</v>
      </c>
      <c r="I418" t="str">
        <f t="shared" si="25"/>
        <v>CoStep1DoubleSupportTimeT19</v>
      </c>
      <c r="K418" t="s">
        <v>513</v>
      </c>
      <c r="M418" s="33" t="s">
        <v>93</v>
      </c>
      <c r="N418">
        <v>30</v>
      </c>
      <c r="P418" t="str">
        <f t="shared" si="23"/>
        <v>O30</v>
      </c>
      <c r="R418" t="s">
        <v>55</v>
      </c>
    </row>
    <row r="419" spans="1:18" x14ac:dyDescent="0.2">
      <c r="A419" s="33" t="s">
        <v>48</v>
      </c>
      <c r="B419" t="s">
        <v>82</v>
      </c>
      <c r="C419">
        <v>1</v>
      </c>
      <c r="D419" t="s">
        <v>84</v>
      </c>
      <c r="E419" t="s">
        <v>5</v>
      </c>
      <c r="F419" t="s">
        <v>89</v>
      </c>
      <c r="G419">
        <v>19</v>
      </c>
      <c r="I419" t="str">
        <f t="shared" si="25"/>
        <v>CoStep1StanceTimeT19</v>
      </c>
      <c r="K419" t="s">
        <v>514</v>
      </c>
      <c r="M419" s="33" t="s">
        <v>89</v>
      </c>
      <c r="N419">
        <v>30</v>
      </c>
      <c r="P419" t="str">
        <f t="shared" si="23"/>
        <v>T30</v>
      </c>
      <c r="R419" t="s">
        <v>79</v>
      </c>
    </row>
    <row r="420" spans="1:18" x14ac:dyDescent="0.2">
      <c r="A420" s="33" t="s">
        <v>48</v>
      </c>
      <c r="B420" t="s">
        <v>82</v>
      </c>
      <c r="C420">
        <v>2</v>
      </c>
      <c r="D420" t="s">
        <v>80</v>
      </c>
      <c r="E420" t="s">
        <v>81</v>
      </c>
      <c r="F420" t="s">
        <v>89</v>
      </c>
      <c r="G420">
        <v>19</v>
      </c>
      <c r="I420" t="str">
        <f t="shared" si="25"/>
        <v>CoStep2StepLengthSwingsideT19</v>
      </c>
      <c r="K420" t="s">
        <v>515</v>
      </c>
      <c r="M420" s="33" t="s">
        <v>90</v>
      </c>
      <c r="N420">
        <v>55</v>
      </c>
      <c r="P420" t="str">
        <f t="shared" si="23"/>
        <v>B55</v>
      </c>
      <c r="R420" t="s">
        <v>56</v>
      </c>
    </row>
    <row r="421" spans="1:18" x14ac:dyDescent="0.2">
      <c r="A421" s="33" t="s">
        <v>48</v>
      </c>
      <c r="B421" t="s">
        <v>82</v>
      </c>
      <c r="C421">
        <v>2</v>
      </c>
      <c r="D421" t="s">
        <v>80</v>
      </c>
      <c r="E421" t="s">
        <v>4</v>
      </c>
      <c r="F421" t="s">
        <v>89</v>
      </c>
      <c r="G421">
        <v>19</v>
      </c>
      <c r="I421" t="str">
        <f t="shared" si="25"/>
        <v>CoStep2StepLengthDistanceT19</v>
      </c>
      <c r="K421" t="s">
        <v>516</v>
      </c>
      <c r="M421" s="33" t="s">
        <v>91</v>
      </c>
      <c r="N421">
        <v>55</v>
      </c>
      <c r="P421" t="str">
        <f t="shared" si="23"/>
        <v>E55</v>
      </c>
      <c r="R421" t="s">
        <v>57</v>
      </c>
    </row>
    <row r="422" spans="1:18" x14ac:dyDescent="0.2">
      <c r="A422" s="33" t="s">
        <v>48</v>
      </c>
      <c r="B422" t="s">
        <v>82</v>
      </c>
      <c r="C422">
        <v>2</v>
      </c>
      <c r="D422" t="s">
        <v>82</v>
      </c>
      <c r="E422" t="s">
        <v>5</v>
      </c>
      <c r="F422" t="s">
        <v>89</v>
      </c>
      <c r="G422">
        <v>19</v>
      </c>
      <c r="I422" t="str">
        <f t="shared" si="25"/>
        <v>CoStep2StepTimeT19</v>
      </c>
      <c r="K422" t="s">
        <v>517</v>
      </c>
      <c r="M422" s="33" t="s">
        <v>92</v>
      </c>
      <c r="N422">
        <v>55</v>
      </c>
      <c r="P422" t="str">
        <f t="shared" si="23"/>
        <v>J55</v>
      </c>
      <c r="R422" t="s">
        <v>58</v>
      </c>
    </row>
    <row r="423" spans="1:18" x14ac:dyDescent="0.2">
      <c r="A423" s="33" t="s">
        <v>48</v>
      </c>
      <c r="B423" t="s">
        <v>82</v>
      </c>
      <c r="C423">
        <v>2</v>
      </c>
      <c r="D423" t="s">
        <v>83</v>
      </c>
      <c r="E423" t="s">
        <v>5</v>
      </c>
      <c r="F423" t="s">
        <v>89</v>
      </c>
      <c r="G423">
        <v>19</v>
      </c>
      <c r="I423" t="str">
        <f t="shared" si="25"/>
        <v>CoStep2DoubleSupportTimeT19</v>
      </c>
      <c r="K423" t="s">
        <v>518</v>
      </c>
      <c r="M423" s="33" t="s">
        <v>93</v>
      </c>
      <c r="N423">
        <v>55</v>
      </c>
      <c r="P423" t="str">
        <f t="shared" si="23"/>
        <v>O55</v>
      </c>
      <c r="R423" t="s">
        <v>59</v>
      </c>
    </row>
    <row r="424" spans="1:18" x14ac:dyDescent="0.2">
      <c r="A424" s="33" t="s">
        <v>48</v>
      </c>
      <c r="B424" t="s">
        <v>82</v>
      </c>
      <c r="C424">
        <v>2</v>
      </c>
      <c r="D424" t="s">
        <v>84</v>
      </c>
      <c r="E424" t="s">
        <v>5</v>
      </c>
      <c r="F424" t="s">
        <v>89</v>
      </c>
      <c r="G424">
        <v>19</v>
      </c>
      <c r="I424" t="str">
        <f t="shared" si="25"/>
        <v>CoStep2StanceTimeT19</v>
      </c>
      <c r="K424" t="s">
        <v>519</v>
      </c>
      <c r="M424" s="33" t="s">
        <v>89</v>
      </c>
      <c r="N424">
        <v>55</v>
      </c>
      <c r="P424" t="str">
        <f t="shared" si="23"/>
        <v>T55</v>
      </c>
      <c r="R424" t="s">
        <v>94</v>
      </c>
    </row>
    <row r="425" spans="1:18" x14ac:dyDescent="0.2">
      <c r="A425" s="33" t="s">
        <v>48</v>
      </c>
      <c r="B425" t="s">
        <v>82</v>
      </c>
      <c r="C425">
        <v>3</v>
      </c>
      <c r="D425" t="s">
        <v>80</v>
      </c>
      <c r="E425" t="s">
        <v>81</v>
      </c>
      <c r="F425" t="s">
        <v>89</v>
      </c>
      <c r="G425">
        <v>19</v>
      </c>
      <c r="I425" t="str">
        <f t="shared" si="25"/>
        <v>CoStep3StepLengthSwingsideT19</v>
      </c>
      <c r="K425" t="s">
        <v>520</v>
      </c>
      <c r="M425" s="33" t="s">
        <v>90</v>
      </c>
      <c r="N425">
        <v>80</v>
      </c>
      <c r="P425" t="str">
        <f t="shared" si="23"/>
        <v>B80</v>
      </c>
      <c r="R425" t="s">
        <v>60</v>
      </c>
    </row>
    <row r="426" spans="1:18" x14ac:dyDescent="0.2">
      <c r="A426" s="33" t="s">
        <v>48</v>
      </c>
      <c r="B426" t="s">
        <v>82</v>
      </c>
      <c r="C426">
        <v>3</v>
      </c>
      <c r="D426" t="s">
        <v>80</v>
      </c>
      <c r="E426" t="s">
        <v>4</v>
      </c>
      <c r="F426" t="s">
        <v>89</v>
      </c>
      <c r="G426">
        <v>19</v>
      </c>
      <c r="I426" t="str">
        <f t="shared" si="25"/>
        <v>CoStep3StepLengthDistanceT19</v>
      </c>
      <c r="K426" t="s">
        <v>521</v>
      </c>
      <c r="M426" s="33" t="s">
        <v>91</v>
      </c>
      <c r="N426">
        <v>80</v>
      </c>
      <c r="P426" t="str">
        <f t="shared" si="23"/>
        <v>E80</v>
      </c>
      <c r="R426" t="s">
        <v>61</v>
      </c>
    </row>
    <row r="427" spans="1:18" x14ac:dyDescent="0.2">
      <c r="A427" s="33" t="s">
        <v>48</v>
      </c>
      <c r="B427" t="s">
        <v>82</v>
      </c>
      <c r="C427">
        <v>3</v>
      </c>
      <c r="D427" t="s">
        <v>82</v>
      </c>
      <c r="E427" t="s">
        <v>5</v>
      </c>
      <c r="F427" t="s">
        <v>89</v>
      </c>
      <c r="G427">
        <v>19</v>
      </c>
      <c r="I427" t="str">
        <f t="shared" si="25"/>
        <v>CoStep3StepTimeT19</v>
      </c>
      <c r="K427" t="s">
        <v>522</v>
      </c>
      <c r="M427" s="33" t="s">
        <v>92</v>
      </c>
      <c r="N427">
        <v>80</v>
      </c>
      <c r="P427" t="str">
        <f t="shared" si="23"/>
        <v>J80</v>
      </c>
      <c r="R427" t="s">
        <v>62</v>
      </c>
    </row>
    <row r="428" spans="1:18" x14ac:dyDescent="0.2">
      <c r="A428" s="33" t="s">
        <v>48</v>
      </c>
      <c r="B428" t="s">
        <v>82</v>
      </c>
      <c r="C428">
        <v>3</v>
      </c>
      <c r="D428" t="s">
        <v>83</v>
      </c>
      <c r="E428" t="s">
        <v>5</v>
      </c>
      <c r="F428" t="s">
        <v>89</v>
      </c>
      <c r="G428">
        <v>19</v>
      </c>
      <c r="I428" t="str">
        <f t="shared" si="25"/>
        <v>CoStep3DoubleSupportTimeT19</v>
      </c>
      <c r="K428" t="s">
        <v>523</v>
      </c>
      <c r="M428" s="33" t="s">
        <v>93</v>
      </c>
      <c r="N428">
        <v>80</v>
      </c>
      <c r="P428" t="str">
        <f t="shared" si="23"/>
        <v>O80</v>
      </c>
      <c r="R428" t="s">
        <v>63</v>
      </c>
    </row>
    <row r="429" spans="1:18" x14ac:dyDescent="0.2">
      <c r="A429" s="33" t="s">
        <v>48</v>
      </c>
      <c r="B429" t="s">
        <v>82</v>
      </c>
      <c r="C429">
        <v>3</v>
      </c>
      <c r="D429" t="s">
        <v>84</v>
      </c>
      <c r="E429" t="s">
        <v>5</v>
      </c>
      <c r="F429" t="s">
        <v>89</v>
      </c>
      <c r="G429">
        <v>19</v>
      </c>
      <c r="I429" t="str">
        <f t="shared" si="25"/>
        <v>CoStep3StanceTimeT19</v>
      </c>
      <c r="K429" t="s">
        <v>524</v>
      </c>
      <c r="M429" s="33" t="s">
        <v>89</v>
      </c>
      <c r="N429">
        <v>80</v>
      </c>
      <c r="P429" t="str">
        <f t="shared" si="23"/>
        <v>T80</v>
      </c>
      <c r="R429" t="s">
        <v>95</v>
      </c>
    </row>
    <row r="430" spans="1:18" x14ac:dyDescent="0.2">
      <c r="A430" s="33" t="s">
        <v>48</v>
      </c>
      <c r="B430" t="s">
        <v>85</v>
      </c>
      <c r="C430">
        <v>1</v>
      </c>
      <c r="D430" t="s">
        <v>86</v>
      </c>
      <c r="E430" t="s">
        <v>87</v>
      </c>
      <c r="F430" t="s">
        <v>89</v>
      </c>
      <c r="G430">
        <v>19</v>
      </c>
      <c r="I430" t="str">
        <f t="shared" si="25"/>
        <v>CoStride1StrideLengthSide0%T19</v>
      </c>
      <c r="K430" t="s">
        <v>525</v>
      </c>
      <c r="M430" s="33" t="s">
        <v>90</v>
      </c>
      <c r="N430">
        <v>105</v>
      </c>
      <c r="P430" t="str">
        <f t="shared" si="23"/>
        <v>B105</v>
      </c>
      <c r="R430" t="s">
        <v>64</v>
      </c>
    </row>
    <row r="431" spans="1:18" x14ac:dyDescent="0.2">
      <c r="A431" s="33" t="s">
        <v>48</v>
      </c>
      <c r="B431" t="s">
        <v>85</v>
      </c>
      <c r="C431">
        <v>1</v>
      </c>
      <c r="D431" t="s">
        <v>86</v>
      </c>
      <c r="E431" t="s">
        <v>4</v>
      </c>
      <c r="F431" t="s">
        <v>89</v>
      </c>
      <c r="G431">
        <v>19</v>
      </c>
      <c r="I431" t="str">
        <f t="shared" si="25"/>
        <v>CoStride1StrideLengthDistanceT19</v>
      </c>
      <c r="K431" t="s">
        <v>526</v>
      </c>
      <c r="M431" s="33" t="s">
        <v>91</v>
      </c>
      <c r="N431">
        <v>105</v>
      </c>
      <c r="P431" t="str">
        <f t="shared" si="23"/>
        <v>E105</v>
      </c>
      <c r="R431" t="s">
        <v>65</v>
      </c>
    </row>
    <row r="432" spans="1:18" x14ac:dyDescent="0.2">
      <c r="A432" s="33" t="s">
        <v>48</v>
      </c>
      <c r="B432" t="s">
        <v>85</v>
      </c>
      <c r="C432">
        <v>1</v>
      </c>
      <c r="D432" t="s">
        <v>85</v>
      </c>
      <c r="E432" t="s">
        <v>5</v>
      </c>
      <c r="F432" t="s">
        <v>89</v>
      </c>
      <c r="G432">
        <v>19</v>
      </c>
      <c r="I432" t="str">
        <f t="shared" si="25"/>
        <v>CoStride1StrideTimeT19</v>
      </c>
      <c r="K432" t="s">
        <v>527</v>
      </c>
      <c r="M432" s="33" t="s">
        <v>92</v>
      </c>
      <c r="N432">
        <v>105</v>
      </c>
      <c r="P432" t="str">
        <f t="shared" si="23"/>
        <v>J105</v>
      </c>
      <c r="R432" t="s">
        <v>66</v>
      </c>
    </row>
    <row r="433" spans="1:18" x14ac:dyDescent="0.2">
      <c r="A433" s="33" t="s">
        <v>48</v>
      </c>
      <c r="B433" t="s">
        <v>85</v>
      </c>
      <c r="C433">
        <v>1</v>
      </c>
      <c r="D433" t="s">
        <v>88</v>
      </c>
      <c r="E433" t="s">
        <v>5</v>
      </c>
      <c r="F433" t="s">
        <v>89</v>
      </c>
      <c r="G433">
        <v>19</v>
      </c>
      <c r="I433" t="str">
        <f t="shared" si="25"/>
        <v>CoStride1SwingTimeT19</v>
      </c>
      <c r="K433" t="s">
        <v>528</v>
      </c>
      <c r="M433" s="33" t="s">
        <v>93</v>
      </c>
      <c r="N433">
        <v>105</v>
      </c>
      <c r="P433" t="str">
        <f t="shared" si="23"/>
        <v>O105</v>
      </c>
      <c r="R433" t="s">
        <v>67</v>
      </c>
    </row>
    <row r="434" spans="1:18" x14ac:dyDescent="0.2">
      <c r="A434" s="33" t="s">
        <v>48</v>
      </c>
      <c r="B434" t="s">
        <v>85</v>
      </c>
      <c r="C434">
        <v>2</v>
      </c>
      <c r="D434" t="s">
        <v>86</v>
      </c>
      <c r="E434" t="s">
        <v>87</v>
      </c>
      <c r="F434" t="s">
        <v>89</v>
      </c>
      <c r="G434">
        <v>19</v>
      </c>
      <c r="I434" t="str">
        <f t="shared" si="25"/>
        <v>CoStride2StrideLengthSide0%T19</v>
      </c>
      <c r="K434" t="s">
        <v>529</v>
      </c>
      <c r="M434" s="33" t="s">
        <v>90</v>
      </c>
      <c r="N434">
        <v>130</v>
      </c>
      <c r="P434" t="str">
        <f t="shared" si="23"/>
        <v>B130</v>
      </c>
      <c r="R434" t="s">
        <v>68</v>
      </c>
    </row>
    <row r="435" spans="1:18" x14ac:dyDescent="0.2">
      <c r="A435" s="33" t="s">
        <v>48</v>
      </c>
      <c r="B435" t="s">
        <v>85</v>
      </c>
      <c r="C435">
        <v>2</v>
      </c>
      <c r="D435" t="s">
        <v>86</v>
      </c>
      <c r="E435" t="s">
        <v>4</v>
      </c>
      <c r="F435" t="s">
        <v>89</v>
      </c>
      <c r="G435">
        <v>19</v>
      </c>
      <c r="I435" t="str">
        <f t="shared" si="25"/>
        <v>CoStride2StrideLengthDistanceT19</v>
      </c>
      <c r="K435" t="s">
        <v>530</v>
      </c>
      <c r="M435" s="33" t="s">
        <v>91</v>
      </c>
      <c r="N435">
        <v>130</v>
      </c>
      <c r="P435" t="str">
        <f t="shared" si="23"/>
        <v>E130</v>
      </c>
      <c r="R435" t="s">
        <v>69</v>
      </c>
    </row>
    <row r="436" spans="1:18" x14ac:dyDescent="0.2">
      <c r="A436" s="33" t="s">
        <v>48</v>
      </c>
      <c r="B436" t="s">
        <v>85</v>
      </c>
      <c r="C436">
        <v>2</v>
      </c>
      <c r="D436" t="s">
        <v>85</v>
      </c>
      <c r="E436" t="s">
        <v>5</v>
      </c>
      <c r="F436" t="s">
        <v>89</v>
      </c>
      <c r="G436">
        <v>19</v>
      </c>
      <c r="I436" t="str">
        <f t="shared" si="25"/>
        <v>CoStride2StrideTimeT19</v>
      </c>
      <c r="K436" t="s">
        <v>531</v>
      </c>
      <c r="M436" s="33" t="s">
        <v>92</v>
      </c>
      <c r="N436">
        <v>130</v>
      </c>
      <c r="P436" t="str">
        <f t="shared" si="23"/>
        <v>J130</v>
      </c>
      <c r="R436" t="s">
        <v>70</v>
      </c>
    </row>
    <row r="437" spans="1:18" x14ac:dyDescent="0.2">
      <c r="A437" s="33" t="s">
        <v>48</v>
      </c>
      <c r="B437" t="s">
        <v>85</v>
      </c>
      <c r="C437">
        <v>2</v>
      </c>
      <c r="D437" t="s">
        <v>88</v>
      </c>
      <c r="E437" t="s">
        <v>5</v>
      </c>
      <c r="F437" t="s">
        <v>89</v>
      </c>
      <c r="G437">
        <v>19</v>
      </c>
      <c r="I437" t="str">
        <f t="shared" si="25"/>
        <v>CoStride2SwingTimeT19</v>
      </c>
      <c r="K437" t="s">
        <v>532</v>
      </c>
      <c r="M437" s="33" t="s">
        <v>93</v>
      </c>
      <c r="N437">
        <v>130</v>
      </c>
      <c r="P437" t="str">
        <f t="shared" si="23"/>
        <v>O130</v>
      </c>
      <c r="R437" t="s">
        <v>71</v>
      </c>
    </row>
    <row r="438" spans="1:18" x14ac:dyDescent="0.2">
      <c r="A438" s="33" t="s">
        <v>48</v>
      </c>
      <c r="B438" t="s">
        <v>82</v>
      </c>
      <c r="C438">
        <v>1</v>
      </c>
      <c r="D438" t="s">
        <v>80</v>
      </c>
      <c r="E438" t="s">
        <v>81</v>
      </c>
      <c r="F438" t="s">
        <v>89</v>
      </c>
      <c r="G438">
        <v>20</v>
      </c>
      <c r="I438" t="str">
        <f>A438&amp;B438&amp;C438&amp;D438&amp;E438&amp;F438&amp;G438</f>
        <v>CoStep1StepLengthSwingsideT20</v>
      </c>
      <c r="K438" t="s">
        <v>533</v>
      </c>
      <c r="M438" s="33" t="s">
        <v>90</v>
      </c>
      <c r="N438">
        <v>30</v>
      </c>
      <c r="P438" t="str">
        <f t="shared" si="23"/>
        <v>B30</v>
      </c>
      <c r="R438" t="s">
        <v>52</v>
      </c>
    </row>
    <row r="439" spans="1:18" x14ac:dyDescent="0.2">
      <c r="A439" s="33" t="s">
        <v>48</v>
      </c>
      <c r="B439" t="s">
        <v>82</v>
      </c>
      <c r="C439">
        <v>1</v>
      </c>
      <c r="D439" t="s">
        <v>80</v>
      </c>
      <c r="E439" t="s">
        <v>4</v>
      </c>
      <c r="F439" t="s">
        <v>89</v>
      </c>
      <c r="G439">
        <v>20</v>
      </c>
      <c r="I439" t="str">
        <f t="shared" ref="I439:I502" si="26">A439&amp;B439&amp;C439&amp;D439&amp;E439&amp;F439&amp;G439</f>
        <v>CoStep1StepLengthDistanceT20</v>
      </c>
      <c r="K439" t="s">
        <v>534</v>
      </c>
      <c r="M439" s="33" t="s">
        <v>91</v>
      </c>
      <c r="N439">
        <v>30</v>
      </c>
      <c r="P439" t="str">
        <f t="shared" si="23"/>
        <v>E30</v>
      </c>
      <c r="R439" t="s">
        <v>53</v>
      </c>
    </row>
    <row r="440" spans="1:18" x14ac:dyDescent="0.2">
      <c r="A440" s="33" t="s">
        <v>48</v>
      </c>
      <c r="B440" t="s">
        <v>82</v>
      </c>
      <c r="C440">
        <v>1</v>
      </c>
      <c r="D440" t="s">
        <v>82</v>
      </c>
      <c r="E440" t="s">
        <v>5</v>
      </c>
      <c r="F440" t="s">
        <v>89</v>
      </c>
      <c r="G440">
        <v>20</v>
      </c>
      <c r="I440" t="str">
        <f t="shared" si="26"/>
        <v>CoStep1StepTimeT20</v>
      </c>
      <c r="K440" t="s">
        <v>535</v>
      </c>
      <c r="M440" s="33" t="s">
        <v>92</v>
      </c>
      <c r="N440">
        <v>30</v>
      </c>
      <c r="P440" t="str">
        <f t="shared" si="23"/>
        <v>J30</v>
      </c>
      <c r="R440" t="s">
        <v>54</v>
      </c>
    </row>
    <row r="441" spans="1:18" x14ac:dyDescent="0.2">
      <c r="A441" s="33" t="s">
        <v>48</v>
      </c>
      <c r="B441" t="s">
        <v>82</v>
      </c>
      <c r="C441">
        <v>1</v>
      </c>
      <c r="D441" t="s">
        <v>83</v>
      </c>
      <c r="E441" t="s">
        <v>5</v>
      </c>
      <c r="F441" t="s">
        <v>89</v>
      </c>
      <c r="G441">
        <v>20</v>
      </c>
      <c r="I441" t="str">
        <f t="shared" si="26"/>
        <v>CoStep1DoubleSupportTimeT20</v>
      </c>
      <c r="K441" t="s">
        <v>536</v>
      </c>
      <c r="M441" s="33" t="s">
        <v>93</v>
      </c>
      <c r="N441">
        <v>30</v>
      </c>
      <c r="P441" t="str">
        <f t="shared" si="23"/>
        <v>O30</v>
      </c>
      <c r="R441" t="s">
        <v>55</v>
      </c>
    </row>
    <row r="442" spans="1:18" x14ac:dyDescent="0.2">
      <c r="A442" s="33" t="s">
        <v>48</v>
      </c>
      <c r="B442" t="s">
        <v>82</v>
      </c>
      <c r="C442">
        <v>1</v>
      </c>
      <c r="D442" t="s">
        <v>84</v>
      </c>
      <c r="E442" t="s">
        <v>5</v>
      </c>
      <c r="F442" t="s">
        <v>89</v>
      </c>
      <c r="G442">
        <v>20</v>
      </c>
      <c r="I442" t="str">
        <f t="shared" si="26"/>
        <v>CoStep1StanceTimeT20</v>
      </c>
      <c r="K442" t="s">
        <v>537</v>
      </c>
      <c r="M442" s="33" t="s">
        <v>89</v>
      </c>
      <c r="N442">
        <v>30</v>
      </c>
      <c r="P442" t="str">
        <f t="shared" si="23"/>
        <v>T30</v>
      </c>
      <c r="R442" t="s">
        <v>79</v>
      </c>
    </row>
    <row r="443" spans="1:18" x14ac:dyDescent="0.2">
      <c r="A443" s="33" t="s">
        <v>48</v>
      </c>
      <c r="B443" t="s">
        <v>82</v>
      </c>
      <c r="C443">
        <v>2</v>
      </c>
      <c r="D443" t="s">
        <v>80</v>
      </c>
      <c r="E443" t="s">
        <v>81</v>
      </c>
      <c r="F443" t="s">
        <v>89</v>
      </c>
      <c r="G443">
        <v>20</v>
      </c>
      <c r="I443" t="str">
        <f t="shared" si="26"/>
        <v>CoStep2StepLengthSwingsideT20</v>
      </c>
      <c r="K443" t="s">
        <v>538</v>
      </c>
      <c r="M443" s="33" t="s">
        <v>90</v>
      </c>
      <c r="N443">
        <v>55</v>
      </c>
      <c r="P443" t="str">
        <f t="shared" si="23"/>
        <v>B55</v>
      </c>
      <c r="R443" t="s">
        <v>56</v>
      </c>
    </row>
    <row r="444" spans="1:18" x14ac:dyDescent="0.2">
      <c r="A444" s="33" t="s">
        <v>48</v>
      </c>
      <c r="B444" t="s">
        <v>82</v>
      </c>
      <c r="C444">
        <v>2</v>
      </c>
      <c r="D444" t="s">
        <v>80</v>
      </c>
      <c r="E444" t="s">
        <v>4</v>
      </c>
      <c r="F444" t="s">
        <v>89</v>
      </c>
      <c r="G444">
        <v>20</v>
      </c>
      <c r="I444" t="str">
        <f t="shared" si="26"/>
        <v>CoStep2StepLengthDistanceT20</v>
      </c>
      <c r="K444" t="s">
        <v>539</v>
      </c>
      <c r="M444" s="33" t="s">
        <v>91</v>
      </c>
      <c r="N444">
        <v>55</v>
      </c>
      <c r="P444" t="str">
        <f t="shared" si="23"/>
        <v>E55</v>
      </c>
      <c r="R444" t="s">
        <v>57</v>
      </c>
    </row>
    <row r="445" spans="1:18" x14ac:dyDescent="0.2">
      <c r="A445" s="33" t="s">
        <v>48</v>
      </c>
      <c r="B445" t="s">
        <v>82</v>
      </c>
      <c r="C445">
        <v>2</v>
      </c>
      <c r="D445" t="s">
        <v>82</v>
      </c>
      <c r="E445" t="s">
        <v>5</v>
      </c>
      <c r="F445" t="s">
        <v>89</v>
      </c>
      <c r="G445">
        <v>20</v>
      </c>
      <c r="I445" t="str">
        <f t="shared" si="26"/>
        <v>CoStep2StepTimeT20</v>
      </c>
      <c r="K445" t="s">
        <v>540</v>
      </c>
      <c r="M445" s="33" t="s">
        <v>92</v>
      </c>
      <c r="N445">
        <v>55</v>
      </c>
      <c r="P445" t="str">
        <f t="shared" si="23"/>
        <v>J55</v>
      </c>
      <c r="R445" t="s">
        <v>58</v>
      </c>
    </row>
    <row r="446" spans="1:18" x14ac:dyDescent="0.2">
      <c r="A446" s="33" t="s">
        <v>48</v>
      </c>
      <c r="B446" t="s">
        <v>82</v>
      </c>
      <c r="C446">
        <v>2</v>
      </c>
      <c r="D446" t="s">
        <v>83</v>
      </c>
      <c r="E446" t="s">
        <v>5</v>
      </c>
      <c r="F446" t="s">
        <v>89</v>
      </c>
      <c r="G446">
        <v>20</v>
      </c>
      <c r="I446" t="str">
        <f t="shared" si="26"/>
        <v>CoStep2DoubleSupportTimeT20</v>
      </c>
      <c r="K446" t="s">
        <v>541</v>
      </c>
      <c r="M446" s="33" t="s">
        <v>93</v>
      </c>
      <c r="N446">
        <v>55</v>
      </c>
      <c r="P446" t="str">
        <f t="shared" si="23"/>
        <v>O55</v>
      </c>
      <c r="R446" t="s">
        <v>59</v>
      </c>
    </row>
    <row r="447" spans="1:18" x14ac:dyDescent="0.2">
      <c r="A447" s="33" t="s">
        <v>48</v>
      </c>
      <c r="B447" t="s">
        <v>82</v>
      </c>
      <c r="C447">
        <v>2</v>
      </c>
      <c r="D447" t="s">
        <v>84</v>
      </c>
      <c r="E447" t="s">
        <v>5</v>
      </c>
      <c r="F447" t="s">
        <v>89</v>
      </c>
      <c r="G447">
        <v>20</v>
      </c>
      <c r="I447" t="str">
        <f t="shared" si="26"/>
        <v>CoStep2StanceTimeT20</v>
      </c>
      <c r="K447" t="s">
        <v>542</v>
      </c>
      <c r="M447" s="33" t="s">
        <v>89</v>
      </c>
      <c r="N447">
        <v>55</v>
      </c>
      <c r="P447" t="str">
        <f t="shared" si="23"/>
        <v>T55</v>
      </c>
      <c r="R447" t="s">
        <v>94</v>
      </c>
    </row>
    <row r="448" spans="1:18" x14ac:dyDescent="0.2">
      <c r="A448" s="33" t="s">
        <v>48</v>
      </c>
      <c r="B448" t="s">
        <v>82</v>
      </c>
      <c r="C448">
        <v>3</v>
      </c>
      <c r="D448" t="s">
        <v>80</v>
      </c>
      <c r="E448" t="s">
        <v>81</v>
      </c>
      <c r="F448" t="s">
        <v>89</v>
      </c>
      <c r="G448">
        <v>20</v>
      </c>
      <c r="I448" t="str">
        <f t="shared" si="26"/>
        <v>CoStep3StepLengthSwingsideT20</v>
      </c>
      <c r="K448" t="s">
        <v>543</v>
      </c>
      <c r="M448" s="33" t="s">
        <v>90</v>
      </c>
      <c r="N448">
        <v>80</v>
      </c>
      <c r="P448" t="str">
        <f t="shared" si="23"/>
        <v>B80</v>
      </c>
      <c r="R448" t="s">
        <v>60</v>
      </c>
    </row>
    <row r="449" spans="1:18" x14ac:dyDescent="0.2">
      <c r="A449" s="33" t="s">
        <v>48</v>
      </c>
      <c r="B449" t="s">
        <v>82</v>
      </c>
      <c r="C449">
        <v>3</v>
      </c>
      <c r="D449" t="s">
        <v>80</v>
      </c>
      <c r="E449" t="s">
        <v>4</v>
      </c>
      <c r="F449" t="s">
        <v>89</v>
      </c>
      <c r="G449">
        <v>20</v>
      </c>
      <c r="I449" t="str">
        <f t="shared" si="26"/>
        <v>CoStep3StepLengthDistanceT20</v>
      </c>
      <c r="K449" t="s">
        <v>544</v>
      </c>
      <c r="M449" s="33" t="s">
        <v>91</v>
      </c>
      <c r="N449">
        <v>80</v>
      </c>
      <c r="P449" t="str">
        <f t="shared" si="23"/>
        <v>E80</v>
      </c>
      <c r="R449" t="s">
        <v>61</v>
      </c>
    </row>
    <row r="450" spans="1:18" x14ac:dyDescent="0.2">
      <c r="A450" s="33" t="s">
        <v>48</v>
      </c>
      <c r="B450" t="s">
        <v>82</v>
      </c>
      <c r="C450">
        <v>3</v>
      </c>
      <c r="D450" t="s">
        <v>82</v>
      </c>
      <c r="E450" t="s">
        <v>5</v>
      </c>
      <c r="F450" t="s">
        <v>89</v>
      </c>
      <c r="G450">
        <v>20</v>
      </c>
      <c r="I450" t="str">
        <f t="shared" si="26"/>
        <v>CoStep3StepTimeT20</v>
      </c>
      <c r="K450" t="s">
        <v>545</v>
      </c>
      <c r="M450" s="33" t="s">
        <v>92</v>
      </c>
      <c r="N450">
        <v>80</v>
      </c>
      <c r="P450" t="str">
        <f t="shared" ref="P450:P513" si="27">M450&amp;N450</f>
        <v>J80</v>
      </c>
      <c r="R450" t="s">
        <v>62</v>
      </c>
    </row>
    <row r="451" spans="1:18" x14ac:dyDescent="0.2">
      <c r="A451" s="33" t="s">
        <v>48</v>
      </c>
      <c r="B451" t="s">
        <v>82</v>
      </c>
      <c r="C451">
        <v>3</v>
      </c>
      <c r="D451" t="s">
        <v>83</v>
      </c>
      <c r="E451" t="s">
        <v>5</v>
      </c>
      <c r="F451" t="s">
        <v>89</v>
      </c>
      <c r="G451">
        <v>20</v>
      </c>
      <c r="I451" t="str">
        <f t="shared" si="26"/>
        <v>CoStep3DoubleSupportTimeT20</v>
      </c>
      <c r="K451" t="s">
        <v>546</v>
      </c>
      <c r="M451" s="33" t="s">
        <v>93</v>
      </c>
      <c r="N451">
        <v>80</v>
      </c>
      <c r="P451" t="str">
        <f t="shared" si="27"/>
        <v>O80</v>
      </c>
      <c r="R451" t="s">
        <v>63</v>
      </c>
    </row>
    <row r="452" spans="1:18" x14ac:dyDescent="0.2">
      <c r="A452" s="33" t="s">
        <v>48</v>
      </c>
      <c r="B452" t="s">
        <v>82</v>
      </c>
      <c r="C452">
        <v>3</v>
      </c>
      <c r="D452" t="s">
        <v>84</v>
      </c>
      <c r="E452" t="s">
        <v>5</v>
      </c>
      <c r="F452" t="s">
        <v>89</v>
      </c>
      <c r="G452">
        <v>20</v>
      </c>
      <c r="I452" t="str">
        <f t="shared" si="26"/>
        <v>CoStep3StanceTimeT20</v>
      </c>
      <c r="K452" t="s">
        <v>547</v>
      </c>
      <c r="M452" s="33" t="s">
        <v>89</v>
      </c>
      <c r="N452">
        <v>80</v>
      </c>
      <c r="P452" t="str">
        <f t="shared" si="27"/>
        <v>T80</v>
      </c>
      <c r="R452" t="s">
        <v>95</v>
      </c>
    </row>
    <row r="453" spans="1:18" x14ac:dyDescent="0.2">
      <c r="A453" s="33" t="s">
        <v>48</v>
      </c>
      <c r="B453" t="s">
        <v>85</v>
      </c>
      <c r="C453">
        <v>1</v>
      </c>
      <c r="D453" t="s">
        <v>86</v>
      </c>
      <c r="E453" t="s">
        <v>87</v>
      </c>
      <c r="F453" t="s">
        <v>89</v>
      </c>
      <c r="G453">
        <v>20</v>
      </c>
      <c r="I453" t="str">
        <f t="shared" si="26"/>
        <v>CoStride1StrideLengthSide0%T20</v>
      </c>
      <c r="K453" t="s">
        <v>548</v>
      </c>
      <c r="M453" s="33" t="s">
        <v>90</v>
      </c>
      <c r="N453">
        <v>105</v>
      </c>
      <c r="P453" t="str">
        <f t="shared" si="27"/>
        <v>B105</v>
      </c>
      <c r="R453" t="s">
        <v>64</v>
      </c>
    </row>
    <row r="454" spans="1:18" x14ac:dyDescent="0.2">
      <c r="A454" s="33" t="s">
        <v>48</v>
      </c>
      <c r="B454" t="s">
        <v>85</v>
      </c>
      <c r="C454">
        <v>1</v>
      </c>
      <c r="D454" t="s">
        <v>86</v>
      </c>
      <c r="E454" t="s">
        <v>4</v>
      </c>
      <c r="F454" t="s">
        <v>89</v>
      </c>
      <c r="G454">
        <v>20</v>
      </c>
      <c r="I454" t="str">
        <f t="shared" si="26"/>
        <v>CoStride1StrideLengthDistanceT20</v>
      </c>
      <c r="K454" t="s">
        <v>549</v>
      </c>
      <c r="M454" s="33" t="s">
        <v>91</v>
      </c>
      <c r="N454">
        <v>105</v>
      </c>
      <c r="P454" t="str">
        <f t="shared" si="27"/>
        <v>E105</v>
      </c>
      <c r="R454" t="s">
        <v>65</v>
      </c>
    </row>
    <row r="455" spans="1:18" x14ac:dyDescent="0.2">
      <c r="A455" s="33" t="s">
        <v>48</v>
      </c>
      <c r="B455" t="s">
        <v>85</v>
      </c>
      <c r="C455">
        <v>1</v>
      </c>
      <c r="D455" t="s">
        <v>85</v>
      </c>
      <c r="E455" t="s">
        <v>5</v>
      </c>
      <c r="F455" t="s">
        <v>89</v>
      </c>
      <c r="G455">
        <v>20</v>
      </c>
      <c r="I455" t="str">
        <f t="shared" si="26"/>
        <v>CoStride1StrideTimeT20</v>
      </c>
      <c r="K455" t="s">
        <v>550</v>
      </c>
      <c r="M455" s="33" t="s">
        <v>92</v>
      </c>
      <c r="N455">
        <v>105</v>
      </c>
      <c r="P455" t="str">
        <f t="shared" si="27"/>
        <v>J105</v>
      </c>
      <c r="R455" t="s">
        <v>66</v>
      </c>
    </row>
    <row r="456" spans="1:18" x14ac:dyDescent="0.2">
      <c r="A456" s="33" t="s">
        <v>48</v>
      </c>
      <c r="B456" t="s">
        <v>85</v>
      </c>
      <c r="C456">
        <v>1</v>
      </c>
      <c r="D456" t="s">
        <v>88</v>
      </c>
      <c r="E456" t="s">
        <v>5</v>
      </c>
      <c r="F456" t="s">
        <v>89</v>
      </c>
      <c r="G456">
        <v>20</v>
      </c>
      <c r="I456" t="str">
        <f t="shared" si="26"/>
        <v>CoStride1SwingTimeT20</v>
      </c>
      <c r="K456" t="s">
        <v>551</v>
      </c>
      <c r="M456" s="33" t="s">
        <v>93</v>
      </c>
      <c r="N456">
        <v>105</v>
      </c>
      <c r="P456" t="str">
        <f t="shared" si="27"/>
        <v>O105</v>
      </c>
      <c r="R456" t="s">
        <v>67</v>
      </c>
    </row>
    <row r="457" spans="1:18" x14ac:dyDescent="0.2">
      <c r="A457" s="33" t="s">
        <v>48</v>
      </c>
      <c r="B457" t="s">
        <v>85</v>
      </c>
      <c r="C457">
        <v>2</v>
      </c>
      <c r="D457" t="s">
        <v>86</v>
      </c>
      <c r="E457" t="s">
        <v>87</v>
      </c>
      <c r="F457" t="s">
        <v>89</v>
      </c>
      <c r="G457">
        <v>20</v>
      </c>
      <c r="I457" t="str">
        <f t="shared" si="26"/>
        <v>CoStride2StrideLengthSide0%T20</v>
      </c>
      <c r="K457" t="s">
        <v>552</v>
      </c>
      <c r="M457" s="33" t="s">
        <v>90</v>
      </c>
      <c r="N457">
        <v>130</v>
      </c>
      <c r="P457" t="str">
        <f t="shared" si="27"/>
        <v>B130</v>
      </c>
      <c r="R457" t="s">
        <v>68</v>
      </c>
    </row>
    <row r="458" spans="1:18" x14ac:dyDescent="0.2">
      <c r="A458" s="33" t="s">
        <v>48</v>
      </c>
      <c r="B458" t="s">
        <v>85</v>
      </c>
      <c r="C458">
        <v>2</v>
      </c>
      <c r="D458" t="s">
        <v>86</v>
      </c>
      <c r="E458" t="s">
        <v>4</v>
      </c>
      <c r="F458" t="s">
        <v>89</v>
      </c>
      <c r="G458">
        <v>20</v>
      </c>
      <c r="I458" t="str">
        <f t="shared" si="26"/>
        <v>CoStride2StrideLengthDistanceT20</v>
      </c>
      <c r="K458" t="s">
        <v>553</v>
      </c>
      <c r="M458" s="33" t="s">
        <v>91</v>
      </c>
      <c r="N458">
        <v>130</v>
      </c>
      <c r="P458" t="str">
        <f t="shared" si="27"/>
        <v>E130</v>
      </c>
      <c r="R458" t="s">
        <v>69</v>
      </c>
    </row>
    <row r="459" spans="1:18" x14ac:dyDescent="0.2">
      <c r="A459" s="33" t="s">
        <v>48</v>
      </c>
      <c r="B459" t="s">
        <v>85</v>
      </c>
      <c r="C459">
        <v>2</v>
      </c>
      <c r="D459" t="s">
        <v>85</v>
      </c>
      <c r="E459" t="s">
        <v>5</v>
      </c>
      <c r="F459" t="s">
        <v>89</v>
      </c>
      <c r="G459">
        <v>20</v>
      </c>
      <c r="I459" t="str">
        <f t="shared" si="26"/>
        <v>CoStride2StrideTimeT20</v>
      </c>
      <c r="K459" t="s">
        <v>554</v>
      </c>
      <c r="M459" s="33" t="s">
        <v>92</v>
      </c>
      <c r="N459">
        <v>130</v>
      </c>
      <c r="P459" t="str">
        <f t="shared" si="27"/>
        <v>J130</v>
      </c>
      <c r="R459" t="s">
        <v>70</v>
      </c>
    </row>
    <row r="460" spans="1:18" x14ac:dyDescent="0.2">
      <c r="A460" s="33" t="s">
        <v>48</v>
      </c>
      <c r="B460" t="s">
        <v>85</v>
      </c>
      <c r="C460">
        <v>2</v>
      </c>
      <c r="D460" t="s">
        <v>88</v>
      </c>
      <c r="E460" t="s">
        <v>5</v>
      </c>
      <c r="F460" t="s">
        <v>89</v>
      </c>
      <c r="G460">
        <v>20</v>
      </c>
      <c r="I460" t="str">
        <f t="shared" si="26"/>
        <v>CoStride2SwingTimeT20</v>
      </c>
      <c r="K460" t="s">
        <v>555</v>
      </c>
      <c r="M460" s="33" t="s">
        <v>93</v>
      </c>
      <c r="N460">
        <v>130</v>
      </c>
      <c r="P460" t="str">
        <f t="shared" si="27"/>
        <v>O130</v>
      </c>
      <c r="R460" t="s">
        <v>71</v>
      </c>
    </row>
    <row r="461" spans="1:18" x14ac:dyDescent="0.2">
      <c r="A461" s="33" t="s">
        <v>48</v>
      </c>
      <c r="B461" s="33" t="s">
        <v>82</v>
      </c>
      <c r="C461">
        <v>1</v>
      </c>
      <c r="D461" s="33" t="s">
        <v>756</v>
      </c>
      <c r="F461" s="33" t="s">
        <v>89</v>
      </c>
      <c r="G461">
        <v>1</v>
      </c>
      <c r="I461" t="str">
        <f t="shared" si="26"/>
        <v>CoStep1WalkwayT1</v>
      </c>
      <c r="K461" t="s">
        <v>758</v>
      </c>
      <c r="M461" s="33" t="s">
        <v>818</v>
      </c>
      <c r="N461">
        <v>30</v>
      </c>
      <c r="P461" t="str">
        <f t="shared" si="27"/>
        <v>W30</v>
      </c>
      <c r="R461" t="s">
        <v>819</v>
      </c>
    </row>
    <row r="462" spans="1:18" x14ac:dyDescent="0.2">
      <c r="A462" s="33" t="s">
        <v>48</v>
      </c>
      <c r="B462" s="33" t="s">
        <v>82</v>
      </c>
      <c r="C462">
        <v>1</v>
      </c>
      <c r="D462" s="33" t="s">
        <v>756</v>
      </c>
      <c r="F462" s="33" t="s">
        <v>89</v>
      </c>
      <c r="G462">
        <v>2</v>
      </c>
      <c r="I462" t="str">
        <f t="shared" si="26"/>
        <v>CoStep1WalkwayT2</v>
      </c>
      <c r="K462" t="s">
        <v>759</v>
      </c>
      <c r="M462" s="33" t="s">
        <v>818</v>
      </c>
      <c r="N462">
        <v>30</v>
      </c>
      <c r="P462" t="str">
        <f t="shared" si="27"/>
        <v>W30</v>
      </c>
      <c r="R462" t="s">
        <v>819</v>
      </c>
    </row>
    <row r="463" spans="1:18" x14ac:dyDescent="0.2">
      <c r="A463" s="33" t="s">
        <v>48</v>
      </c>
      <c r="B463" s="33" t="s">
        <v>82</v>
      </c>
      <c r="C463">
        <v>1</v>
      </c>
      <c r="D463" s="33" t="s">
        <v>756</v>
      </c>
      <c r="F463" s="33" t="s">
        <v>89</v>
      </c>
      <c r="G463">
        <v>3</v>
      </c>
      <c r="I463" t="str">
        <f t="shared" si="26"/>
        <v>CoStep1WalkwayT3</v>
      </c>
      <c r="K463" t="s">
        <v>760</v>
      </c>
      <c r="M463" s="33" t="s">
        <v>818</v>
      </c>
      <c r="N463">
        <v>30</v>
      </c>
      <c r="P463" t="str">
        <f t="shared" si="27"/>
        <v>W30</v>
      </c>
      <c r="R463" t="s">
        <v>819</v>
      </c>
    </row>
    <row r="464" spans="1:18" x14ac:dyDescent="0.2">
      <c r="A464" s="33" t="s">
        <v>48</v>
      </c>
      <c r="B464" s="33" t="s">
        <v>82</v>
      </c>
      <c r="C464">
        <v>1</v>
      </c>
      <c r="D464" s="33" t="s">
        <v>756</v>
      </c>
      <c r="F464" s="33" t="s">
        <v>89</v>
      </c>
      <c r="G464">
        <v>4</v>
      </c>
      <c r="I464" t="str">
        <f t="shared" si="26"/>
        <v>CoStep1WalkwayT4</v>
      </c>
      <c r="K464" t="s">
        <v>761</v>
      </c>
      <c r="M464" s="33" t="s">
        <v>818</v>
      </c>
      <c r="N464">
        <v>30</v>
      </c>
      <c r="P464" t="str">
        <f t="shared" si="27"/>
        <v>W30</v>
      </c>
      <c r="R464" t="s">
        <v>819</v>
      </c>
    </row>
    <row r="465" spans="1:18" x14ac:dyDescent="0.2">
      <c r="A465" s="33" t="s">
        <v>48</v>
      </c>
      <c r="B465" s="33" t="s">
        <v>82</v>
      </c>
      <c r="C465">
        <v>1</v>
      </c>
      <c r="D465" s="33" t="s">
        <v>756</v>
      </c>
      <c r="F465" s="33" t="s">
        <v>89</v>
      </c>
      <c r="G465">
        <v>5</v>
      </c>
      <c r="I465" t="str">
        <f t="shared" si="26"/>
        <v>CoStep1WalkwayT5</v>
      </c>
      <c r="K465" t="s">
        <v>762</v>
      </c>
      <c r="M465" s="33" t="s">
        <v>818</v>
      </c>
      <c r="N465">
        <v>30</v>
      </c>
      <c r="P465" t="str">
        <f t="shared" si="27"/>
        <v>W30</v>
      </c>
      <c r="R465" t="s">
        <v>819</v>
      </c>
    </row>
    <row r="466" spans="1:18" x14ac:dyDescent="0.2">
      <c r="A466" s="33" t="s">
        <v>48</v>
      </c>
      <c r="B466" s="33" t="s">
        <v>82</v>
      </c>
      <c r="C466">
        <v>1</v>
      </c>
      <c r="D466" s="33" t="s">
        <v>756</v>
      </c>
      <c r="F466" s="33" t="s">
        <v>89</v>
      </c>
      <c r="G466">
        <v>6</v>
      </c>
      <c r="I466" t="str">
        <f t="shared" si="26"/>
        <v>CoStep1WalkwayT6</v>
      </c>
      <c r="K466" t="s">
        <v>763</v>
      </c>
      <c r="M466" s="33" t="s">
        <v>818</v>
      </c>
      <c r="N466">
        <v>30</v>
      </c>
      <c r="P466" t="str">
        <f t="shared" si="27"/>
        <v>W30</v>
      </c>
      <c r="R466" t="s">
        <v>819</v>
      </c>
    </row>
    <row r="467" spans="1:18" x14ac:dyDescent="0.2">
      <c r="A467" s="33" t="s">
        <v>48</v>
      </c>
      <c r="B467" s="33" t="s">
        <v>82</v>
      </c>
      <c r="C467">
        <v>1</v>
      </c>
      <c r="D467" s="33" t="s">
        <v>756</v>
      </c>
      <c r="F467" s="33" t="s">
        <v>89</v>
      </c>
      <c r="G467">
        <v>7</v>
      </c>
      <c r="I467" t="str">
        <f t="shared" si="26"/>
        <v>CoStep1WalkwayT7</v>
      </c>
      <c r="K467" t="s">
        <v>764</v>
      </c>
      <c r="M467" s="33" t="s">
        <v>818</v>
      </c>
      <c r="N467">
        <v>30</v>
      </c>
      <c r="P467" t="str">
        <f t="shared" si="27"/>
        <v>W30</v>
      </c>
      <c r="R467" t="s">
        <v>819</v>
      </c>
    </row>
    <row r="468" spans="1:18" x14ac:dyDescent="0.2">
      <c r="A468" s="33" t="s">
        <v>48</v>
      </c>
      <c r="B468" s="33" t="s">
        <v>82</v>
      </c>
      <c r="C468">
        <v>1</v>
      </c>
      <c r="D468" s="33" t="s">
        <v>756</v>
      </c>
      <c r="F468" s="33" t="s">
        <v>89</v>
      </c>
      <c r="G468">
        <v>8</v>
      </c>
      <c r="I468" t="str">
        <f t="shared" si="26"/>
        <v>CoStep1WalkwayT8</v>
      </c>
      <c r="K468" t="s">
        <v>765</v>
      </c>
      <c r="M468" s="33" t="s">
        <v>818</v>
      </c>
      <c r="N468">
        <v>30</v>
      </c>
      <c r="P468" t="str">
        <f t="shared" si="27"/>
        <v>W30</v>
      </c>
      <c r="R468" t="s">
        <v>819</v>
      </c>
    </row>
    <row r="469" spans="1:18" x14ac:dyDescent="0.2">
      <c r="A469" s="33" t="s">
        <v>48</v>
      </c>
      <c r="B469" s="33" t="s">
        <v>82</v>
      </c>
      <c r="C469">
        <v>1</v>
      </c>
      <c r="D469" s="33" t="s">
        <v>756</v>
      </c>
      <c r="F469" s="33" t="s">
        <v>89</v>
      </c>
      <c r="G469">
        <v>9</v>
      </c>
      <c r="I469" t="str">
        <f t="shared" si="26"/>
        <v>CoStep1WalkwayT9</v>
      </c>
      <c r="K469" t="s">
        <v>766</v>
      </c>
      <c r="M469" s="33" t="s">
        <v>818</v>
      </c>
      <c r="N469">
        <v>30</v>
      </c>
      <c r="P469" t="str">
        <f t="shared" si="27"/>
        <v>W30</v>
      </c>
      <c r="R469" t="s">
        <v>819</v>
      </c>
    </row>
    <row r="470" spans="1:18" x14ac:dyDescent="0.2">
      <c r="A470" s="33" t="s">
        <v>48</v>
      </c>
      <c r="B470" s="33" t="s">
        <v>82</v>
      </c>
      <c r="C470">
        <v>1</v>
      </c>
      <c r="D470" s="33" t="s">
        <v>756</v>
      </c>
      <c r="F470" s="33" t="s">
        <v>89</v>
      </c>
      <c r="G470">
        <v>10</v>
      </c>
      <c r="I470" t="str">
        <f t="shared" si="26"/>
        <v>CoStep1WalkwayT10</v>
      </c>
      <c r="K470" t="s">
        <v>767</v>
      </c>
      <c r="M470" s="33" t="s">
        <v>818</v>
      </c>
      <c r="N470">
        <v>30</v>
      </c>
      <c r="P470" t="str">
        <f t="shared" si="27"/>
        <v>W30</v>
      </c>
      <c r="R470" t="s">
        <v>819</v>
      </c>
    </row>
    <row r="471" spans="1:18" x14ac:dyDescent="0.2">
      <c r="A471" s="33" t="s">
        <v>48</v>
      </c>
      <c r="B471" s="33" t="s">
        <v>82</v>
      </c>
      <c r="C471">
        <v>1</v>
      </c>
      <c r="D471" s="33" t="s">
        <v>756</v>
      </c>
      <c r="F471" s="33" t="s">
        <v>89</v>
      </c>
      <c r="G471">
        <v>11</v>
      </c>
      <c r="I471" t="str">
        <f t="shared" si="26"/>
        <v>CoStep1WalkwayT11</v>
      </c>
      <c r="K471" t="s">
        <v>768</v>
      </c>
      <c r="M471" s="33" t="s">
        <v>818</v>
      </c>
      <c r="N471">
        <v>30</v>
      </c>
      <c r="P471" t="str">
        <f t="shared" si="27"/>
        <v>W30</v>
      </c>
      <c r="R471" t="s">
        <v>819</v>
      </c>
    </row>
    <row r="472" spans="1:18" x14ac:dyDescent="0.2">
      <c r="A472" s="33" t="s">
        <v>48</v>
      </c>
      <c r="B472" s="33" t="s">
        <v>82</v>
      </c>
      <c r="C472">
        <v>1</v>
      </c>
      <c r="D472" s="33" t="s">
        <v>756</v>
      </c>
      <c r="F472" s="33" t="s">
        <v>89</v>
      </c>
      <c r="G472">
        <v>12</v>
      </c>
      <c r="I472" t="str">
        <f t="shared" si="26"/>
        <v>CoStep1WalkwayT12</v>
      </c>
      <c r="K472" t="s">
        <v>769</v>
      </c>
      <c r="M472" s="33" t="s">
        <v>818</v>
      </c>
      <c r="N472">
        <v>30</v>
      </c>
      <c r="P472" t="str">
        <f t="shared" si="27"/>
        <v>W30</v>
      </c>
      <c r="R472" t="s">
        <v>819</v>
      </c>
    </row>
    <row r="473" spans="1:18" x14ac:dyDescent="0.2">
      <c r="A473" s="33" t="s">
        <v>48</v>
      </c>
      <c r="B473" s="33" t="s">
        <v>82</v>
      </c>
      <c r="C473">
        <v>1</v>
      </c>
      <c r="D473" s="33" t="s">
        <v>756</v>
      </c>
      <c r="F473" s="33" t="s">
        <v>89</v>
      </c>
      <c r="G473">
        <v>13</v>
      </c>
      <c r="I473" t="str">
        <f t="shared" si="26"/>
        <v>CoStep1WalkwayT13</v>
      </c>
      <c r="K473" t="s">
        <v>770</v>
      </c>
      <c r="M473" s="33" t="s">
        <v>818</v>
      </c>
      <c r="N473">
        <v>30</v>
      </c>
      <c r="P473" t="str">
        <f t="shared" si="27"/>
        <v>W30</v>
      </c>
      <c r="R473" t="s">
        <v>819</v>
      </c>
    </row>
    <row r="474" spans="1:18" x14ac:dyDescent="0.2">
      <c r="A474" s="33" t="s">
        <v>48</v>
      </c>
      <c r="B474" s="33" t="s">
        <v>82</v>
      </c>
      <c r="C474">
        <v>1</v>
      </c>
      <c r="D474" s="33" t="s">
        <v>756</v>
      </c>
      <c r="F474" s="33" t="s">
        <v>89</v>
      </c>
      <c r="G474">
        <v>14</v>
      </c>
      <c r="I474" t="str">
        <f t="shared" si="26"/>
        <v>CoStep1WalkwayT14</v>
      </c>
      <c r="K474" t="s">
        <v>771</v>
      </c>
      <c r="M474" s="33" t="s">
        <v>818</v>
      </c>
      <c r="N474">
        <v>30</v>
      </c>
      <c r="P474" t="str">
        <f t="shared" si="27"/>
        <v>W30</v>
      </c>
      <c r="R474" t="s">
        <v>819</v>
      </c>
    </row>
    <row r="475" spans="1:18" x14ac:dyDescent="0.2">
      <c r="A475" s="33" t="s">
        <v>48</v>
      </c>
      <c r="B475" s="33" t="s">
        <v>82</v>
      </c>
      <c r="C475">
        <v>1</v>
      </c>
      <c r="D475" s="33" t="s">
        <v>756</v>
      </c>
      <c r="F475" s="33" t="s">
        <v>89</v>
      </c>
      <c r="G475">
        <v>15</v>
      </c>
      <c r="I475" t="str">
        <f t="shared" si="26"/>
        <v>CoStep1WalkwayT15</v>
      </c>
      <c r="K475" t="s">
        <v>772</v>
      </c>
      <c r="M475" s="33" t="s">
        <v>818</v>
      </c>
      <c r="N475">
        <v>30</v>
      </c>
      <c r="P475" t="str">
        <f t="shared" si="27"/>
        <v>W30</v>
      </c>
      <c r="R475" t="s">
        <v>819</v>
      </c>
    </row>
    <row r="476" spans="1:18" x14ac:dyDescent="0.2">
      <c r="A476" s="33" t="s">
        <v>48</v>
      </c>
      <c r="B476" s="33" t="s">
        <v>82</v>
      </c>
      <c r="C476">
        <v>1</v>
      </c>
      <c r="D476" s="33" t="s">
        <v>756</v>
      </c>
      <c r="F476" s="33" t="s">
        <v>89</v>
      </c>
      <c r="G476">
        <v>16</v>
      </c>
      <c r="I476" t="str">
        <f t="shared" si="26"/>
        <v>CoStep1WalkwayT16</v>
      </c>
      <c r="K476" t="s">
        <v>773</v>
      </c>
      <c r="M476" s="33" t="s">
        <v>818</v>
      </c>
      <c r="N476">
        <v>30</v>
      </c>
      <c r="P476" t="str">
        <f t="shared" si="27"/>
        <v>W30</v>
      </c>
      <c r="R476" t="s">
        <v>819</v>
      </c>
    </row>
    <row r="477" spans="1:18" x14ac:dyDescent="0.2">
      <c r="A477" s="33" t="s">
        <v>48</v>
      </c>
      <c r="B477" s="33" t="s">
        <v>82</v>
      </c>
      <c r="C477">
        <v>1</v>
      </c>
      <c r="D477" s="33" t="s">
        <v>756</v>
      </c>
      <c r="F477" s="33" t="s">
        <v>89</v>
      </c>
      <c r="G477">
        <v>17</v>
      </c>
      <c r="I477" t="str">
        <f t="shared" si="26"/>
        <v>CoStep1WalkwayT17</v>
      </c>
      <c r="K477" t="s">
        <v>774</v>
      </c>
      <c r="M477" s="33" t="s">
        <v>818</v>
      </c>
      <c r="N477">
        <v>30</v>
      </c>
      <c r="P477" t="str">
        <f t="shared" si="27"/>
        <v>W30</v>
      </c>
      <c r="R477" t="s">
        <v>819</v>
      </c>
    </row>
    <row r="478" spans="1:18" x14ac:dyDescent="0.2">
      <c r="A478" s="33" t="s">
        <v>48</v>
      </c>
      <c r="B478" s="33" t="s">
        <v>82</v>
      </c>
      <c r="C478">
        <v>1</v>
      </c>
      <c r="D478" s="33" t="s">
        <v>756</v>
      </c>
      <c r="F478" s="33" t="s">
        <v>89</v>
      </c>
      <c r="G478">
        <v>18</v>
      </c>
      <c r="I478" t="str">
        <f t="shared" si="26"/>
        <v>CoStep1WalkwayT18</v>
      </c>
      <c r="K478" t="s">
        <v>775</v>
      </c>
      <c r="M478" s="33" t="s">
        <v>818</v>
      </c>
      <c r="N478">
        <v>30</v>
      </c>
      <c r="P478" t="str">
        <f t="shared" si="27"/>
        <v>W30</v>
      </c>
      <c r="R478" t="s">
        <v>819</v>
      </c>
    </row>
    <row r="479" spans="1:18" x14ac:dyDescent="0.2">
      <c r="A479" s="33" t="s">
        <v>48</v>
      </c>
      <c r="B479" s="33" t="s">
        <v>82</v>
      </c>
      <c r="C479">
        <v>1</v>
      </c>
      <c r="D479" s="33" t="s">
        <v>756</v>
      </c>
      <c r="F479" s="33" t="s">
        <v>89</v>
      </c>
      <c r="G479">
        <v>19</v>
      </c>
      <c r="I479" t="str">
        <f t="shared" si="26"/>
        <v>CoStep1WalkwayT19</v>
      </c>
      <c r="K479" t="s">
        <v>776</v>
      </c>
      <c r="M479" s="33" t="s">
        <v>818</v>
      </c>
      <c r="N479">
        <v>30</v>
      </c>
      <c r="P479" t="str">
        <f t="shared" si="27"/>
        <v>W30</v>
      </c>
      <c r="R479" t="s">
        <v>819</v>
      </c>
    </row>
    <row r="480" spans="1:18" x14ac:dyDescent="0.2">
      <c r="A480" s="33" t="s">
        <v>48</v>
      </c>
      <c r="B480" s="33" t="s">
        <v>82</v>
      </c>
      <c r="C480">
        <v>1</v>
      </c>
      <c r="D480" s="33" t="s">
        <v>756</v>
      </c>
      <c r="F480" s="33" t="s">
        <v>89</v>
      </c>
      <c r="G480">
        <v>20</v>
      </c>
      <c r="I480" t="str">
        <f t="shared" si="26"/>
        <v>CoStep1WalkwayT20</v>
      </c>
      <c r="K480" t="s">
        <v>777</v>
      </c>
      <c r="M480" s="33" t="s">
        <v>818</v>
      </c>
      <c r="N480">
        <v>30</v>
      </c>
      <c r="P480" t="str">
        <f t="shared" si="27"/>
        <v>W30</v>
      </c>
      <c r="R480" t="s">
        <v>819</v>
      </c>
    </row>
    <row r="481" spans="1:18" x14ac:dyDescent="0.2">
      <c r="A481" s="33" t="s">
        <v>48</v>
      </c>
      <c r="B481" s="33" t="s">
        <v>82</v>
      </c>
      <c r="C481">
        <v>2</v>
      </c>
      <c r="D481" s="33" t="s">
        <v>756</v>
      </c>
      <c r="F481" s="33" t="s">
        <v>89</v>
      </c>
      <c r="G481">
        <v>1</v>
      </c>
      <c r="I481" t="str">
        <f t="shared" si="26"/>
        <v>CoStep2WalkwayT1</v>
      </c>
      <c r="K481" t="s">
        <v>778</v>
      </c>
      <c r="M481" s="33" t="s">
        <v>818</v>
      </c>
      <c r="N481">
        <v>55</v>
      </c>
      <c r="P481" t="str">
        <f t="shared" si="27"/>
        <v>W55</v>
      </c>
      <c r="R481" t="s">
        <v>820</v>
      </c>
    </row>
    <row r="482" spans="1:18" x14ac:dyDescent="0.2">
      <c r="A482" s="33" t="s">
        <v>48</v>
      </c>
      <c r="B482" s="33" t="s">
        <v>82</v>
      </c>
      <c r="C482">
        <v>2</v>
      </c>
      <c r="D482" s="33" t="s">
        <v>756</v>
      </c>
      <c r="F482" s="33" t="s">
        <v>89</v>
      </c>
      <c r="G482">
        <v>2</v>
      </c>
      <c r="I482" t="str">
        <f t="shared" si="26"/>
        <v>CoStep2WalkwayT2</v>
      </c>
      <c r="K482" t="s">
        <v>779</v>
      </c>
      <c r="M482" s="33" t="s">
        <v>818</v>
      </c>
      <c r="N482">
        <v>55</v>
      </c>
      <c r="P482" t="str">
        <f t="shared" si="27"/>
        <v>W55</v>
      </c>
      <c r="R482" t="s">
        <v>820</v>
      </c>
    </row>
    <row r="483" spans="1:18" x14ac:dyDescent="0.2">
      <c r="A483" s="33" t="s">
        <v>48</v>
      </c>
      <c r="B483" s="33" t="s">
        <v>82</v>
      </c>
      <c r="C483">
        <v>2</v>
      </c>
      <c r="D483" s="33" t="s">
        <v>756</v>
      </c>
      <c r="F483" s="33" t="s">
        <v>89</v>
      </c>
      <c r="G483">
        <v>3</v>
      </c>
      <c r="I483" t="str">
        <f t="shared" si="26"/>
        <v>CoStep2WalkwayT3</v>
      </c>
      <c r="K483" t="s">
        <v>780</v>
      </c>
      <c r="M483" s="33" t="s">
        <v>818</v>
      </c>
      <c r="N483">
        <v>55</v>
      </c>
      <c r="P483" t="str">
        <f t="shared" si="27"/>
        <v>W55</v>
      </c>
      <c r="R483" t="s">
        <v>820</v>
      </c>
    </row>
    <row r="484" spans="1:18" x14ac:dyDescent="0.2">
      <c r="A484" s="33" t="s">
        <v>48</v>
      </c>
      <c r="B484" s="33" t="s">
        <v>82</v>
      </c>
      <c r="C484">
        <v>2</v>
      </c>
      <c r="D484" s="33" t="s">
        <v>756</v>
      </c>
      <c r="F484" s="33" t="s">
        <v>89</v>
      </c>
      <c r="G484">
        <v>4</v>
      </c>
      <c r="I484" t="str">
        <f t="shared" si="26"/>
        <v>CoStep2WalkwayT4</v>
      </c>
      <c r="K484" t="s">
        <v>781</v>
      </c>
      <c r="M484" s="33" t="s">
        <v>818</v>
      </c>
      <c r="N484">
        <v>55</v>
      </c>
      <c r="P484" t="str">
        <f t="shared" si="27"/>
        <v>W55</v>
      </c>
      <c r="R484" t="s">
        <v>820</v>
      </c>
    </row>
    <row r="485" spans="1:18" x14ac:dyDescent="0.2">
      <c r="A485" s="33" t="s">
        <v>48</v>
      </c>
      <c r="B485" s="33" t="s">
        <v>82</v>
      </c>
      <c r="C485">
        <v>2</v>
      </c>
      <c r="D485" s="33" t="s">
        <v>756</v>
      </c>
      <c r="F485" s="33" t="s">
        <v>89</v>
      </c>
      <c r="G485">
        <v>5</v>
      </c>
      <c r="I485" t="str">
        <f t="shared" si="26"/>
        <v>CoStep2WalkwayT5</v>
      </c>
      <c r="K485" t="s">
        <v>782</v>
      </c>
      <c r="M485" s="33" t="s">
        <v>818</v>
      </c>
      <c r="N485">
        <v>55</v>
      </c>
      <c r="P485" t="str">
        <f t="shared" si="27"/>
        <v>W55</v>
      </c>
      <c r="R485" t="s">
        <v>820</v>
      </c>
    </row>
    <row r="486" spans="1:18" x14ac:dyDescent="0.2">
      <c r="A486" s="33" t="s">
        <v>48</v>
      </c>
      <c r="B486" s="33" t="s">
        <v>82</v>
      </c>
      <c r="C486">
        <v>2</v>
      </c>
      <c r="D486" s="33" t="s">
        <v>756</v>
      </c>
      <c r="F486" s="33" t="s">
        <v>89</v>
      </c>
      <c r="G486">
        <v>6</v>
      </c>
      <c r="I486" t="str">
        <f t="shared" si="26"/>
        <v>CoStep2WalkwayT6</v>
      </c>
      <c r="K486" t="s">
        <v>783</v>
      </c>
      <c r="M486" s="33" t="s">
        <v>818</v>
      </c>
      <c r="N486">
        <v>55</v>
      </c>
      <c r="P486" t="str">
        <f t="shared" si="27"/>
        <v>W55</v>
      </c>
      <c r="R486" t="s">
        <v>820</v>
      </c>
    </row>
    <row r="487" spans="1:18" x14ac:dyDescent="0.2">
      <c r="A487" s="33" t="s">
        <v>48</v>
      </c>
      <c r="B487" s="33" t="s">
        <v>82</v>
      </c>
      <c r="C487">
        <v>2</v>
      </c>
      <c r="D487" s="33" t="s">
        <v>756</v>
      </c>
      <c r="F487" s="33" t="s">
        <v>89</v>
      </c>
      <c r="G487">
        <v>7</v>
      </c>
      <c r="I487" t="str">
        <f t="shared" si="26"/>
        <v>CoStep2WalkwayT7</v>
      </c>
      <c r="K487" t="s">
        <v>784</v>
      </c>
      <c r="M487" s="33" t="s">
        <v>818</v>
      </c>
      <c r="N487">
        <v>55</v>
      </c>
      <c r="P487" t="str">
        <f t="shared" si="27"/>
        <v>W55</v>
      </c>
      <c r="R487" t="s">
        <v>820</v>
      </c>
    </row>
    <row r="488" spans="1:18" x14ac:dyDescent="0.2">
      <c r="A488" s="33" t="s">
        <v>48</v>
      </c>
      <c r="B488" s="33" t="s">
        <v>82</v>
      </c>
      <c r="C488">
        <v>2</v>
      </c>
      <c r="D488" s="33" t="s">
        <v>756</v>
      </c>
      <c r="F488" s="33" t="s">
        <v>89</v>
      </c>
      <c r="G488">
        <v>8</v>
      </c>
      <c r="I488" t="str">
        <f t="shared" si="26"/>
        <v>CoStep2WalkwayT8</v>
      </c>
      <c r="K488" t="s">
        <v>785</v>
      </c>
      <c r="M488" s="33" t="s">
        <v>818</v>
      </c>
      <c r="N488">
        <v>55</v>
      </c>
      <c r="P488" t="str">
        <f t="shared" si="27"/>
        <v>W55</v>
      </c>
      <c r="R488" t="s">
        <v>820</v>
      </c>
    </row>
    <row r="489" spans="1:18" x14ac:dyDescent="0.2">
      <c r="A489" s="33" t="s">
        <v>48</v>
      </c>
      <c r="B489" s="33" t="s">
        <v>82</v>
      </c>
      <c r="C489">
        <v>2</v>
      </c>
      <c r="D489" s="33" t="s">
        <v>756</v>
      </c>
      <c r="F489" s="33" t="s">
        <v>89</v>
      </c>
      <c r="G489">
        <v>9</v>
      </c>
      <c r="I489" t="str">
        <f t="shared" si="26"/>
        <v>CoStep2WalkwayT9</v>
      </c>
      <c r="K489" t="s">
        <v>786</v>
      </c>
      <c r="M489" s="33" t="s">
        <v>818</v>
      </c>
      <c r="N489">
        <v>55</v>
      </c>
      <c r="P489" t="str">
        <f t="shared" si="27"/>
        <v>W55</v>
      </c>
      <c r="R489" t="s">
        <v>820</v>
      </c>
    </row>
    <row r="490" spans="1:18" x14ac:dyDescent="0.2">
      <c r="A490" s="33" t="s">
        <v>48</v>
      </c>
      <c r="B490" s="33" t="s">
        <v>82</v>
      </c>
      <c r="C490">
        <v>2</v>
      </c>
      <c r="D490" s="33" t="s">
        <v>756</v>
      </c>
      <c r="F490" s="33" t="s">
        <v>89</v>
      </c>
      <c r="G490">
        <v>10</v>
      </c>
      <c r="I490" t="str">
        <f t="shared" si="26"/>
        <v>CoStep2WalkwayT10</v>
      </c>
      <c r="K490" t="s">
        <v>787</v>
      </c>
      <c r="M490" s="33" t="s">
        <v>818</v>
      </c>
      <c r="N490">
        <v>55</v>
      </c>
      <c r="P490" t="str">
        <f t="shared" si="27"/>
        <v>W55</v>
      </c>
      <c r="R490" t="s">
        <v>820</v>
      </c>
    </row>
    <row r="491" spans="1:18" x14ac:dyDescent="0.2">
      <c r="A491" s="33" t="s">
        <v>48</v>
      </c>
      <c r="B491" s="33" t="s">
        <v>82</v>
      </c>
      <c r="C491">
        <v>2</v>
      </c>
      <c r="D491" s="33" t="s">
        <v>756</v>
      </c>
      <c r="F491" s="33" t="s">
        <v>89</v>
      </c>
      <c r="G491">
        <v>11</v>
      </c>
      <c r="I491" t="str">
        <f t="shared" si="26"/>
        <v>CoStep2WalkwayT11</v>
      </c>
      <c r="K491" t="s">
        <v>788</v>
      </c>
      <c r="M491" s="33" t="s">
        <v>818</v>
      </c>
      <c r="N491">
        <v>55</v>
      </c>
      <c r="P491" t="str">
        <f t="shared" si="27"/>
        <v>W55</v>
      </c>
      <c r="R491" t="s">
        <v>820</v>
      </c>
    </row>
    <row r="492" spans="1:18" x14ac:dyDescent="0.2">
      <c r="A492" s="33" t="s">
        <v>48</v>
      </c>
      <c r="B492" s="33" t="s">
        <v>82</v>
      </c>
      <c r="C492">
        <v>2</v>
      </c>
      <c r="D492" s="33" t="s">
        <v>756</v>
      </c>
      <c r="F492" s="33" t="s">
        <v>89</v>
      </c>
      <c r="G492">
        <v>12</v>
      </c>
      <c r="I492" t="str">
        <f t="shared" si="26"/>
        <v>CoStep2WalkwayT12</v>
      </c>
      <c r="K492" t="s">
        <v>789</v>
      </c>
      <c r="M492" s="33" t="s">
        <v>818</v>
      </c>
      <c r="N492">
        <v>55</v>
      </c>
      <c r="P492" t="str">
        <f t="shared" si="27"/>
        <v>W55</v>
      </c>
      <c r="R492" t="s">
        <v>820</v>
      </c>
    </row>
    <row r="493" spans="1:18" x14ac:dyDescent="0.2">
      <c r="A493" s="33" t="s">
        <v>48</v>
      </c>
      <c r="B493" s="33" t="s">
        <v>82</v>
      </c>
      <c r="C493">
        <v>2</v>
      </c>
      <c r="D493" s="33" t="s">
        <v>756</v>
      </c>
      <c r="F493" s="33" t="s">
        <v>89</v>
      </c>
      <c r="G493">
        <v>13</v>
      </c>
      <c r="I493" t="str">
        <f t="shared" si="26"/>
        <v>CoStep2WalkwayT13</v>
      </c>
      <c r="K493" t="s">
        <v>790</v>
      </c>
      <c r="M493" s="33" t="s">
        <v>818</v>
      </c>
      <c r="N493">
        <v>55</v>
      </c>
      <c r="P493" t="str">
        <f t="shared" si="27"/>
        <v>W55</v>
      </c>
      <c r="R493" t="s">
        <v>820</v>
      </c>
    </row>
    <row r="494" spans="1:18" x14ac:dyDescent="0.2">
      <c r="A494" s="33" t="s">
        <v>48</v>
      </c>
      <c r="B494" s="33" t="s">
        <v>82</v>
      </c>
      <c r="C494">
        <v>2</v>
      </c>
      <c r="D494" s="33" t="s">
        <v>756</v>
      </c>
      <c r="F494" s="33" t="s">
        <v>89</v>
      </c>
      <c r="G494">
        <v>14</v>
      </c>
      <c r="I494" t="str">
        <f t="shared" si="26"/>
        <v>CoStep2WalkwayT14</v>
      </c>
      <c r="K494" t="s">
        <v>791</v>
      </c>
      <c r="M494" s="33" t="s">
        <v>818</v>
      </c>
      <c r="N494">
        <v>55</v>
      </c>
      <c r="P494" t="str">
        <f t="shared" si="27"/>
        <v>W55</v>
      </c>
      <c r="R494" t="s">
        <v>820</v>
      </c>
    </row>
    <row r="495" spans="1:18" x14ac:dyDescent="0.2">
      <c r="A495" s="33" t="s">
        <v>48</v>
      </c>
      <c r="B495" s="33" t="s">
        <v>82</v>
      </c>
      <c r="C495">
        <v>2</v>
      </c>
      <c r="D495" s="33" t="s">
        <v>756</v>
      </c>
      <c r="F495" s="33" t="s">
        <v>89</v>
      </c>
      <c r="G495">
        <v>15</v>
      </c>
      <c r="I495" t="str">
        <f t="shared" si="26"/>
        <v>CoStep2WalkwayT15</v>
      </c>
      <c r="K495" t="s">
        <v>792</v>
      </c>
      <c r="M495" s="33" t="s">
        <v>818</v>
      </c>
      <c r="N495">
        <v>55</v>
      </c>
      <c r="P495" t="str">
        <f t="shared" si="27"/>
        <v>W55</v>
      </c>
      <c r="R495" t="s">
        <v>820</v>
      </c>
    </row>
    <row r="496" spans="1:18" x14ac:dyDescent="0.2">
      <c r="A496" s="33" t="s">
        <v>48</v>
      </c>
      <c r="B496" s="33" t="s">
        <v>82</v>
      </c>
      <c r="C496">
        <v>2</v>
      </c>
      <c r="D496" s="33" t="s">
        <v>756</v>
      </c>
      <c r="F496" s="33" t="s">
        <v>89</v>
      </c>
      <c r="G496">
        <v>16</v>
      </c>
      <c r="I496" t="str">
        <f t="shared" si="26"/>
        <v>CoStep2WalkwayT16</v>
      </c>
      <c r="K496" t="s">
        <v>793</v>
      </c>
      <c r="M496" s="33" t="s">
        <v>818</v>
      </c>
      <c r="N496">
        <v>55</v>
      </c>
      <c r="P496" t="str">
        <f t="shared" si="27"/>
        <v>W55</v>
      </c>
      <c r="R496" t="s">
        <v>820</v>
      </c>
    </row>
    <row r="497" spans="1:18" x14ac:dyDescent="0.2">
      <c r="A497" s="33" t="s">
        <v>48</v>
      </c>
      <c r="B497" s="33" t="s">
        <v>82</v>
      </c>
      <c r="C497">
        <v>2</v>
      </c>
      <c r="D497" s="33" t="s">
        <v>756</v>
      </c>
      <c r="F497" s="33" t="s">
        <v>89</v>
      </c>
      <c r="G497">
        <v>17</v>
      </c>
      <c r="I497" t="str">
        <f t="shared" si="26"/>
        <v>CoStep2WalkwayT17</v>
      </c>
      <c r="K497" t="s">
        <v>794</v>
      </c>
      <c r="M497" s="33" t="s">
        <v>818</v>
      </c>
      <c r="N497">
        <v>55</v>
      </c>
      <c r="P497" t="str">
        <f t="shared" si="27"/>
        <v>W55</v>
      </c>
      <c r="R497" t="s">
        <v>820</v>
      </c>
    </row>
    <row r="498" spans="1:18" x14ac:dyDescent="0.2">
      <c r="A498" s="33" t="s">
        <v>48</v>
      </c>
      <c r="B498" s="33" t="s">
        <v>82</v>
      </c>
      <c r="C498">
        <v>2</v>
      </c>
      <c r="D498" s="33" t="s">
        <v>756</v>
      </c>
      <c r="F498" s="33" t="s">
        <v>89</v>
      </c>
      <c r="G498">
        <v>18</v>
      </c>
      <c r="I498" t="str">
        <f t="shared" si="26"/>
        <v>CoStep2WalkwayT18</v>
      </c>
      <c r="K498" t="s">
        <v>795</v>
      </c>
      <c r="M498" s="33" t="s">
        <v>818</v>
      </c>
      <c r="N498">
        <v>55</v>
      </c>
      <c r="P498" t="str">
        <f t="shared" si="27"/>
        <v>W55</v>
      </c>
      <c r="R498" t="s">
        <v>820</v>
      </c>
    </row>
    <row r="499" spans="1:18" x14ac:dyDescent="0.2">
      <c r="A499" s="33" t="s">
        <v>48</v>
      </c>
      <c r="B499" s="33" t="s">
        <v>82</v>
      </c>
      <c r="C499">
        <v>2</v>
      </c>
      <c r="D499" s="33" t="s">
        <v>756</v>
      </c>
      <c r="F499" s="33" t="s">
        <v>89</v>
      </c>
      <c r="G499">
        <v>19</v>
      </c>
      <c r="I499" t="str">
        <f t="shared" si="26"/>
        <v>CoStep2WalkwayT19</v>
      </c>
      <c r="K499" t="s">
        <v>796</v>
      </c>
      <c r="M499" s="33" t="s">
        <v>818</v>
      </c>
      <c r="N499">
        <v>55</v>
      </c>
      <c r="P499" t="str">
        <f t="shared" si="27"/>
        <v>W55</v>
      </c>
      <c r="R499" t="s">
        <v>820</v>
      </c>
    </row>
    <row r="500" spans="1:18" x14ac:dyDescent="0.2">
      <c r="A500" s="33" t="s">
        <v>48</v>
      </c>
      <c r="B500" s="33" t="s">
        <v>82</v>
      </c>
      <c r="C500">
        <v>2</v>
      </c>
      <c r="D500" s="33" t="s">
        <v>756</v>
      </c>
      <c r="F500" s="33" t="s">
        <v>89</v>
      </c>
      <c r="G500">
        <v>20</v>
      </c>
      <c r="I500" t="str">
        <f t="shared" si="26"/>
        <v>CoStep2WalkwayT20</v>
      </c>
      <c r="K500" t="s">
        <v>797</v>
      </c>
      <c r="M500" s="33" t="s">
        <v>818</v>
      </c>
      <c r="N500">
        <v>55</v>
      </c>
      <c r="P500" t="str">
        <f t="shared" si="27"/>
        <v>W55</v>
      </c>
      <c r="R500" t="s">
        <v>820</v>
      </c>
    </row>
    <row r="501" spans="1:18" x14ac:dyDescent="0.2">
      <c r="A501" s="33" t="s">
        <v>48</v>
      </c>
      <c r="B501" s="33" t="s">
        <v>82</v>
      </c>
      <c r="C501">
        <v>3</v>
      </c>
      <c r="D501" s="33" t="s">
        <v>756</v>
      </c>
      <c r="F501" s="33" t="s">
        <v>89</v>
      </c>
      <c r="G501">
        <v>1</v>
      </c>
      <c r="I501" t="str">
        <f t="shared" si="26"/>
        <v>CoStep3WalkwayT1</v>
      </c>
      <c r="K501" t="s">
        <v>798</v>
      </c>
      <c r="M501" s="33" t="s">
        <v>818</v>
      </c>
      <c r="N501">
        <v>80</v>
      </c>
      <c r="P501" t="str">
        <f t="shared" si="27"/>
        <v>W80</v>
      </c>
      <c r="R501" t="s">
        <v>821</v>
      </c>
    </row>
    <row r="502" spans="1:18" x14ac:dyDescent="0.2">
      <c r="A502" s="33" t="s">
        <v>48</v>
      </c>
      <c r="B502" s="33" t="s">
        <v>82</v>
      </c>
      <c r="C502">
        <v>3</v>
      </c>
      <c r="D502" s="33" t="s">
        <v>756</v>
      </c>
      <c r="F502" s="33" t="s">
        <v>89</v>
      </c>
      <c r="G502">
        <v>2</v>
      </c>
      <c r="I502" t="str">
        <f t="shared" si="26"/>
        <v>CoStep3WalkwayT2</v>
      </c>
      <c r="K502" t="s">
        <v>799</v>
      </c>
      <c r="M502" s="33" t="s">
        <v>818</v>
      </c>
      <c r="N502">
        <v>80</v>
      </c>
      <c r="P502" t="str">
        <f t="shared" si="27"/>
        <v>W80</v>
      </c>
      <c r="R502" t="s">
        <v>821</v>
      </c>
    </row>
    <row r="503" spans="1:18" x14ac:dyDescent="0.2">
      <c r="A503" s="33" t="s">
        <v>48</v>
      </c>
      <c r="B503" s="33" t="s">
        <v>82</v>
      </c>
      <c r="C503">
        <v>3</v>
      </c>
      <c r="D503" s="33" t="s">
        <v>756</v>
      </c>
      <c r="F503" s="33" t="s">
        <v>89</v>
      </c>
      <c r="G503">
        <v>3</v>
      </c>
      <c r="I503" t="str">
        <f t="shared" ref="I503:I520" si="28">A503&amp;B503&amp;C503&amp;D503&amp;E503&amp;F503&amp;G503</f>
        <v>CoStep3WalkwayT3</v>
      </c>
      <c r="K503" t="s">
        <v>800</v>
      </c>
      <c r="M503" s="33" t="s">
        <v>818</v>
      </c>
      <c r="N503">
        <v>80</v>
      </c>
      <c r="P503" t="str">
        <f t="shared" si="27"/>
        <v>W80</v>
      </c>
      <c r="R503" t="s">
        <v>821</v>
      </c>
    </row>
    <row r="504" spans="1:18" x14ac:dyDescent="0.2">
      <c r="A504" s="33" t="s">
        <v>48</v>
      </c>
      <c r="B504" s="33" t="s">
        <v>82</v>
      </c>
      <c r="C504">
        <v>3</v>
      </c>
      <c r="D504" s="33" t="s">
        <v>756</v>
      </c>
      <c r="F504" s="33" t="s">
        <v>89</v>
      </c>
      <c r="G504">
        <v>4</v>
      </c>
      <c r="I504" t="str">
        <f t="shared" si="28"/>
        <v>CoStep3WalkwayT4</v>
      </c>
      <c r="K504" t="s">
        <v>801</v>
      </c>
      <c r="M504" s="33" t="s">
        <v>818</v>
      </c>
      <c r="N504">
        <v>80</v>
      </c>
      <c r="P504" t="str">
        <f t="shared" si="27"/>
        <v>W80</v>
      </c>
      <c r="R504" t="s">
        <v>821</v>
      </c>
    </row>
    <row r="505" spans="1:18" x14ac:dyDescent="0.2">
      <c r="A505" s="33" t="s">
        <v>48</v>
      </c>
      <c r="B505" s="33" t="s">
        <v>82</v>
      </c>
      <c r="C505">
        <v>3</v>
      </c>
      <c r="D505" s="33" t="s">
        <v>756</v>
      </c>
      <c r="F505" s="33" t="s">
        <v>89</v>
      </c>
      <c r="G505">
        <v>5</v>
      </c>
      <c r="I505" t="str">
        <f t="shared" si="28"/>
        <v>CoStep3WalkwayT5</v>
      </c>
      <c r="K505" t="s">
        <v>802</v>
      </c>
      <c r="M505" s="33" t="s">
        <v>818</v>
      </c>
      <c r="N505">
        <v>80</v>
      </c>
      <c r="P505" t="str">
        <f t="shared" si="27"/>
        <v>W80</v>
      </c>
      <c r="R505" t="s">
        <v>821</v>
      </c>
    </row>
    <row r="506" spans="1:18" x14ac:dyDescent="0.2">
      <c r="A506" s="33" t="s">
        <v>48</v>
      </c>
      <c r="B506" s="33" t="s">
        <v>82</v>
      </c>
      <c r="C506">
        <v>3</v>
      </c>
      <c r="D506" s="33" t="s">
        <v>756</v>
      </c>
      <c r="F506" s="33" t="s">
        <v>89</v>
      </c>
      <c r="G506">
        <v>6</v>
      </c>
      <c r="I506" t="str">
        <f t="shared" si="28"/>
        <v>CoStep3WalkwayT6</v>
      </c>
      <c r="K506" t="s">
        <v>803</v>
      </c>
      <c r="M506" s="33" t="s">
        <v>818</v>
      </c>
      <c r="N506">
        <v>80</v>
      </c>
      <c r="P506" t="str">
        <f t="shared" si="27"/>
        <v>W80</v>
      </c>
      <c r="R506" t="s">
        <v>821</v>
      </c>
    </row>
    <row r="507" spans="1:18" x14ac:dyDescent="0.2">
      <c r="A507" s="33" t="s">
        <v>48</v>
      </c>
      <c r="B507" s="33" t="s">
        <v>82</v>
      </c>
      <c r="C507">
        <v>3</v>
      </c>
      <c r="D507" s="33" t="s">
        <v>756</v>
      </c>
      <c r="F507" s="33" t="s">
        <v>89</v>
      </c>
      <c r="G507">
        <v>7</v>
      </c>
      <c r="I507" t="str">
        <f t="shared" si="28"/>
        <v>CoStep3WalkwayT7</v>
      </c>
      <c r="K507" t="s">
        <v>804</v>
      </c>
      <c r="M507" s="33" t="s">
        <v>818</v>
      </c>
      <c r="N507">
        <v>80</v>
      </c>
      <c r="P507" t="str">
        <f t="shared" si="27"/>
        <v>W80</v>
      </c>
      <c r="R507" t="s">
        <v>821</v>
      </c>
    </row>
    <row r="508" spans="1:18" x14ac:dyDescent="0.2">
      <c r="A508" s="33" t="s">
        <v>48</v>
      </c>
      <c r="B508" s="33" t="s">
        <v>82</v>
      </c>
      <c r="C508">
        <v>3</v>
      </c>
      <c r="D508" s="33" t="s">
        <v>756</v>
      </c>
      <c r="F508" s="33" t="s">
        <v>89</v>
      </c>
      <c r="G508">
        <v>8</v>
      </c>
      <c r="I508" t="str">
        <f t="shared" si="28"/>
        <v>CoStep3WalkwayT8</v>
      </c>
      <c r="K508" t="s">
        <v>805</v>
      </c>
      <c r="M508" s="33" t="s">
        <v>818</v>
      </c>
      <c r="N508">
        <v>80</v>
      </c>
      <c r="P508" t="str">
        <f t="shared" si="27"/>
        <v>W80</v>
      </c>
      <c r="R508" t="s">
        <v>821</v>
      </c>
    </row>
    <row r="509" spans="1:18" x14ac:dyDescent="0.2">
      <c r="A509" s="33" t="s">
        <v>48</v>
      </c>
      <c r="B509" s="33" t="s">
        <v>82</v>
      </c>
      <c r="C509">
        <v>3</v>
      </c>
      <c r="D509" s="33" t="s">
        <v>756</v>
      </c>
      <c r="F509" s="33" t="s">
        <v>89</v>
      </c>
      <c r="G509">
        <v>9</v>
      </c>
      <c r="I509" t="str">
        <f t="shared" si="28"/>
        <v>CoStep3WalkwayT9</v>
      </c>
      <c r="K509" t="s">
        <v>806</v>
      </c>
      <c r="M509" s="33" t="s">
        <v>818</v>
      </c>
      <c r="N509">
        <v>80</v>
      </c>
      <c r="P509" t="str">
        <f t="shared" si="27"/>
        <v>W80</v>
      </c>
      <c r="R509" t="s">
        <v>821</v>
      </c>
    </row>
    <row r="510" spans="1:18" x14ac:dyDescent="0.2">
      <c r="A510" s="33" t="s">
        <v>48</v>
      </c>
      <c r="B510" s="33" t="s">
        <v>82</v>
      </c>
      <c r="C510">
        <v>3</v>
      </c>
      <c r="D510" s="33" t="s">
        <v>756</v>
      </c>
      <c r="F510" s="33" t="s">
        <v>89</v>
      </c>
      <c r="G510">
        <v>10</v>
      </c>
      <c r="I510" t="str">
        <f t="shared" si="28"/>
        <v>CoStep3WalkwayT10</v>
      </c>
      <c r="K510" t="s">
        <v>807</v>
      </c>
      <c r="M510" s="33" t="s">
        <v>818</v>
      </c>
      <c r="N510">
        <v>80</v>
      </c>
      <c r="P510" t="str">
        <f t="shared" si="27"/>
        <v>W80</v>
      </c>
      <c r="R510" t="s">
        <v>821</v>
      </c>
    </row>
    <row r="511" spans="1:18" x14ac:dyDescent="0.2">
      <c r="A511" s="33" t="s">
        <v>48</v>
      </c>
      <c r="B511" s="33" t="s">
        <v>82</v>
      </c>
      <c r="C511">
        <v>3</v>
      </c>
      <c r="D511" s="33" t="s">
        <v>756</v>
      </c>
      <c r="F511" s="33" t="s">
        <v>89</v>
      </c>
      <c r="G511">
        <v>11</v>
      </c>
      <c r="I511" t="str">
        <f t="shared" si="28"/>
        <v>CoStep3WalkwayT11</v>
      </c>
      <c r="K511" t="s">
        <v>808</v>
      </c>
      <c r="M511" s="33" t="s">
        <v>818</v>
      </c>
      <c r="N511">
        <v>80</v>
      </c>
      <c r="P511" t="str">
        <f t="shared" si="27"/>
        <v>W80</v>
      </c>
      <c r="R511" t="s">
        <v>821</v>
      </c>
    </row>
    <row r="512" spans="1:18" x14ac:dyDescent="0.2">
      <c r="A512" s="33" t="s">
        <v>48</v>
      </c>
      <c r="B512" s="33" t="s">
        <v>82</v>
      </c>
      <c r="C512">
        <v>3</v>
      </c>
      <c r="D512" s="33" t="s">
        <v>756</v>
      </c>
      <c r="F512" s="33" t="s">
        <v>89</v>
      </c>
      <c r="G512">
        <v>12</v>
      </c>
      <c r="I512" t="str">
        <f t="shared" si="28"/>
        <v>CoStep3WalkwayT12</v>
      </c>
      <c r="K512" t="s">
        <v>809</v>
      </c>
      <c r="M512" s="33" t="s">
        <v>818</v>
      </c>
      <c r="N512">
        <v>80</v>
      </c>
      <c r="P512" t="str">
        <f t="shared" si="27"/>
        <v>W80</v>
      </c>
      <c r="R512" t="s">
        <v>821</v>
      </c>
    </row>
    <row r="513" spans="1:18" x14ac:dyDescent="0.2">
      <c r="A513" s="33" t="s">
        <v>48</v>
      </c>
      <c r="B513" s="33" t="s">
        <v>82</v>
      </c>
      <c r="C513">
        <v>3</v>
      </c>
      <c r="D513" s="33" t="s">
        <v>756</v>
      </c>
      <c r="F513" s="33" t="s">
        <v>89</v>
      </c>
      <c r="G513">
        <v>13</v>
      </c>
      <c r="I513" t="str">
        <f t="shared" si="28"/>
        <v>CoStep3WalkwayT13</v>
      </c>
      <c r="K513" t="s">
        <v>810</v>
      </c>
      <c r="M513" s="33" t="s">
        <v>818</v>
      </c>
      <c r="N513">
        <v>80</v>
      </c>
      <c r="P513" t="str">
        <f t="shared" si="27"/>
        <v>W80</v>
      </c>
      <c r="R513" t="s">
        <v>821</v>
      </c>
    </row>
    <row r="514" spans="1:18" x14ac:dyDescent="0.2">
      <c r="A514" s="33" t="s">
        <v>48</v>
      </c>
      <c r="B514" s="33" t="s">
        <v>82</v>
      </c>
      <c r="C514">
        <v>3</v>
      </c>
      <c r="D514" s="33" t="s">
        <v>756</v>
      </c>
      <c r="F514" s="33" t="s">
        <v>89</v>
      </c>
      <c r="G514">
        <v>14</v>
      </c>
      <c r="I514" t="str">
        <f t="shared" si="28"/>
        <v>CoStep3WalkwayT14</v>
      </c>
      <c r="K514" t="s">
        <v>811</v>
      </c>
      <c r="M514" s="33" t="s">
        <v>818</v>
      </c>
      <c r="N514">
        <v>80</v>
      </c>
      <c r="P514" t="str">
        <f t="shared" ref="P514:P520" si="29">M514&amp;N514</f>
        <v>W80</v>
      </c>
      <c r="R514" t="s">
        <v>821</v>
      </c>
    </row>
    <row r="515" spans="1:18" x14ac:dyDescent="0.2">
      <c r="A515" s="33" t="s">
        <v>48</v>
      </c>
      <c r="B515" s="33" t="s">
        <v>82</v>
      </c>
      <c r="C515">
        <v>3</v>
      </c>
      <c r="D515" s="33" t="s">
        <v>756</v>
      </c>
      <c r="F515" s="33" t="s">
        <v>89</v>
      </c>
      <c r="G515">
        <v>15</v>
      </c>
      <c r="I515" t="str">
        <f t="shared" si="28"/>
        <v>CoStep3WalkwayT15</v>
      </c>
      <c r="K515" t="s">
        <v>812</v>
      </c>
      <c r="M515" s="33" t="s">
        <v>818</v>
      </c>
      <c r="N515">
        <v>80</v>
      </c>
      <c r="P515" t="str">
        <f t="shared" si="29"/>
        <v>W80</v>
      </c>
      <c r="R515" t="s">
        <v>821</v>
      </c>
    </row>
    <row r="516" spans="1:18" x14ac:dyDescent="0.2">
      <c r="A516" s="33" t="s">
        <v>48</v>
      </c>
      <c r="B516" s="33" t="s">
        <v>82</v>
      </c>
      <c r="C516">
        <v>3</v>
      </c>
      <c r="D516" s="33" t="s">
        <v>756</v>
      </c>
      <c r="F516" s="33" t="s">
        <v>89</v>
      </c>
      <c r="G516">
        <v>16</v>
      </c>
      <c r="I516" t="str">
        <f t="shared" si="28"/>
        <v>CoStep3WalkwayT16</v>
      </c>
      <c r="K516" t="s">
        <v>813</v>
      </c>
      <c r="M516" s="33" t="s">
        <v>818</v>
      </c>
      <c r="N516">
        <v>80</v>
      </c>
      <c r="P516" t="str">
        <f t="shared" si="29"/>
        <v>W80</v>
      </c>
      <c r="R516" t="s">
        <v>821</v>
      </c>
    </row>
    <row r="517" spans="1:18" x14ac:dyDescent="0.2">
      <c r="A517" s="33" t="s">
        <v>48</v>
      </c>
      <c r="B517" s="33" t="s">
        <v>82</v>
      </c>
      <c r="C517">
        <v>3</v>
      </c>
      <c r="D517" s="33" t="s">
        <v>756</v>
      </c>
      <c r="F517" s="33" t="s">
        <v>89</v>
      </c>
      <c r="G517">
        <v>17</v>
      </c>
      <c r="I517" t="str">
        <f t="shared" si="28"/>
        <v>CoStep3WalkwayT17</v>
      </c>
      <c r="K517" t="s">
        <v>814</v>
      </c>
      <c r="M517" s="33" t="s">
        <v>818</v>
      </c>
      <c r="N517">
        <v>80</v>
      </c>
      <c r="P517" t="str">
        <f t="shared" si="29"/>
        <v>W80</v>
      </c>
      <c r="R517" t="s">
        <v>821</v>
      </c>
    </row>
    <row r="518" spans="1:18" x14ac:dyDescent="0.2">
      <c r="A518" s="33" t="s">
        <v>48</v>
      </c>
      <c r="B518" s="33" t="s">
        <v>82</v>
      </c>
      <c r="C518">
        <v>3</v>
      </c>
      <c r="D518" s="33" t="s">
        <v>756</v>
      </c>
      <c r="F518" s="33" t="s">
        <v>89</v>
      </c>
      <c r="G518">
        <v>18</v>
      </c>
      <c r="I518" t="str">
        <f t="shared" si="28"/>
        <v>CoStep3WalkwayT18</v>
      </c>
      <c r="K518" t="s">
        <v>815</v>
      </c>
      <c r="M518" s="33" t="s">
        <v>818</v>
      </c>
      <c r="N518">
        <v>80</v>
      </c>
      <c r="P518" t="str">
        <f t="shared" si="29"/>
        <v>W80</v>
      </c>
      <c r="R518" t="s">
        <v>821</v>
      </c>
    </row>
    <row r="519" spans="1:18" x14ac:dyDescent="0.2">
      <c r="A519" s="33" t="s">
        <v>48</v>
      </c>
      <c r="B519" s="33" t="s">
        <v>82</v>
      </c>
      <c r="C519">
        <v>3</v>
      </c>
      <c r="D519" s="33" t="s">
        <v>756</v>
      </c>
      <c r="F519" s="33" t="s">
        <v>89</v>
      </c>
      <c r="G519">
        <v>19</v>
      </c>
      <c r="I519" t="str">
        <f t="shared" si="28"/>
        <v>CoStep3WalkwayT19</v>
      </c>
      <c r="K519" t="s">
        <v>816</v>
      </c>
      <c r="M519" s="33" t="s">
        <v>818</v>
      </c>
      <c r="N519">
        <v>80</v>
      </c>
      <c r="P519" t="str">
        <f t="shared" si="29"/>
        <v>W80</v>
      </c>
      <c r="R519" t="s">
        <v>821</v>
      </c>
    </row>
    <row r="520" spans="1:18" x14ac:dyDescent="0.2">
      <c r="A520" s="33" t="s">
        <v>48</v>
      </c>
      <c r="B520" s="33" t="s">
        <v>82</v>
      </c>
      <c r="C520">
        <v>3</v>
      </c>
      <c r="D520" s="33" t="s">
        <v>756</v>
      </c>
      <c r="F520" s="33" t="s">
        <v>89</v>
      </c>
      <c r="G520">
        <v>20</v>
      </c>
      <c r="I520" t="str">
        <f t="shared" si="28"/>
        <v>CoStep3WalkwayT20</v>
      </c>
      <c r="K520" t="s">
        <v>817</v>
      </c>
      <c r="M520" s="33" t="s">
        <v>818</v>
      </c>
      <c r="N520">
        <v>80</v>
      </c>
      <c r="P520" t="str">
        <f t="shared" si="29"/>
        <v>W80</v>
      </c>
      <c r="R520" t="s">
        <v>821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Barefoot</vt:lpstr>
      <vt:lpstr>Shod</vt:lpstr>
      <vt:lpstr>Raw.Barefoot</vt:lpstr>
      <vt:lpstr>Raw.Shod</vt:lpstr>
      <vt:lpstr>Outcomes.Conditions</vt:lpstr>
      <vt:lpstr>Kolomkoppen</vt:lpstr>
    </vt:vector>
  </TitlesOfParts>
  <Company>Merem behandelcentra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M. van Bloemendaal</dc:creator>
  <cp:lastModifiedBy>Maijke van Bloemendaal</cp:lastModifiedBy>
  <dcterms:created xsi:type="dcterms:W3CDTF">2015-07-23T06:58:19Z</dcterms:created>
  <dcterms:modified xsi:type="dcterms:W3CDTF">2019-03-23T12:31:20Z</dcterms:modified>
</cp:coreProperties>
</file>