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17235" windowHeight="9015"/>
  </bookViews>
  <sheets>
    <sheet name="Comf" sheetId="1" r:id="rId1"/>
    <sheet name="Tot.Comf" sheetId="6" r:id="rId2"/>
    <sheet name="Kolomkoppen" sheetId="12" state="hidden" r:id="rId3"/>
  </sheets>
  <calcPr calcId="145621"/>
</workbook>
</file>

<file path=xl/calcChain.xml><?xml version="1.0" encoding="utf-8"?>
<calcChain xmlns="http://schemas.openxmlformats.org/spreadsheetml/2006/main">
  <c r="E256" i="1" l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55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30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05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180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55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30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05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80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55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30" i="1"/>
  <c r="B257" i="1" l="1"/>
  <c r="C257" i="1"/>
  <c r="D257" i="1"/>
  <c r="B258" i="1"/>
  <c r="C258" i="1"/>
  <c r="D258" i="1"/>
  <c r="B259" i="1"/>
  <c r="C259" i="1"/>
  <c r="D259" i="1"/>
  <c r="B260" i="1"/>
  <c r="C260" i="1"/>
  <c r="D260" i="1"/>
  <c r="B261" i="1"/>
  <c r="C261" i="1"/>
  <c r="D261" i="1"/>
  <c r="B262" i="1"/>
  <c r="C262" i="1"/>
  <c r="D262" i="1"/>
  <c r="B263" i="1"/>
  <c r="C263" i="1"/>
  <c r="D263" i="1"/>
  <c r="B264" i="1"/>
  <c r="C264" i="1"/>
  <c r="D264" i="1"/>
  <c r="B265" i="1"/>
  <c r="C265" i="1"/>
  <c r="D265" i="1"/>
  <c r="B266" i="1"/>
  <c r="C266" i="1"/>
  <c r="D266" i="1"/>
  <c r="B267" i="1"/>
  <c r="C267" i="1"/>
  <c r="D267" i="1"/>
  <c r="B268" i="1"/>
  <c r="C268" i="1"/>
  <c r="D268" i="1"/>
  <c r="B269" i="1"/>
  <c r="C269" i="1"/>
  <c r="D269" i="1"/>
  <c r="B270" i="1"/>
  <c r="C270" i="1"/>
  <c r="D270" i="1"/>
  <c r="B271" i="1"/>
  <c r="C271" i="1"/>
  <c r="D271" i="1"/>
  <c r="B272" i="1"/>
  <c r="C272" i="1"/>
  <c r="D272" i="1"/>
  <c r="B273" i="1"/>
  <c r="C273" i="1"/>
  <c r="D273" i="1"/>
  <c r="B274" i="1"/>
  <c r="C274" i="1"/>
  <c r="D274" i="1"/>
  <c r="D256" i="1"/>
  <c r="C256" i="1"/>
  <c r="C232" i="1"/>
  <c r="B232" i="1" s="1"/>
  <c r="D232" i="1"/>
  <c r="C233" i="1"/>
  <c r="B233" i="1" s="1"/>
  <c r="D233" i="1"/>
  <c r="C234" i="1"/>
  <c r="B234" i="1" s="1"/>
  <c r="D234" i="1"/>
  <c r="C235" i="1"/>
  <c r="B235" i="1" s="1"/>
  <c r="D235" i="1"/>
  <c r="C236" i="1"/>
  <c r="B236" i="1" s="1"/>
  <c r="D236" i="1"/>
  <c r="C237" i="1"/>
  <c r="B237" i="1" s="1"/>
  <c r="D237" i="1"/>
  <c r="C238" i="1"/>
  <c r="B238" i="1" s="1"/>
  <c r="D238" i="1"/>
  <c r="C239" i="1"/>
  <c r="B239" i="1" s="1"/>
  <c r="D239" i="1"/>
  <c r="C240" i="1"/>
  <c r="B240" i="1" s="1"/>
  <c r="D240" i="1"/>
  <c r="C241" i="1"/>
  <c r="B241" i="1" s="1"/>
  <c r="D241" i="1"/>
  <c r="C242" i="1"/>
  <c r="B242" i="1" s="1"/>
  <c r="D242" i="1"/>
  <c r="C243" i="1"/>
  <c r="B243" i="1" s="1"/>
  <c r="D243" i="1"/>
  <c r="C244" i="1"/>
  <c r="B244" i="1" s="1"/>
  <c r="D244" i="1"/>
  <c r="C245" i="1"/>
  <c r="B245" i="1" s="1"/>
  <c r="D245" i="1"/>
  <c r="C246" i="1"/>
  <c r="B246" i="1" s="1"/>
  <c r="D246" i="1"/>
  <c r="C247" i="1"/>
  <c r="B247" i="1" s="1"/>
  <c r="D247" i="1"/>
  <c r="C248" i="1"/>
  <c r="B248" i="1" s="1"/>
  <c r="D248" i="1"/>
  <c r="C249" i="1"/>
  <c r="B249" i="1" s="1"/>
  <c r="D249" i="1"/>
  <c r="D231" i="1"/>
  <c r="C231" i="1"/>
  <c r="C207" i="1"/>
  <c r="D207" i="1"/>
  <c r="B207" i="1"/>
  <c r="C208" i="1"/>
  <c r="D208" i="1"/>
  <c r="B208" i="1"/>
  <c r="C209" i="1"/>
  <c r="D209" i="1"/>
  <c r="B209" i="1"/>
  <c r="C210" i="1"/>
  <c r="D210" i="1"/>
  <c r="B210" i="1"/>
  <c r="C211" i="1"/>
  <c r="D211" i="1"/>
  <c r="B211" i="1"/>
  <c r="C212" i="1"/>
  <c r="D212" i="1"/>
  <c r="B212" i="1"/>
  <c r="C213" i="1"/>
  <c r="D213" i="1"/>
  <c r="B213" i="1"/>
  <c r="C214" i="1"/>
  <c r="D214" i="1"/>
  <c r="B214" i="1"/>
  <c r="C215" i="1"/>
  <c r="D215" i="1"/>
  <c r="B215" i="1"/>
  <c r="C216" i="1"/>
  <c r="D216" i="1"/>
  <c r="B216" i="1"/>
  <c r="C217" i="1"/>
  <c r="D217" i="1"/>
  <c r="B217" i="1"/>
  <c r="C218" i="1"/>
  <c r="D218" i="1"/>
  <c r="B218" i="1"/>
  <c r="C219" i="1"/>
  <c r="D219" i="1"/>
  <c r="B219" i="1"/>
  <c r="C220" i="1"/>
  <c r="D220" i="1"/>
  <c r="B220" i="1"/>
  <c r="C221" i="1"/>
  <c r="D221" i="1"/>
  <c r="B221" i="1"/>
  <c r="C222" i="1"/>
  <c r="D222" i="1"/>
  <c r="B222" i="1"/>
  <c r="C223" i="1"/>
  <c r="D223" i="1"/>
  <c r="B223" i="1"/>
  <c r="C224" i="1"/>
  <c r="D224" i="1"/>
  <c r="B224" i="1"/>
  <c r="D206" i="1"/>
  <c r="C206" i="1"/>
  <c r="C182" i="1"/>
  <c r="B182" i="1" s="1"/>
  <c r="D182" i="1"/>
  <c r="C183" i="1"/>
  <c r="B183" i="1" s="1"/>
  <c r="D183" i="1"/>
  <c r="C184" i="1"/>
  <c r="B184" i="1" s="1"/>
  <c r="D184" i="1"/>
  <c r="C185" i="1"/>
  <c r="B185" i="1" s="1"/>
  <c r="D185" i="1"/>
  <c r="C186" i="1"/>
  <c r="B186" i="1" s="1"/>
  <c r="D186" i="1"/>
  <c r="C187" i="1"/>
  <c r="B187" i="1" s="1"/>
  <c r="D187" i="1"/>
  <c r="C188" i="1"/>
  <c r="B188" i="1" s="1"/>
  <c r="D188" i="1"/>
  <c r="C189" i="1"/>
  <c r="B189" i="1" s="1"/>
  <c r="D189" i="1"/>
  <c r="C190" i="1"/>
  <c r="B190" i="1" s="1"/>
  <c r="D190" i="1"/>
  <c r="C191" i="1"/>
  <c r="B191" i="1" s="1"/>
  <c r="D191" i="1"/>
  <c r="C192" i="1"/>
  <c r="B192" i="1" s="1"/>
  <c r="D192" i="1"/>
  <c r="C193" i="1"/>
  <c r="B193" i="1" s="1"/>
  <c r="D193" i="1"/>
  <c r="C194" i="1"/>
  <c r="B194" i="1" s="1"/>
  <c r="D194" i="1"/>
  <c r="C195" i="1"/>
  <c r="B195" i="1" s="1"/>
  <c r="D195" i="1"/>
  <c r="C196" i="1"/>
  <c r="B196" i="1" s="1"/>
  <c r="D196" i="1"/>
  <c r="C197" i="1"/>
  <c r="B197" i="1" s="1"/>
  <c r="D197" i="1"/>
  <c r="C198" i="1"/>
  <c r="B198" i="1" s="1"/>
  <c r="D198" i="1"/>
  <c r="C199" i="1"/>
  <c r="B199" i="1" s="1"/>
  <c r="D199" i="1"/>
  <c r="D181" i="1"/>
  <c r="C181" i="1"/>
  <c r="C157" i="1"/>
  <c r="B157" i="1" s="1"/>
  <c r="D157" i="1"/>
  <c r="C158" i="1"/>
  <c r="B158" i="1" s="1"/>
  <c r="D158" i="1"/>
  <c r="C159" i="1"/>
  <c r="B159" i="1" s="1"/>
  <c r="D159" i="1"/>
  <c r="C160" i="1"/>
  <c r="B160" i="1" s="1"/>
  <c r="D160" i="1"/>
  <c r="C161" i="1"/>
  <c r="B161" i="1" s="1"/>
  <c r="D161" i="1"/>
  <c r="C162" i="1"/>
  <c r="B162" i="1" s="1"/>
  <c r="D162" i="1"/>
  <c r="C163" i="1"/>
  <c r="B163" i="1" s="1"/>
  <c r="D163" i="1"/>
  <c r="C164" i="1"/>
  <c r="B164" i="1" s="1"/>
  <c r="D164" i="1"/>
  <c r="C165" i="1"/>
  <c r="B165" i="1" s="1"/>
  <c r="D165" i="1"/>
  <c r="C166" i="1"/>
  <c r="B166" i="1" s="1"/>
  <c r="D166" i="1"/>
  <c r="C167" i="1"/>
  <c r="B167" i="1" s="1"/>
  <c r="D167" i="1"/>
  <c r="C168" i="1"/>
  <c r="B168" i="1" s="1"/>
  <c r="D168" i="1"/>
  <c r="C169" i="1"/>
  <c r="B169" i="1" s="1"/>
  <c r="D169" i="1"/>
  <c r="C170" i="1"/>
  <c r="B170" i="1" s="1"/>
  <c r="D170" i="1"/>
  <c r="C171" i="1"/>
  <c r="B171" i="1" s="1"/>
  <c r="D171" i="1"/>
  <c r="C172" i="1"/>
  <c r="B172" i="1" s="1"/>
  <c r="D172" i="1"/>
  <c r="C173" i="1"/>
  <c r="B173" i="1" s="1"/>
  <c r="D173" i="1"/>
  <c r="C174" i="1"/>
  <c r="B174" i="1" s="1"/>
  <c r="D174" i="1"/>
  <c r="D156" i="1"/>
  <c r="C156" i="1"/>
  <c r="C132" i="1"/>
  <c r="D132" i="1"/>
  <c r="B132" i="1"/>
  <c r="C133" i="1"/>
  <c r="D133" i="1"/>
  <c r="B133" i="1"/>
  <c r="C134" i="1"/>
  <c r="D134" i="1"/>
  <c r="B134" i="1"/>
  <c r="C135" i="1"/>
  <c r="D135" i="1"/>
  <c r="B135" i="1"/>
  <c r="C136" i="1"/>
  <c r="D136" i="1"/>
  <c r="B136" i="1"/>
  <c r="C137" i="1"/>
  <c r="D137" i="1"/>
  <c r="B137" i="1"/>
  <c r="C138" i="1"/>
  <c r="D138" i="1"/>
  <c r="B138" i="1"/>
  <c r="C139" i="1"/>
  <c r="D139" i="1"/>
  <c r="B139" i="1"/>
  <c r="C140" i="1"/>
  <c r="D140" i="1"/>
  <c r="B140" i="1"/>
  <c r="C141" i="1"/>
  <c r="D141" i="1"/>
  <c r="B141" i="1"/>
  <c r="C142" i="1"/>
  <c r="D142" i="1"/>
  <c r="B142" i="1"/>
  <c r="C143" i="1"/>
  <c r="D143" i="1"/>
  <c r="B143" i="1"/>
  <c r="C144" i="1"/>
  <c r="D144" i="1"/>
  <c r="B144" i="1"/>
  <c r="C145" i="1"/>
  <c r="D145" i="1"/>
  <c r="B145" i="1"/>
  <c r="C146" i="1"/>
  <c r="D146" i="1"/>
  <c r="B146" i="1"/>
  <c r="C147" i="1"/>
  <c r="D147" i="1"/>
  <c r="B147" i="1"/>
  <c r="C148" i="1"/>
  <c r="D148" i="1"/>
  <c r="B148" i="1"/>
  <c r="C149" i="1"/>
  <c r="D149" i="1"/>
  <c r="B149" i="1"/>
  <c r="D131" i="1"/>
  <c r="C131" i="1"/>
  <c r="C107" i="1"/>
  <c r="B107" i="1" s="1"/>
  <c r="D107" i="1"/>
  <c r="C108" i="1"/>
  <c r="D108" i="1"/>
  <c r="B108" i="1" s="1"/>
  <c r="C109" i="1"/>
  <c r="D109" i="1"/>
  <c r="B109" i="1" s="1"/>
  <c r="C110" i="1"/>
  <c r="D110" i="1"/>
  <c r="B110" i="1" s="1"/>
  <c r="C111" i="1"/>
  <c r="D111" i="1"/>
  <c r="B111" i="1" s="1"/>
  <c r="C112" i="1"/>
  <c r="D112" i="1"/>
  <c r="B112" i="1" s="1"/>
  <c r="C113" i="1"/>
  <c r="D113" i="1"/>
  <c r="B113" i="1" s="1"/>
  <c r="C114" i="1"/>
  <c r="D114" i="1"/>
  <c r="B114" i="1" s="1"/>
  <c r="C115" i="1"/>
  <c r="D115" i="1"/>
  <c r="B115" i="1" s="1"/>
  <c r="C116" i="1"/>
  <c r="D116" i="1"/>
  <c r="B116" i="1" s="1"/>
  <c r="C117" i="1"/>
  <c r="D117" i="1"/>
  <c r="B117" i="1" s="1"/>
  <c r="C118" i="1"/>
  <c r="D118" i="1"/>
  <c r="B118" i="1" s="1"/>
  <c r="C119" i="1"/>
  <c r="D119" i="1"/>
  <c r="B119" i="1" s="1"/>
  <c r="C120" i="1"/>
  <c r="D120" i="1"/>
  <c r="B120" i="1" s="1"/>
  <c r="C121" i="1"/>
  <c r="D121" i="1"/>
  <c r="B121" i="1" s="1"/>
  <c r="C122" i="1"/>
  <c r="D122" i="1"/>
  <c r="B122" i="1" s="1"/>
  <c r="C123" i="1"/>
  <c r="D123" i="1"/>
  <c r="B123" i="1" s="1"/>
  <c r="C124" i="1"/>
  <c r="D124" i="1"/>
  <c r="B124" i="1" s="1"/>
  <c r="D106" i="1"/>
  <c r="C106" i="1"/>
  <c r="C82" i="1"/>
  <c r="D82" i="1"/>
  <c r="B82" i="1"/>
  <c r="C83" i="1"/>
  <c r="D83" i="1"/>
  <c r="B83" i="1"/>
  <c r="C84" i="1"/>
  <c r="D84" i="1"/>
  <c r="B84" i="1"/>
  <c r="C85" i="1"/>
  <c r="D85" i="1"/>
  <c r="B85" i="1"/>
  <c r="C86" i="1"/>
  <c r="D86" i="1"/>
  <c r="B86" i="1"/>
  <c r="C87" i="1"/>
  <c r="D87" i="1"/>
  <c r="B87" i="1"/>
  <c r="C88" i="1"/>
  <c r="D88" i="1"/>
  <c r="B88" i="1"/>
  <c r="C89" i="1"/>
  <c r="D89" i="1"/>
  <c r="B89" i="1"/>
  <c r="C90" i="1"/>
  <c r="D90" i="1"/>
  <c r="B90" i="1"/>
  <c r="C91" i="1"/>
  <c r="D91" i="1"/>
  <c r="B91" i="1"/>
  <c r="C92" i="1"/>
  <c r="D92" i="1"/>
  <c r="B92" i="1"/>
  <c r="C93" i="1"/>
  <c r="D93" i="1"/>
  <c r="B93" i="1"/>
  <c r="C94" i="1"/>
  <c r="D94" i="1"/>
  <c r="B94" i="1"/>
  <c r="C95" i="1"/>
  <c r="D95" i="1"/>
  <c r="B95" i="1"/>
  <c r="C96" i="1"/>
  <c r="D96" i="1"/>
  <c r="B96" i="1"/>
  <c r="C97" i="1"/>
  <c r="D97" i="1"/>
  <c r="B97" i="1"/>
  <c r="C98" i="1"/>
  <c r="D98" i="1"/>
  <c r="B98" i="1"/>
  <c r="C99" i="1"/>
  <c r="D99" i="1"/>
  <c r="B99" i="1"/>
  <c r="D81" i="1"/>
  <c r="C81" i="1"/>
  <c r="C57" i="1"/>
  <c r="D57" i="1"/>
  <c r="B57" i="1"/>
  <c r="C58" i="1"/>
  <c r="D58" i="1"/>
  <c r="B58" i="1"/>
  <c r="C59" i="1"/>
  <c r="D59" i="1"/>
  <c r="B59" i="1"/>
  <c r="C60" i="1"/>
  <c r="D60" i="1"/>
  <c r="B60" i="1"/>
  <c r="C61" i="1"/>
  <c r="D61" i="1"/>
  <c r="B61" i="1"/>
  <c r="C62" i="1"/>
  <c r="D62" i="1"/>
  <c r="B62" i="1"/>
  <c r="C63" i="1"/>
  <c r="D63" i="1"/>
  <c r="B63" i="1"/>
  <c r="C64" i="1"/>
  <c r="D64" i="1"/>
  <c r="B64" i="1"/>
  <c r="C65" i="1"/>
  <c r="D65" i="1"/>
  <c r="B65" i="1"/>
  <c r="C66" i="1"/>
  <c r="D66" i="1"/>
  <c r="B66" i="1"/>
  <c r="C67" i="1"/>
  <c r="D67" i="1"/>
  <c r="B67" i="1"/>
  <c r="C68" i="1"/>
  <c r="D68" i="1"/>
  <c r="B68" i="1"/>
  <c r="C69" i="1"/>
  <c r="D69" i="1"/>
  <c r="B69" i="1"/>
  <c r="C70" i="1"/>
  <c r="D70" i="1"/>
  <c r="B70" i="1"/>
  <c r="C71" i="1"/>
  <c r="D71" i="1"/>
  <c r="B71" i="1"/>
  <c r="C72" i="1"/>
  <c r="D72" i="1"/>
  <c r="B72" i="1"/>
  <c r="C73" i="1"/>
  <c r="D73" i="1"/>
  <c r="B73" i="1"/>
  <c r="C74" i="1"/>
  <c r="D74" i="1"/>
  <c r="B74" i="1"/>
  <c r="D56" i="1"/>
  <c r="C56" i="1"/>
  <c r="C32" i="1"/>
  <c r="D32" i="1"/>
  <c r="B32" i="1"/>
  <c r="C33" i="1"/>
  <c r="D33" i="1"/>
  <c r="B33" i="1"/>
  <c r="C34" i="1"/>
  <c r="D34" i="1"/>
  <c r="B34" i="1"/>
  <c r="C35" i="1"/>
  <c r="D35" i="1"/>
  <c r="B35" i="1"/>
  <c r="C36" i="1"/>
  <c r="D36" i="1"/>
  <c r="B36" i="1"/>
  <c r="C37" i="1"/>
  <c r="D37" i="1"/>
  <c r="B37" i="1"/>
  <c r="C38" i="1"/>
  <c r="D38" i="1"/>
  <c r="B38" i="1"/>
  <c r="C39" i="1"/>
  <c r="D39" i="1"/>
  <c r="B39" i="1"/>
  <c r="C40" i="1"/>
  <c r="D40" i="1"/>
  <c r="B40" i="1"/>
  <c r="C41" i="1"/>
  <c r="D41" i="1"/>
  <c r="B41" i="1"/>
  <c r="C42" i="1"/>
  <c r="D42" i="1"/>
  <c r="B42" i="1"/>
  <c r="C43" i="1"/>
  <c r="D43" i="1"/>
  <c r="B43" i="1"/>
  <c r="C44" i="1"/>
  <c r="D44" i="1"/>
  <c r="B44" i="1"/>
  <c r="C45" i="1"/>
  <c r="D45" i="1"/>
  <c r="B45" i="1"/>
  <c r="C46" i="1"/>
  <c r="D46" i="1"/>
  <c r="B46" i="1"/>
  <c r="C47" i="1"/>
  <c r="D47" i="1"/>
  <c r="B47" i="1"/>
  <c r="C48" i="1"/>
  <c r="D48" i="1"/>
  <c r="B48" i="1"/>
  <c r="C49" i="1"/>
  <c r="D49" i="1"/>
  <c r="B49" i="1"/>
  <c r="D31" i="1"/>
  <c r="C31" i="1"/>
  <c r="C55" i="1"/>
  <c r="L1003" i="12" l="1"/>
  <c r="L1004" i="12"/>
  <c r="L1005" i="12"/>
  <c r="L1006" i="12"/>
  <c r="L1007" i="12"/>
  <c r="L1008" i="12"/>
  <c r="L1009" i="12"/>
  <c r="L1010" i="12"/>
  <c r="L1011" i="12"/>
  <c r="L1012" i="12"/>
  <c r="L1013" i="12"/>
  <c r="L1014" i="12"/>
  <c r="L1015" i="12"/>
  <c r="L1016" i="12"/>
  <c r="L1017" i="12"/>
  <c r="L1018" i="12"/>
  <c r="L1019" i="12"/>
  <c r="L1020" i="12"/>
  <c r="L1021" i="12"/>
  <c r="L1022" i="12"/>
  <c r="L1023" i="12"/>
  <c r="L1024" i="12"/>
  <c r="L1025" i="12"/>
  <c r="L1026" i="12"/>
  <c r="L1027" i="12"/>
  <c r="L1028" i="12"/>
  <c r="L1029" i="12"/>
  <c r="L1030" i="12"/>
  <c r="L1031" i="12"/>
  <c r="L1032" i="12"/>
  <c r="L1033" i="12"/>
  <c r="L1034" i="12"/>
  <c r="L1035" i="12"/>
  <c r="L1036" i="12"/>
  <c r="L1037" i="12"/>
  <c r="L1038" i="12"/>
  <c r="L1039" i="12"/>
  <c r="L1040" i="12"/>
  <c r="L1041" i="12"/>
  <c r="L1042" i="12"/>
  <c r="L1043" i="12"/>
  <c r="L1044" i="12"/>
  <c r="L1045" i="12"/>
  <c r="L1046" i="12"/>
  <c r="L1047" i="12"/>
  <c r="L1048" i="12"/>
  <c r="L1049" i="12"/>
  <c r="L1050" i="12"/>
  <c r="L1051" i="12"/>
  <c r="L1052" i="12"/>
  <c r="L1053" i="12"/>
  <c r="L1054" i="12"/>
  <c r="L1055" i="12"/>
  <c r="L1056" i="12"/>
  <c r="L1057" i="12"/>
  <c r="L1058" i="12"/>
  <c r="L1059" i="12"/>
  <c r="L1060" i="12"/>
  <c r="L1061" i="12"/>
  <c r="L1062" i="12"/>
  <c r="L1063" i="12"/>
  <c r="L1064" i="12"/>
  <c r="L1065" i="12"/>
  <c r="L1066" i="12"/>
  <c r="L1067" i="12"/>
  <c r="L1068" i="12"/>
  <c r="L1069" i="12"/>
  <c r="L1070" i="12"/>
  <c r="L1071" i="12"/>
  <c r="L1072" i="12"/>
  <c r="L1073" i="12"/>
  <c r="L1074" i="12"/>
  <c r="L1075" i="12"/>
  <c r="L1076" i="12"/>
  <c r="L1077" i="12"/>
  <c r="L1078" i="12"/>
  <c r="L1079" i="12"/>
  <c r="L1080" i="12"/>
  <c r="L1081" i="12"/>
  <c r="L1082" i="12"/>
  <c r="L1083" i="12"/>
  <c r="L1084" i="12"/>
  <c r="L1085" i="12"/>
  <c r="L1086" i="12"/>
  <c r="L1087" i="12"/>
  <c r="L1088" i="12"/>
  <c r="L1089" i="12"/>
  <c r="L1090" i="12"/>
  <c r="L1091" i="12"/>
  <c r="L1092" i="12"/>
  <c r="L1093" i="12"/>
  <c r="L1094" i="12"/>
  <c r="L1095" i="12"/>
  <c r="L1096" i="12"/>
  <c r="L1097" i="12"/>
  <c r="L1098" i="12"/>
  <c r="L1099" i="12"/>
  <c r="L1100" i="12"/>
  <c r="L1101" i="12"/>
  <c r="L1102" i="12"/>
  <c r="L1103" i="12"/>
  <c r="L1104" i="12"/>
  <c r="L1105" i="12"/>
  <c r="L1106" i="12"/>
  <c r="L1107" i="12"/>
  <c r="L1108" i="12"/>
  <c r="L1109" i="12"/>
  <c r="L1110" i="12"/>
  <c r="L1111" i="12"/>
  <c r="L1112" i="12"/>
  <c r="L1113" i="12"/>
  <c r="L1114" i="12"/>
  <c r="L1115" i="12"/>
  <c r="L1116" i="12"/>
  <c r="L1117" i="12"/>
  <c r="L1118" i="12"/>
  <c r="L1119" i="12"/>
  <c r="L1120" i="12"/>
  <c r="L1121" i="12"/>
  <c r="L1122" i="12"/>
  <c r="L1123" i="12"/>
  <c r="L1124" i="12"/>
  <c r="L1125" i="12"/>
  <c r="L1126" i="12"/>
  <c r="L1127" i="12"/>
  <c r="L1128" i="12"/>
  <c r="L1129" i="12"/>
  <c r="L1130" i="12"/>
  <c r="L1131" i="12"/>
  <c r="L1132" i="12"/>
  <c r="L1133" i="12"/>
  <c r="L1134" i="12"/>
  <c r="L1135" i="12"/>
  <c r="L1136" i="12"/>
  <c r="L1137" i="12"/>
  <c r="L1138" i="12"/>
  <c r="L1139" i="12"/>
  <c r="L1140" i="12"/>
  <c r="L1141" i="12"/>
  <c r="L1142" i="12"/>
  <c r="L1143" i="12"/>
  <c r="L1144" i="12"/>
  <c r="L1145" i="12"/>
  <c r="L1146" i="12"/>
  <c r="L1147" i="12"/>
  <c r="L1148" i="12"/>
  <c r="L1149" i="12"/>
  <c r="L1150" i="12"/>
  <c r="L1151" i="12"/>
  <c r="L1152" i="12"/>
  <c r="L1153" i="12"/>
  <c r="L1154" i="12"/>
  <c r="L1155" i="12"/>
  <c r="L1156" i="12"/>
  <c r="L1157" i="12"/>
  <c r="L1158" i="12"/>
  <c r="L1159" i="12"/>
  <c r="L1160" i="12"/>
  <c r="L1161" i="12"/>
  <c r="L1162" i="12"/>
  <c r="L1163" i="12"/>
  <c r="L1164" i="12"/>
  <c r="L1165" i="12"/>
  <c r="L1166" i="12"/>
  <c r="L1167" i="12"/>
  <c r="L1168" i="12"/>
  <c r="L1169" i="12"/>
  <c r="L1170" i="12"/>
  <c r="L1171" i="12"/>
  <c r="L1172" i="12"/>
  <c r="L1173" i="12"/>
  <c r="L1174" i="12"/>
  <c r="L1175" i="12"/>
  <c r="L1176" i="12"/>
  <c r="L1177" i="12"/>
  <c r="L1178" i="12"/>
  <c r="L1179" i="12"/>
  <c r="L1180" i="12"/>
  <c r="L1181" i="12"/>
  <c r="L1182" i="12"/>
  <c r="L1183" i="12"/>
  <c r="L1184" i="12"/>
  <c r="L1185" i="12"/>
  <c r="L1186" i="12"/>
  <c r="L1187" i="12"/>
  <c r="L1188" i="12"/>
  <c r="L1189" i="12"/>
  <c r="L1190" i="12"/>
  <c r="L1191" i="12"/>
  <c r="L1192" i="12"/>
  <c r="L1193" i="12"/>
  <c r="L1194" i="12"/>
  <c r="L1195" i="12"/>
  <c r="L1196" i="12"/>
  <c r="L1197" i="12"/>
  <c r="L1198" i="12"/>
  <c r="L1199" i="12"/>
  <c r="L1200" i="12"/>
  <c r="L1002" i="12"/>
  <c r="L1001" i="12"/>
  <c r="L1000" i="12"/>
  <c r="L999" i="12"/>
  <c r="L998" i="12"/>
  <c r="L997" i="12"/>
  <c r="L996" i="12"/>
  <c r="L995" i="12"/>
  <c r="L994" i="12"/>
  <c r="L993" i="12"/>
  <c r="L992" i="12"/>
  <c r="L991" i="12"/>
  <c r="L990" i="12"/>
  <c r="L989" i="12"/>
  <c r="L988" i="12"/>
  <c r="L987" i="12"/>
  <c r="L986" i="12"/>
  <c r="L985" i="12"/>
  <c r="L984" i="12"/>
  <c r="L983" i="12"/>
  <c r="L982" i="12"/>
  <c r="L981" i="12"/>
  <c r="L980" i="12"/>
  <c r="L979" i="12"/>
  <c r="L978" i="12"/>
  <c r="L977" i="12"/>
  <c r="L976" i="12"/>
  <c r="L975" i="12"/>
  <c r="L974" i="12"/>
  <c r="L973" i="12"/>
  <c r="L972" i="12"/>
  <c r="L971" i="12"/>
  <c r="L970" i="12"/>
  <c r="L969" i="12"/>
  <c r="L968" i="12"/>
  <c r="L967" i="12"/>
  <c r="L966" i="12"/>
  <c r="L965" i="12"/>
  <c r="L964" i="12"/>
  <c r="L963" i="12"/>
  <c r="L962" i="12"/>
  <c r="L961" i="12"/>
  <c r="L960" i="12"/>
  <c r="L959" i="12"/>
  <c r="L958" i="12"/>
  <c r="L957" i="12"/>
  <c r="L956" i="12"/>
  <c r="L955" i="12"/>
  <c r="L954" i="12"/>
  <c r="L953" i="12"/>
  <c r="L952" i="12"/>
  <c r="L951" i="12"/>
  <c r="L950" i="12"/>
  <c r="L949" i="12"/>
  <c r="L948" i="12"/>
  <c r="L947" i="12"/>
  <c r="L946" i="12"/>
  <c r="L945" i="12"/>
  <c r="L944" i="12"/>
  <c r="L943" i="12"/>
  <c r="L942" i="12"/>
  <c r="L941" i="12"/>
  <c r="L940" i="12"/>
  <c r="L939" i="12"/>
  <c r="L938" i="12"/>
  <c r="L937" i="12"/>
  <c r="L936" i="12"/>
  <c r="L935" i="12"/>
  <c r="L934" i="12"/>
  <c r="L933" i="12"/>
  <c r="L932" i="12"/>
  <c r="L931" i="12"/>
  <c r="L930" i="12"/>
  <c r="L929" i="12"/>
  <c r="L928" i="12"/>
  <c r="L927" i="12"/>
  <c r="L926" i="12"/>
  <c r="L925" i="12"/>
  <c r="L924" i="12"/>
  <c r="L923" i="12"/>
  <c r="L922" i="12"/>
  <c r="L921" i="12"/>
  <c r="L920" i="12"/>
  <c r="L919" i="12"/>
  <c r="L918" i="12"/>
  <c r="L917" i="12"/>
  <c r="L916" i="12"/>
  <c r="L915" i="12"/>
  <c r="L914" i="12"/>
  <c r="L913" i="12"/>
  <c r="L912" i="12"/>
  <c r="L911" i="12"/>
  <c r="L910" i="12"/>
  <c r="L909" i="12"/>
  <c r="L908" i="12"/>
  <c r="L907" i="12"/>
  <c r="L906" i="12"/>
  <c r="L905" i="12"/>
  <c r="L904" i="12"/>
  <c r="L903" i="12"/>
  <c r="L902" i="12"/>
  <c r="L901" i="12"/>
  <c r="L900" i="12"/>
  <c r="L899" i="12"/>
  <c r="L898" i="12"/>
  <c r="L897" i="12"/>
  <c r="L896" i="12"/>
  <c r="L895" i="12"/>
  <c r="L894" i="12"/>
  <c r="L893" i="12"/>
  <c r="L892" i="12"/>
  <c r="L891" i="12"/>
  <c r="L890" i="12"/>
  <c r="L889" i="12"/>
  <c r="L888" i="12"/>
  <c r="L887" i="12"/>
  <c r="L886" i="12"/>
  <c r="L885" i="12"/>
  <c r="L884" i="12"/>
  <c r="L883" i="12"/>
  <c r="L882" i="12"/>
  <c r="L881" i="12"/>
  <c r="L880" i="12"/>
  <c r="L879" i="12"/>
  <c r="L878" i="12"/>
  <c r="L877" i="12"/>
  <c r="L876" i="12"/>
  <c r="L875" i="12"/>
  <c r="L874" i="12"/>
  <c r="L873" i="12"/>
  <c r="L872" i="12"/>
  <c r="L871" i="12"/>
  <c r="L870" i="12"/>
  <c r="L869" i="12"/>
  <c r="L868" i="12"/>
  <c r="L867" i="12"/>
  <c r="L866" i="12"/>
  <c r="L865" i="12"/>
  <c r="L864" i="12"/>
  <c r="L863" i="12"/>
  <c r="L862" i="12"/>
  <c r="L861" i="12"/>
  <c r="L860" i="12"/>
  <c r="L859" i="12"/>
  <c r="L858" i="12"/>
  <c r="L857" i="12"/>
  <c r="L856" i="12"/>
  <c r="L855" i="12"/>
  <c r="L854" i="12"/>
  <c r="L853" i="12"/>
  <c r="L852" i="12"/>
  <c r="L851" i="12"/>
  <c r="L850" i="12"/>
  <c r="L849" i="12"/>
  <c r="L848" i="12"/>
  <c r="L847" i="12"/>
  <c r="L846" i="12"/>
  <c r="L845" i="12"/>
  <c r="L844" i="12"/>
  <c r="L843" i="12"/>
  <c r="L842" i="12"/>
  <c r="L841" i="12"/>
  <c r="L840" i="12"/>
  <c r="L839" i="12"/>
  <c r="L838" i="12"/>
  <c r="L837" i="12"/>
  <c r="L836" i="12"/>
  <c r="L835" i="12"/>
  <c r="L834" i="12"/>
  <c r="L833" i="12"/>
  <c r="L832" i="12"/>
  <c r="L831" i="12"/>
  <c r="L830" i="12"/>
  <c r="L829" i="12"/>
  <c r="L828" i="12"/>
  <c r="L827" i="12"/>
  <c r="L826" i="12"/>
  <c r="L825" i="12"/>
  <c r="L824" i="12"/>
  <c r="L823" i="12"/>
  <c r="L822" i="12"/>
  <c r="L821" i="12"/>
  <c r="L820" i="12"/>
  <c r="L819" i="12"/>
  <c r="L818" i="12"/>
  <c r="L817" i="12"/>
  <c r="L816" i="12"/>
  <c r="L815" i="12"/>
  <c r="L814" i="12"/>
  <c r="L813" i="12"/>
  <c r="L812" i="12"/>
  <c r="L811" i="12"/>
  <c r="L810" i="12"/>
  <c r="L809" i="12"/>
  <c r="L808" i="12"/>
  <c r="L807" i="12"/>
  <c r="L806" i="12"/>
  <c r="L805" i="12"/>
  <c r="L804" i="12"/>
  <c r="L803" i="12"/>
  <c r="L802" i="12"/>
  <c r="L801" i="12"/>
  <c r="L800" i="12"/>
  <c r="L799" i="12"/>
  <c r="L798" i="12"/>
  <c r="L797" i="12"/>
  <c r="L796" i="12"/>
  <c r="L795" i="12"/>
  <c r="L794" i="12"/>
  <c r="L793" i="12"/>
  <c r="L792" i="12"/>
  <c r="L791" i="12"/>
  <c r="L790" i="12"/>
  <c r="L789" i="12"/>
  <c r="L788" i="12"/>
  <c r="L787" i="12"/>
  <c r="L786" i="12"/>
  <c r="L785" i="12"/>
  <c r="L784" i="12"/>
  <c r="L783" i="12"/>
  <c r="L782" i="12"/>
  <c r="L781" i="12"/>
  <c r="L780" i="12"/>
  <c r="L779" i="12"/>
  <c r="L778" i="12"/>
  <c r="L777" i="12"/>
  <c r="L776" i="12"/>
  <c r="L775" i="12"/>
  <c r="L774" i="12"/>
  <c r="L773" i="12"/>
  <c r="L772" i="12"/>
  <c r="L771" i="12"/>
  <c r="L770" i="12"/>
  <c r="L769" i="12"/>
  <c r="L768" i="12"/>
  <c r="L767" i="12"/>
  <c r="L766" i="12"/>
  <c r="L765" i="12"/>
  <c r="L764" i="12"/>
  <c r="L763" i="12"/>
  <c r="L762" i="12"/>
  <c r="L761" i="12"/>
  <c r="L760" i="12"/>
  <c r="L759" i="12"/>
  <c r="L758" i="12"/>
  <c r="L757" i="12"/>
  <c r="L756" i="12"/>
  <c r="L755" i="12"/>
  <c r="L754" i="12"/>
  <c r="L753" i="12"/>
  <c r="L752" i="12"/>
  <c r="L751" i="12"/>
  <c r="L750" i="12"/>
  <c r="L749" i="12"/>
  <c r="L748" i="12"/>
  <c r="L747" i="12"/>
  <c r="L746" i="12"/>
  <c r="L745" i="12"/>
  <c r="L744" i="12"/>
  <c r="L743" i="12"/>
  <c r="L742" i="12"/>
  <c r="L741" i="12"/>
  <c r="L740" i="12"/>
  <c r="L739" i="12"/>
  <c r="L738" i="12"/>
  <c r="L737" i="12"/>
  <c r="L736" i="12"/>
  <c r="L735" i="12"/>
  <c r="L734" i="12"/>
  <c r="L733" i="12"/>
  <c r="L732" i="12"/>
  <c r="L731" i="12"/>
  <c r="L730" i="12"/>
  <c r="L729" i="12"/>
  <c r="L728" i="12"/>
  <c r="L727" i="12"/>
  <c r="L726" i="12"/>
  <c r="L725" i="12"/>
  <c r="L724" i="12"/>
  <c r="L723" i="12"/>
  <c r="L722" i="12"/>
  <c r="L721" i="12"/>
  <c r="L720" i="12"/>
  <c r="L719" i="12"/>
  <c r="L718" i="12"/>
  <c r="L717" i="12"/>
  <c r="L716" i="12"/>
  <c r="L715" i="12"/>
  <c r="L714" i="12"/>
  <c r="L713" i="12"/>
  <c r="L712" i="12"/>
  <c r="L711" i="12"/>
  <c r="L710" i="12"/>
  <c r="L709" i="12"/>
  <c r="L708" i="12"/>
  <c r="L707" i="12"/>
  <c r="L706" i="12"/>
  <c r="L705" i="12"/>
  <c r="L704" i="12"/>
  <c r="L703" i="12"/>
  <c r="L702" i="12"/>
  <c r="L701" i="12"/>
  <c r="L700" i="12"/>
  <c r="L699" i="12"/>
  <c r="L698" i="12"/>
  <c r="L697" i="12"/>
  <c r="L696" i="12"/>
  <c r="L695" i="12"/>
  <c r="L694" i="12"/>
  <c r="L693" i="12"/>
  <c r="L692" i="12"/>
  <c r="L691" i="12"/>
  <c r="L690" i="12"/>
  <c r="L689" i="12"/>
  <c r="L688" i="12"/>
  <c r="L687" i="12"/>
  <c r="L686" i="12"/>
  <c r="L685" i="12"/>
  <c r="L684" i="12"/>
  <c r="L683" i="12"/>
  <c r="L682" i="12"/>
  <c r="L681" i="12"/>
  <c r="L680" i="12"/>
  <c r="L679" i="12"/>
  <c r="L678" i="12"/>
  <c r="L677" i="12"/>
  <c r="L676" i="12"/>
  <c r="L675" i="12"/>
  <c r="L674" i="12"/>
  <c r="L673" i="12"/>
  <c r="L672" i="12"/>
  <c r="L671" i="12"/>
  <c r="L670" i="12"/>
  <c r="L669" i="12"/>
  <c r="L668" i="12"/>
  <c r="L667" i="12"/>
  <c r="L666" i="12"/>
  <c r="L665" i="12"/>
  <c r="L664" i="12"/>
  <c r="L663" i="12"/>
  <c r="L662" i="12"/>
  <c r="L661" i="12"/>
  <c r="L660" i="12"/>
  <c r="L659" i="12"/>
  <c r="L658" i="12"/>
  <c r="L657" i="12"/>
  <c r="L656" i="12"/>
  <c r="L655" i="12"/>
  <c r="L654" i="12"/>
  <c r="L653" i="12"/>
  <c r="L652" i="12"/>
  <c r="L651" i="12"/>
  <c r="L650" i="12"/>
  <c r="L649" i="12"/>
  <c r="L648" i="12"/>
  <c r="L647" i="12"/>
  <c r="L646" i="12"/>
  <c r="L645" i="12"/>
  <c r="L644" i="12"/>
  <c r="L643" i="12"/>
  <c r="L642" i="12"/>
  <c r="L641" i="12"/>
  <c r="L640" i="12"/>
  <c r="L639" i="12"/>
  <c r="L638" i="12"/>
  <c r="L637" i="12"/>
  <c r="L636" i="12"/>
  <c r="L635" i="12"/>
  <c r="L634" i="12"/>
  <c r="L633" i="12"/>
  <c r="L632" i="12"/>
  <c r="L631" i="12"/>
  <c r="L630" i="12"/>
  <c r="L629" i="12"/>
  <c r="L628" i="12"/>
  <c r="L627" i="12"/>
  <c r="L626" i="12"/>
  <c r="L625" i="12"/>
  <c r="L624" i="12"/>
  <c r="L623" i="12"/>
  <c r="L622" i="12"/>
  <c r="L621" i="12"/>
  <c r="L620" i="12"/>
  <c r="L619" i="12"/>
  <c r="L618" i="12"/>
  <c r="L617" i="12"/>
  <c r="L616" i="12"/>
  <c r="L615" i="12"/>
  <c r="L614" i="12"/>
  <c r="L613" i="12"/>
  <c r="L612" i="12"/>
  <c r="L611" i="12"/>
  <c r="L610" i="12"/>
  <c r="L609" i="12"/>
  <c r="L608" i="12"/>
  <c r="L607" i="12"/>
  <c r="L606" i="12"/>
  <c r="L605" i="12"/>
  <c r="L604" i="12"/>
  <c r="L603" i="12"/>
  <c r="L602" i="12"/>
  <c r="L601" i="12"/>
  <c r="L600" i="12"/>
  <c r="L599" i="12"/>
  <c r="L598" i="12"/>
  <c r="L597" i="12"/>
  <c r="L596" i="12"/>
  <c r="L595" i="12"/>
  <c r="L594" i="12"/>
  <c r="L593" i="12"/>
  <c r="L592" i="12"/>
  <c r="L591" i="12"/>
  <c r="L590" i="12"/>
  <c r="L589" i="12"/>
  <c r="L588" i="12"/>
  <c r="L587" i="12"/>
  <c r="L586" i="12"/>
  <c r="L585" i="12"/>
  <c r="L584" i="12"/>
  <c r="L583" i="12"/>
  <c r="L582" i="12"/>
  <c r="L581" i="12"/>
  <c r="L580" i="12"/>
  <c r="L579" i="12"/>
  <c r="L578" i="12"/>
  <c r="L577" i="12"/>
  <c r="L576" i="12"/>
  <c r="L575" i="12"/>
  <c r="L574" i="12"/>
  <c r="L573" i="12"/>
  <c r="L572" i="12"/>
  <c r="L571" i="12"/>
  <c r="L570" i="12"/>
  <c r="L569" i="12"/>
  <c r="L568" i="12"/>
  <c r="L567" i="12"/>
  <c r="L566" i="12"/>
  <c r="L565" i="12"/>
  <c r="L564" i="12"/>
  <c r="L563" i="12"/>
  <c r="L562" i="12"/>
  <c r="L561" i="12"/>
  <c r="L560" i="12"/>
  <c r="L559" i="12"/>
  <c r="L558" i="12"/>
  <c r="L557" i="12"/>
  <c r="L556" i="12"/>
  <c r="L555" i="12"/>
  <c r="L554" i="12"/>
  <c r="L553" i="12"/>
  <c r="L552" i="12"/>
  <c r="L551" i="12"/>
  <c r="L550" i="12"/>
  <c r="L549" i="12"/>
  <c r="L548" i="12"/>
  <c r="L547" i="12"/>
  <c r="L546" i="12"/>
  <c r="L545" i="12"/>
  <c r="L544" i="12"/>
  <c r="L543" i="12"/>
  <c r="L542" i="12"/>
  <c r="L541" i="12"/>
  <c r="L540" i="12"/>
  <c r="L539" i="12"/>
  <c r="L538" i="12"/>
  <c r="L537" i="12"/>
  <c r="L536" i="12"/>
  <c r="L535" i="12"/>
  <c r="L534" i="12"/>
  <c r="L533" i="12"/>
  <c r="L532" i="12"/>
  <c r="L531" i="12"/>
  <c r="L530" i="12"/>
  <c r="L529" i="12"/>
  <c r="L528" i="12"/>
  <c r="L527" i="12"/>
  <c r="L526" i="12"/>
  <c r="L525" i="12"/>
  <c r="L524" i="12"/>
  <c r="L523" i="12"/>
  <c r="L522" i="12"/>
  <c r="L521" i="12"/>
  <c r="L520" i="12"/>
  <c r="L519" i="12"/>
  <c r="L518" i="12"/>
  <c r="L517" i="12"/>
  <c r="L516" i="12"/>
  <c r="L515" i="12"/>
  <c r="L514" i="12"/>
  <c r="L513" i="12"/>
  <c r="L512" i="12"/>
  <c r="L511" i="12"/>
  <c r="L510" i="12"/>
  <c r="L509" i="12"/>
  <c r="L508" i="12"/>
  <c r="L507" i="12"/>
  <c r="L506" i="12"/>
  <c r="L505" i="12"/>
  <c r="L504" i="12"/>
  <c r="L503" i="12"/>
  <c r="L502" i="12"/>
  <c r="L501" i="12"/>
  <c r="L500" i="12"/>
  <c r="L499" i="12"/>
  <c r="L498" i="12"/>
  <c r="L497" i="12"/>
  <c r="L496" i="12"/>
  <c r="L495" i="12"/>
  <c r="L494" i="12"/>
  <c r="L493" i="12"/>
  <c r="L492" i="12"/>
  <c r="L491" i="12"/>
  <c r="L490" i="12"/>
  <c r="L489" i="12"/>
  <c r="L488" i="12"/>
  <c r="L487" i="12"/>
  <c r="L486" i="12"/>
  <c r="L485" i="12"/>
  <c r="L484" i="12"/>
  <c r="L483" i="12"/>
  <c r="L482" i="12"/>
  <c r="L481" i="12"/>
  <c r="L480" i="12"/>
  <c r="L479" i="12"/>
  <c r="L478" i="12"/>
  <c r="L477" i="12"/>
  <c r="L476" i="12"/>
  <c r="L475" i="12"/>
  <c r="L474" i="12"/>
  <c r="L473" i="12"/>
  <c r="L472" i="12"/>
  <c r="L471" i="12"/>
  <c r="L470" i="12"/>
  <c r="L469" i="12"/>
  <c r="L468" i="12"/>
  <c r="L467" i="12"/>
  <c r="L466" i="12"/>
  <c r="L465" i="12"/>
  <c r="L464" i="12"/>
  <c r="L463" i="12"/>
  <c r="L462" i="12"/>
  <c r="L461" i="12"/>
  <c r="L460" i="12"/>
  <c r="L459" i="12"/>
  <c r="L458" i="12"/>
  <c r="L457" i="12"/>
  <c r="L456" i="12"/>
  <c r="L455" i="12"/>
  <c r="L454" i="12"/>
  <c r="L453" i="12"/>
  <c r="L452" i="12"/>
  <c r="L451" i="12"/>
  <c r="L450" i="12"/>
  <c r="L449" i="12"/>
  <c r="L448" i="12"/>
  <c r="L447" i="12"/>
  <c r="L446" i="12"/>
  <c r="L445" i="12"/>
  <c r="L444" i="12"/>
  <c r="L443" i="12"/>
  <c r="L442" i="12"/>
  <c r="L441" i="12"/>
  <c r="L440" i="12"/>
  <c r="L439" i="12"/>
  <c r="L438" i="12"/>
  <c r="L437" i="12"/>
  <c r="L436" i="12"/>
  <c r="L435" i="12"/>
  <c r="L434" i="12"/>
  <c r="L433" i="12"/>
  <c r="L432" i="12"/>
  <c r="L431" i="12"/>
  <c r="L430" i="12"/>
  <c r="L429" i="12"/>
  <c r="L428" i="12"/>
  <c r="L427" i="12"/>
  <c r="L426" i="12"/>
  <c r="L425" i="12"/>
  <c r="L424" i="12"/>
  <c r="L423" i="12"/>
  <c r="L422" i="12"/>
  <c r="L421" i="12"/>
  <c r="L420" i="12"/>
  <c r="L419" i="12"/>
  <c r="L418" i="12"/>
  <c r="L417" i="12"/>
  <c r="L416" i="12"/>
  <c r="L415" i="12"/>
  <c r="L414" i="12"/>
  <c r="L413" i="12"/>
  <c r="L412" i="12"/>
  <c r="L411" i="12"/>
  <c r="L410" i="12"/>
  <c r="L409" i="12"/>
  <c r="L408" i="12"/>
  <c r="L407" i="12"/>
  <c r="L406" i="12"/>
  <c r="L405" i="12"/>
  <c r="L404" i="12"/>
  <c r="L403" i="12"/>
  <c r="L402" i="12"/>
  <c r="L401" i="12"/>
  <c r="L400" i="12"/>
  <c r="L399" i="12"/>
  <c r="L398" i="12"/>
  <c r="L397" i="12"/>
  <c r="L396" i="12"/>
  <c r="L395" i="12"/>
  <c r="L394" i="12"/>
  <c r="L393" i="12"/>
  <c r="L392" i="12"/>
  <c r="L391" i="12"/>
  <c r="L390" i="12"/>
  <c r="L389" i="12"/>
  <c r="L388" i="12"/>
  <c r="L387" i="12"/>
  <c r="L386" i="12"/>
  <c r="L385" i="12"/>
  <c r="L384" i="12"/>
  <c r="L383" i="12"/>
  <c r="L382" i="12"/>
  <c r="L381" i="12"/>
  <c r="L380" i="12"/>
  <c r="L379" i="12"/>
  <c r="L378" i="12"/>
  <c r="L377" i="12"/>
  <c r="L376" i="12"/>
  <c r="L375" i="12"/>
  <c r="L374" i="12"/>
  <c r="L373" i="12"/>
  <c r="L372" i="12"/>
  <c r="L371" i="12"/>
  <c r="L370" i="12"/>
  <c r="L369" i="12"/>
  <c r="L368" i="12"/>
  <c r="L367" i="12"/>
  <c r="L366" i="12"/>
  <c r="L365" i="12"/>
  <c r="L364" i="12"/>
  <c r="L363" i="12"/>
  <c r="L362" i="12"/>
  <c r="L361" i="12"/>
  <c r="L360" i="12"/>
  <c r="L359" i="12"/>
  <c r="L358" i="12"/>
  <c r="L357" i="12"/>
  <c r="L356" i="12"/>
  <c r="L355" i="12"/>
  <c r="L354" i="12"/>
  <c r="L353" i="12"/>
  <c r="L352" i="12"/>
  <c r="L351" i="12"/>
  <c r="L350" i="12"/>
  <c r="L349" i="12"/>
  <c r="L348" i="12"/>
  <c r="L347" i="12"/>
  <c r="L346" i="12"/>
  <c r="L345" i="12"/>
  <c r="L344" i="12"/>
  <c r="L343" i="12"/>
  <c r="L342" i="12"/>
  <c r="L341" i="12"/>
  <c r="L340" i="12"/>
  <c r="L339" i="12"/>
  <c r="L338" i="12"/>
  <c r="L337" i="12"/>
  <c r="L336" i="12"/>
  <c r="L335" i="12"/>
  <c r="L334" i="12"/>
  <c r="L333" i="12"/>
  <c r="L332" i="12"/>
  <c r="L331" i="12"/>
  <c r="L330" i="12"/>
  <c r="L329" i="12"/>
  <c r="L328" i="12"/>
  <c r="L327" i="12"/>
  <c r="L326" i="12"/>
  <c r="L325" i="12"/>
  <c r="L324" i="12"/>
  <c r="L323" i="12"/>
  <c r="L322" i="12"/>
  <c r="L321" i="12"/>
  <c r="L320" i="12"/>
  <c r="L319" i="12"/>
  <c r="L318" i="12"/>
  <c r="L317" i="12"/>
  <c r="L316" i="12"/>
  <c r="L315" i="12"/>
  <c r="L314" i="12"/>
  <c r="L313" i="12"/>
  <c r="L312" i="12"/>
  <c r="L311" i="12"/>
  <c r="L310" i="12"/>
  <c r="L309" i="12"/>
  <c r="L308" i="12"/>
  <c r="L307" i="12"/>
  <c r="L306" i="12"/>
  <c r="L305" i="12"/>
  <c r="L304" i="12"/>
  <c r="L303" i="12"/>
  <c r="L302" i="12"/>
  <c r="L301" i="12"/>
  <c r="L300" i="12"/>
  <c r="L299" i="12"/>
  <c r="L298" i="12"/>
  <c r="L297" i="12"/>
  <c r="L296" i="12"/>
  <c r="L295" i="12"/>
  <c r="L294" i="12"/>
  <c r="L293" i="12"/>
  <c r="L292" i="12"/>
  <c r="L291" i="12"/>
  <c r="L290" i="12"/>
  <c r="L289" i="12"/>
  <c r="L288" i="12"/>
  <c r="L287" i="12"/>
  <c r="L286" i="12"/>
  <c r="L285" i="12"/>
  <c r="L284" i="12"/>
  <c r="L283" i="12"/>
  <c r="L282" i="12"/>
  <c r="L281" i="12"/>
  <c r="L280" i="12"/>
  <c r="L279" i="12"/>
  <c r="L278" i="12"/>
  <c r="L277" i="12"/>
  <c r="L276" i="12"/>
  <c r="L275" i="12"/>
  <c r="L274" i="12"/>
  <c r="L273" i="12"/>
  <c r="L272" i="12"/>
  <c r="L271" i="12"/>
  <c r="L270" i="12"/>
  <c r="L269" i="12"/>
  <c r="L268" i="12"/>
  <c r="L267" i="12"/>
  <c r="L266" i="12"/>
  <c r="L265" i="12"/>
  <c r="L264" i="12"/>
  <c r="L263" i="12"/>
  <c r="L262" i="12"/>
  <c r="L261" i="12"/>
  <c r="L260" i="12"/>
  <c r="L259" i="12"/>
  <c r="L258" i="12"/>
  <c r="L257" i="12"/>
  <c r="L256" i="12"/>
  <c r="L255" i="12"/>
  <c r="L254" i="12"/>
  <c r="L253" i="12"/>
  <c r="L252" i="12"/>
  <c r="L251" i="12"/>
  <c r="L250" i="12"/>
  <c r="L249" i="12"/>
  <c r="L248" i="12"/>
  <c r="L247" i="12"/>
  <c r="L246" i="12"/>
  <c r="L245" i="12"/>
  <c r="L244" i="12"/>
  <c r="L243" i="12"/>
  <c r="L242" i="12"/>
  <c r="L241" i="12"/>
  <c r="L240" i="12"/>
  <c r="L239" i="12"/>
  <c r="L238" i="12"/>
  <c r="L237" i="12"/>
  <c r="L236" i="12"/>
  <c r="L235" i="12"/>
  <c r="L234" i="12"/>
  <c r="L233" i="12"/>
  <c r="L232" i="12"/>
  <c r="L231" i="12"/>
  <c r="L230" i="12"/>
  <c r="L229" i="12"/>
  <c r="L228" i="12"/>
  <c r="L227" i="12"/>
  <c r="L226" i="12"/>
  <c r="L225" i="12"/>
  <c r="L224" i="12"/>
  <c r="L223" i="12"/>
  <c r="L222" i="12"/>
  <c r="L221" i="12"/>
  <c r="L220" i="12"/>
  <c r="L219" i="12"/>
  <c r="L218" i="12"/>
  <c r="L217" i="12"/>
  <c r="L216" i="12"/>
  <c r="L215" i="12"/>
  <c r="L214" i="12"/>
  <c r="L213" i="12"/>
  <c r="L212" i="12"/>
  <c r="L211" i="12"/>
  <c r="L210" i="12"/>
  <c r="L209" i="12"/>
  <c r="L208" i="12"/>
  <c r="L207" i="12"/>
  <c r="L206" i="12"/>
  <c r="L205" i="12"/>
  <c r="L204" i="12"/>
  <c r="L203" i="12"/>
  <c r="L202" i="12"/>
  <c r="L201" i="12"/>
  <c r="L200" i="12"/>
  <c r="L199" i="12"/>
  <c r="L198" i="12"/>
  <c r="L197" i="12"/>
  <c r="L196" i="12"/>
  <c r="L195" i="12"/>
  <c r="L194" i="12"/>
  <c r="L193" i="12"/>
  <c r="L192" i="12"/>
  <c r="L191" i="12"/>
  <c r="L190" i="12"/>
  <c r="L189" i="12"/>
  <c r="L188" i="12"/>
  <c r="L187" i="12"/>
  <c r="L186" i="12"/>
  <c r="L185" i="12"/>
  <c r="L184" i="12"/>
  <c r="L183" i="12"/>
  <c r="L182" i="12"/>
  <c r="L181" i="12"/>
  <c r="L180" i="12"/>
  <c r="L179" i="12"/>
  <c r="L178" i="12"/>
  <c r="L177" i="12"/>
  <c r="L176" i="12"/>
  <c r="L175" i="12"/>
  <c r="L174" i="12"/>
  <c r="L173" i="12"/>
  <c r="L172" i="12"/>
  <c r="L171" i="12"/>
  <c r="L170" i="12"/>
  <c r="L169" i="12"/>
  <c r="L168" i="12"/>
  <c r="L167" i="12"/>
  <c r="L166" i="12"/>
  <c r="L165" i="12"/>
  <c r="L164" i="12"/>
  <c r="L163" i="12"/>
  <c r="L162" i="12"/>
  <c r="L161" i="12"/>
  <c r="L160" i="12"/>
  <c r="L159" i="12"/>
  <c r="L158" i="12"/>
  <c r="L157" i="12"/>
  <c r="L156" i="12"/>
  <c r="L155" i="12"/>
  <c r="L154" i="12"/>
  <c r="L153" i="12"/>
  <c r="L152" i="12"/>
  <c r="L151" i="12"/>
  <c r="L150" i="12"/>
  <c r="L149" i="12"/>
  <c r="L148" i="12"/>
  <c r="L147" i="12"/>
  <c r="L146" i="12"/>
  <c r="L145" i="12"/>
  <c r="L144" i="12"/>
  <c r="L143" i="12"/>
  <c r="L142" i="12"/>
  <c r="L141" i="12"/>
  <c r="L140" i="12"/>
  <c r="L139" i="12"/>
  <c r="L138" i="12"/>
  <c r="L137" i="12"/>
  <c r="L136" i="12"/>
  <c r="L135" i="12"/>
  <c r="L134" i="12"/>
  <c r="L133" i="12"/>
  <c r="L132" i="12"/>
  <c r="L131" i="12"/>
  <c r="L130" i="12"/>
  <c r="L129" i="12"/>
  <c r="L128" i="12"/>
  <c r="L127" i="12"/>
  <c r="L126" i="12"/>
  <c r="L125" i="12"/>
  <c r="L124" i="12"/>
  <c r="L123" i="12"/>
  <c r="L122" i="12"/>
  <c r="L121" i="12"/>
  <c r="L120" i="12"/>
  <c r="L119" i="12"/>
  <c r="L118" i="12"/>
  <c r="L117" i="12"/>
  <c r="L116" i="12"/>
  <c r="L115" i="12"/>
  <c r="L114" i="12"/>
  <c r="L113" i="12"/>
  <c r="L112" i="12"/>
  <c r="L111" i="12"/>
  <c r="L110" i="12"/>
  <c r="L109" i="12"/>
  <c r="L108" i="12"/>
  <c r="L107" i="12"/>
  <c r="L106" i="12"/>
  <c r="L105" i="12"/>
  <c r="L104" i="12"/>
  <c r="L103" i="12"/>
  <c r="L102" i="12"/>
  <c r="L101" i="12"/>
  <c r="L100" i="12"/>
  <c r="L99" i="12"/>
  <c r="L98" i="12"/>
  <c r="L97" i="12"/>
  <c r="L96" i="12"/>
  <c r="L95" i="12"/>
  <c r="L94" i="12"/>
  <c r="L93" i="12"/>
  <c r="L92" i="12"/>
  <c r="L91" i="12"/>
  <c r="L90" i="12"/>
  <c r="L89" i="12"/>
  <c r="L88" i="12"/>
  <c r="L87" i="12"/>
  <c r="L86" i="12"/>
  <c r="L85" i="12"/>
  <c r="L84" i="12"/>
  <c r="L83" i="12"/>
  <c r="L82" i="12"/>
  <c r="L81" i="12"/>
  <c r="L80" i="12"/>
  <c r="L79" i="12"/>
  <c r="L78" i="12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22" i="12"/>
  <c r="L21" i="12"/>
  <c r="L20" i="12"/>
  <c r="TE4" i="6"/>
  <c r="TF4" i="6"/>
  <c r="TG4" i="6"/>
  <c r="TH4" i="6"/>
  <c r="TI4" i="6"/>
  <c r="TJ4" i="6"/>
  <c r="TK4" i="6"/>
  <c r="TL4" i="6"/>
  <c r="TM4" i="6"/>
  <c r="TN4" i="6"/>
  <c r="TO4" i="6"/>
  <c r="TP4" i="6"/>
  <c r="TQ4" i="6"/>
  <c r="TR4" i="6"/>
  <c r="TS4" i="6"/>
  <c r="TT4" i="6"/>
  <c r="TU4" i="6"/>
  <c r="TV4" i="6"/>
  <c r="TW4" i="6"/>
  <c r="TX4" i="6"/>
  <c r="TY4" i="6"/>
  <c r="TZ4" i="6"/>
  <c r="UA4" i="6"/>
  <c r="UB4" i="6"/>
  <c r="UC4" i="6"/>
  <c r="UD4" i="6"/>
  <c r="UE4" i="6"/>
  <c r="UF4" i="6"/>
  <c r="UG4" i="6"/>
  <c r="UH4" i="6"/>
  <c r="UI4" i="6"/>
  <c r="UJ4" i="6"/>
  <c r="UK4" i="6"/>
  <c r="UL4" i="6"/>
  <c r="UM4" i="6"/>
  <c r="UN4" i="6"/>
  <c r="UO4" i="6"/>
  <c r="UP4" i="6"/>
  <c r="UQ4" i="6"/>
  <c r="UR4" i="6"/>
  <c r="US4" i="6"/>
  <c r="UT4" i="6"/>
  <c r="UU4" i="6"/>
  <c r="UV4" i="6"/>
  <c r="UW4" i="6"/>
  <c r="UX4" i="6"/>
  <c r="UY4" i="6"/>
  <c r="UZ4" i="6"/>
  <c r="VA4" i="6"/>
  <c r="VB4" i="6"/>
  <c r="VC4" i="6"/>
  <c r="VD4" i="6"/>
  <c r="VE4" i="6"/>
  <c r="VF4" i="6"/>
  <c r="VG4" i="6"/>
  <c r="VH4" i="6"/>
  <c r="VI4" i="6"/>
  <c r="VJ4" i="6"/>
  <c r="VK4" i="6"/>
  <c r="VL4" i="6"/>
  <c r="VM4" i="6"/>
  <c r="VN4" i="6"/>
  <c r="VO4" i="6"/>
  <c r="VP4" i="6"/>
  <c r="VQ4" i="6"/>
  <c r="VR4" i="6"/>
  <c r="VS4" i="6"/>
  <c r="VT4" i="6"/>
  <c r="VU4" i="6"/>
  <c r="VV4" i="6"/>
  <c r="VW4" i="6"/>
  <c r="VX4" i="6"/>
  <c r="VY4" i="6"/>
  <c r="VZ4" i="6"/>
  <c r="WA4" i="6"/>
  <c r="WB4" i="6"/>
  <c r="WC4" i="6"/>
  <c r="WD4" i="6"/>
  <c r="WE4" i="6"/>
  <c r="WF4" i="6"/>
  <c r="WG4" i="6"/>
  <c r="WH4" i="6"/>
  <c r="WI4" i="6"/>
  <c r="WJ4" i="6"/>
  <c r="WK4" i="6"/>
  <c r="WL4" i="6"/>
  <c r="WM4" i="6"/>
  <c r="WN4" i="6"/>
  <c r="WO4" i="6"/>
  <c r="WP4" i="6"/>
  <c r="WQ4" i="6"/>
  <c r="WR4" i="6"/>
  <c r="WS4" i="6"/>
  <c r="WT4" i="6"/>
  <c r="WU4" i="6"/>
  <c r="WV4" i="6"/>
  <c r="WW4" i="6"/>
  <c r="WX4" i="6"/>
  <c r="WY4" i="6"/>
  <c r="WZ4" i="6"/>
  <c r="XA4" i="6"/>
  <c r="XB4" i="6"/>
  <c r="XC4" i="6"/>
  <c r="XD4" i="6"/>
  <c r="XE4" i="6"/>
  <c r="XF4" i="6"/>
  <c r="XG4" i="6"/>
  <c r="XH4" i="6"/>
  <c r="XI4" i="6"/>
  <c r="XJ4" i="6"/>
  <c r="XK4" i="6"/>
  <c r="XL4" i="6"/>
  <c r="XM4" i="6"/>
  <c r="XN4" i="6"/>
  <c r="XO4" i="6"/>
  <c r="XP4" i="6"/>
  <c r="XQ4" i="6"/>
  <c r="XR4" i="6"/>
  <c r="XS4" i="6"/>
  <c r="XT4" i="6"/>
  <c r="XU4" i="6"/>
  <c r="XV4" i="6"/>
  <c r="XW4" i="6"/>
  <c r="XX4" i="6"/>
  <c r="XY4" i="6"/>
  <c r="XZ4" i="6"/>
  <c r="YA4" i="6"/>
  <c r="YB4" i="6"/>
  <c r="YC4" i="6"/>
  <c r="YD4" i="6"/>
  <c r="YE4" i="6"/>
  <c r="YF4" i="6"/>
  <c r="YG4" i="6"/>
  <c r="YH4" i="6"/>
  <c r="YI4" i="6"/>
  <c r="YJ4" i="6"/>
  <c r="YK4" i="6"/>
  <c r="YL4" i="6"/>
  <c r="YM4" i="6"/>
  <c r="YN4" i="6"/>
  <c r="YO4" i="6"/>
  <c r="YP4" i="6"/>
  <c r="YQ4" i="6"/>
  <c r="YR4" i="6"/>
  <c r="YS4" i="6"/>
  <c r="YT4" i="6"/>
  <c r="YU4" i="6"/>
  <c r="YV4" i="6"/>
  <c r="YW4" i="6"/>
  <c r="YX4" i="6"/>
  <c r="YY4" i="6"/>
  <c r="YZ4" i="6"/>
  <c r="ZA4" i="6"/>
  <c r="ZB4" i="6"/>
  <c r="ZC4" i="6"/>
  <c r="ZD4" i="6"/>
  <c r="ZE4" i="6"/>
  <c r="ZF4" i="6"/>
  <c r="ZG4" i="6"/>
  <c r="ZH4" i="6"/>
  <c r="ZI4" i="6"/>
  <c r="ZJ4" i="6"/>
  <c r="ZK4" i="6"/>
  <c r="ZL4" i="6"/>
  <c r="ZM4" i="6"/>
  <c r="ZN4" i="6"/>
  <c r="ZO4" i="6"/>
  <c r="ZP4" i="6"/>
  <c r="ZQ4" i="6"/>
  <c r="ZR4" i="6"/>
  <c r="ZS4" i="6"/>
  <c r="ZT4" i="6"/>
  <c r="ZU4" i="6"/>
  <c r="ZV4" i="6"/>
  <c r="ZW4" i="6"/>
  <c r="ZX4" i="6"/>
  <c r="ZY4" i="6"/>
  <c r="ZZ4" i="6"/>
  <c r="AAA4" i="6"/>
  <c r="AAB4" i="6"/>
  <c r="AAC4" i="6"/>
  <c r="AAD4" i="6"/>
  <c r="AAE4" i="6"/>
  <c r="AAF4" i="6"/>
  <c r="AAG4" i="6"/>
  <c r="AAH4" i="6"/>
  <c r="AAI4" i="6"/>
  <c r="AAJ4" i="6"/>
  <c r="AAK4" i="6"/>
  <c r="AAL4" i="6"/>
  <c r="AAM4" i="6"/>
  <c r="AAN4" i="6"/>
  <c r="AAO4" i="6"/>
  <c r="AAP4" i="6"/>
  <c r="AAQ4" i="6"/>
  <c r="AAR4" i="6"/>
  <c r="AAS4" i="6"/>
  <c r="AAT4" i="6"/>
  <c r="AAU4" i="6"/>
  <c r="AAV4" i="6"/>
  <c r="AAW4" i="6"/>
  <c r="AAX4" i="6"/>
  <c r="AAY4" i="6"/>
  <c r="AAZ4" i="6"/>
  <c r="ABA4" i="6"/>
  <c r="ABB4" i="6"/>
  <c r="ABC4" i="6"/>
  <c r="ABD4" i="6"/>
  <c r="ABE4" i="6"/>
  <c r="ABF4" i="6"/>
  <c r="ABG4" i="6"/>
  <c r="ABH4" i="6"/>
  <c r="ABI4" i="6"/>
  <c r="ABJ4" i="6"/>
  <c r="ABK4" i="6"/>
  <c r="ABL4" i="6"/>
  <c r="ABM4" i="6"/>
  <c r="ABN4" i="6"/>
  <c r="ABO4" i="6"/>
  <c r="ABP4" i="6"/>
  <c r="ABQ4" i="6"/>
  <c r="ABR4" i="6"/>
  <c r="ABS4" i="6"/>
  <c r="ABT4" i="6"/>
  <c r="ABU4" i="6"/>
  <c r="ABV4" i="6"/>
  <c r="ABW4" i="6"/>
  <c r="ABX4" i="6"/>
  <c r="ABY4" i="6"/>
  <c r="ABZ4" i="6"/>
  <c r="ACA4" i="6"/>
  <c r="ACB4" i="6"/>
  <c r="ACC4" i="6"/>
  <c r="ACD4" i="6"/>
  <c r="ACE4" i="6"/>
  <c r="ACF4" i="6"/>
  <c r="ACG4" i="6"/>
  <c r="ACH4" i="6"/>
  <c r="ACI4" i="6"/>
  <c r="ACJ4" i="6"/>
  <c r="ACK4" i="6"/>
  <c r="ACL4" i="6"/>
  <c r="ACM4" i="6"/>
  <c r="ACN4" i="6"/>
  <c r="ACO4" i="6"/>
  <c r="ACP4" i="6"/>
  <c r="ACQ4" i="6"/>
  <c r="ACR4" i="6"/>
  <c r="ACS4" i="6"/>
  <c r="ACT4" i="6"/>
  <c r="ACU4" i="6"/>
  <c r="ACV4" i="6"/>
  <c r="ACW4" i="6"/>
  <c r="ACX4" i="6"/>
  <c r="ACY4" i="6"/>
  <c r="ACZ4" i="6"/>
  <c r="ADA4" i="6"/>
  <c r="ADB4" i="6"/>
  <c r="ADC4" i="6"/>
  <c r="ADD4" i="6"/>
  <c r="ADE4" i="6"/>
  <c r="ADF4" i="6"/>
  <c r="ADG4" i="6"/>
  <c r="ADH4" i="6"/>
  <c r="ADI4" i="6"/>
  <c r="ADJ4" i="6"/>
  <c r="ADK4" i="6"/>
  <c r="ADL4" i="6"/>
  <c r="ADM4" i="6"/>
  <c r="ADN4" i="6"/>
  <c r="ADO4" i="6"/>
  <c r="ADP4" i="6"/>
  <c r="ADQ4" i="6"/>
  <c r="ADR4" i="6"/>
  <c r="ADS4" i="6"/>
  <c r="ADT4" i="6"/>
  <c r="ADU4" i="6"/>
  <c r="ADV4" i="6"/>
  <c r="ADW4" i="6"/>
  <c r="ADX4" i="6"/>
  <c r="ADY4" i="6"/>
  <c r="ADZ4" i="6"/>
  <c r="AEA4" i="6"/>
  <c r="AEB4" i="6"/>
  <c r="AEC4" i="6"/>
  <c r="AED4" i="6"/>
  <c r="AEE4" i="6"/>
  <c r="AEF4" i="6"/>
  <c r="AEG4" i="6"/>
  <c r="AEH4" i="6"/>
  <c r="AEI4" i="6"/>
  <c r="AEJ4" i="6"/>
  <c r="AEK4" i="6"/>
  <c r="AEL4" i="6"/>
  <c r="AEM4" i="6"/>
  <c r="AEN4" i="6"/>
  <c r="AEO4" i="6"/>
  <c r="AEP4" i="6"/>
  <c r="AEQ4" i="6"/>
  <c r="AER4" i="6"/>
  <c r="AES4" i="6"/>
  <c r="AET4" i="6"/>
  <c r="AEU4" i="6"/>
  <c r="AEV4" i="6"/>
  <c r="AEW4" i="6"/>
  <c r="AEX4" i="6"/>
  <c r="AEY4" i="6"/>
  <c r="AEZ4" i="6"/>
  <c r="AFA4" i="6"/>
  <c r="AFB4" i="6"/>
  <c r="AFC4" i="6"/>
  <c r="AFD4" i="6"/>
  <c r="AFE4" i="6"/>
  <c r="AFF4" i="6"/>
  <c r="AFG4" i="6"/>
  <c r="AFH4" i="6"/>
  <c r="AFI4" i="6"/>
  <c r="AFJ4" i="6"/>
  <c r="AFK4" i="6"/>
  <c r="AFL4" i="6"/>
  <c r="AFM4" i="6"/>
  <c r="AFN4" i="6"/>
  <c r="AFO4" i="6"/>
  <c r="AFP4" i="6"/>
  <c r="AFQ4" i="6"/>
  <c r="AFR4" i="6"/>
  <c r="AFS4" i="6"/>
  <c r="AFT4" i="6"/>
  <c r="AFU4" i="6"/>
  <c r="AFV4" i="6"/>
  <c r="AFW4" i="6"/>
  <c r="AFX4" i="6"/>
  <c r="AFY4" i="6"/>
  <c r="AFZ4" i="6"/>
  <c r="AGA4" i="6"/>
  <c r="AGB4" i="6"/>
  <c r="AGC4" i="6"/>
  <c r="AGD4" i="6"/>
  <c r="AGE4" i="6"/>
  <c r="AGF4" i="6"/>
  <c r="AGG4" i="6"/>
  <c r="AGH4" i="6"/>
  <c r="AGI4" i="6"/>
  <c r="AGJ4" i="6"/>
  <c r="AGK4" i="6"/>
  <c r="AGL4" i="6"/>
  <c r="AGM4" i="6"/>
  <c r="AGN4" i="6"/>
  <c r="AGO4" i="6"/>
  <c r="AGP4" i="6"/>
  <c r="AGQ4" i="6"/>
  <c r="AGR4" i="6"/>
  <c r="AGS4" i="6"/>
  <c r="AGT4" i="6"/>
  <c r="AGU4" i="6"/>
  <c r="AGV4" i="6"/>
  <c r="AGW4" i="6"/>
  <c r="AGX4" i="6"/>
  <c r="AGY4" i="6"/>
  <c r="AGZ4" i="6"/>
  <c r="AHA4" i="6"/>
  <c r="AHB4" i="6"/>
  <c r="AHC4" i="6"/>
  <c r="AHD4" i="6"/>
  <c r="AHE4" i="6"/>
  <c r="AHF4" i="6"/>
  <c r="AHG4" i="6"/>
  <c r="AHH4" i="6"/>
  <c r="AHI4" i="6"/>
  <c r="AHJ4" i="6"/>
  <c r="AHK4" i="6"/>
  <c r="AHL4" i="6"/>
  <c r="AHM4" i="6"/>
  <c r="AHN4" i="6"/>
  <c r="AHO4" i="6"/>
  <c r="AHP4" i="6"/>
  <c r="AHQ4" i="6"/>
  <c r="AHR4" i="6"/>
  <c r="AHS4" i="6"/>
  <c r="AHT4" i="6"/>
  <c r="AHU4" i="6"/>
  <c r="AHV4" i="6"/>
  <c r="AHW4" i="6"/>
  <c r="AHX4" i="6"/>
  <c r="AHY4" i="6"/>
  <c r="AHZ4" i="6"/>
  <c r="AIA4" i="6"/>
  <c r="AIB4" i="6"/>
  <c r="AIC4" i="6"/>
  <c r="AID4" i="6"/>
  <c r="AIE4" i="6"/>
  <c r="AIF4" i="6"/>
  <c r="AIG4" i="6"/>
  <c r="AIH4" i="6"/>
  <c r="AII4" i="6"/>
  <c r="AIJ4" i="6"/>
  <c r="AIK4" i="6"/>
  <c r="AIL4" i="6"/>
  <c r="AIM4" i="6"/>
  <c r="AIN4" i="6"/>
  <c r="AIO4" i="6"/>
  <c r="AIP4" i="6"/>
  <c r="AIQ4" i="6"/>
  <c r="AIR4" i="6"/>
  <c r="AIS4" i="6"/>
  <c r="AIT4" i="6"/>
  <c r="AIU4" i="6"/>
  <c r="AIV4" i="6"/>
  <c r="AIW4" i="6"/>
  <c r="AIX4" i="6"/>
  <c r="AIY4" i="6"/>
  <c r="AIZ4" i="6"/>
  <c r="AJA4" i="6"/>
  <c r="AJB4" i="6"/>
  <c r="AJC4" i="6"/>
  <c r="AJD4" i="6"/>
  <c r="AJE4" i="6"/>
  <c r="AJF4" i="6"/>
  <c r="AJG4" i="6"/>
  <c r="AJH4" i="6"/>
  <c r="AJI4" i="6"/>
  <c r="AJJ4" i="6"/>
  <c r="AJK4" i="6"/>
  <c r="AJL4" i="6"/>
  <c r="AJM4" i="6"/>
  <c r="AJN4" i="6"/>
  <c r="AJO4" i="6"/>
  <c r="AJP4" i="6"/>
  <c r="AJQ4" i="6"/>
  <c r="AJR4" i="6"/>
  <c r="AJS4" i="6"/>
  <c r="AJT4" i="6"/>
  <c r="AJU4" i="6"/>
  <c r="AJV4" i="6"/>
  <c r="AJW4" i="6"/>
  <c r="AJX4" i="6"/>
  <c r="AJY4" i="6"/>
  <c r="AJZ4" i="6"/>
  <c r="AKA4" i="6"/>
  <c r="AKB4" i="6"/>
  <c r="AKC4" i="6"/>
  <c r="AKD4" i="6"/>
  <c r="AKE4" i="6"/>
  <c r="AKF4" i="6"/>
  <c r="AKG4" i="6"/>
  <c r="AKH4" i="6"/>
  <c r="AKI4" i="6"/>
  <c r="AKJ4" i="6"/>
  <c r="AKK4" i="6"/>
  <c r="AKL4" i="6"/>
  <c r="AKM4" i="6"/>
  <c r="AKN4" i="6"/>
  <c r="AKO4" i="6"/>
  <c r="AKP4" i="6"/>
  <c r="AKQ4" i="6"/>
  <c r="AKR4" i="6"/>
  <c r="AKS4" i="6"/>
  <c r="AKT4" i="6"/>
  <c r="AKU4" i="6"/>
  <c r="AKV4" i="6"/>
  <c r="AKW4" i="6"/>
  <c r="AKX4" i="6"/>
  <c r="AKY4" i="6"/>
  <c r="AKZ4" i="6"/>
  <c r="ALA4" i="6"/>
  <c r="ALB4" i="6"/>
  <c r="ALC4" i="6"/>
  <c r="ALD4" i="6"/>
  <c r="ALE4" i="6"/>
  <c r="ALF4" i="6"/>
  <c r="ALG4" i="6"/>
  <c r="ALH4" i="6"/>
  <c r="ALI4" i="6"/>
  <c r="ALJ4" i="6"/>
  <c r="ALK4" i="6"/>
  <c r="ALL4" i="6"/>
  <c r="ALM4" i="6"/>
  <c r="ALN4" i="6"/>
  <c r="ALO4" i="6"/>
  <c r="ALP4" i="6"/>
  <c r="ALQ4" i="6"/>
  <c r="ALR4" i="6"/>
  <c r="ALS4" i="6"/>
  <c r="ALT4" i="6"/>
  <c r="ALU4" i="6"/>
  <c r="ALV4" i="6"/>
  <c r="ALW4" i="6"/>
  <c r="ALX4" i="6"/>
  <c r="ALY4" i="6"/>
  <c r="ALZ4" i="6"/>
  <c r="AMA4" i="6"/>
  <c r="AMB4" i="6"/>
  <c r="AMC4" i="6"/>
  <c r="AMD4" i="6"/>
  <c r="AME4" i="6"/>
  <c r="AMF4" i="6"/>
  <c r="AMG4" i="6"/>
  <c r="AMH4" i="6"/>
  <c r="AMI4" i="6"/>
  <c r="AMJ4" i="6"/>
  <c r="AMK4" i="6"/>
  <c r="AML4" i="6"/>
  <c r="AMM4" i="6"/>
  <c r="AMN4" i="6"/>
  <c r="AMO4" i="6"/>
  <c r="AMP4" i="6"/>
  <c r="AMQ4" i="6"/>
  <c r="AMR4" i="6"/>
  <c r="AMS4" i="6"/>
  <c r="AMT4" i="6"/>
  <c r="AMU4" i="6"/>
  <c r="AMV4" i="6"/>
  <c r="AMW4" i="6"/>
  <c r="AMX4" i="6"/>
  <c r="AMY4" i="6"/>
  <c r="AMZ4" i="6"/>
  <c r="ANA4" i="6"/>
  <c r="ANB4" i="6"/>
  <c r="ANC4" i="6"/>
  <c r="AND4" i="6"/>
  <c r="ANE4" i="6"/>
  <c r="ANF4" i="6"/>
  <c r="ANG4" i="6"/>
  <c r="ANH4" i="6"/>
  <c r="ANI4" i="6"/>
  <c r="ANJ4" i="6"/>
  <c r="ANK4" i="6"/>
  <c r="ANL4" i="6"/>
  <c r="ANM4" i="6"/>
  <c r="ANN4" i="6"/>
  <c r="ANO4" i="6"/>
  <c r="ANP4" i="6"/>
  <c r="ANQ4" i="6"/>
  <c r="ANR4" i="6"/>
  <c r="ANS4" i="6"/>
  <c r="ANT4" i="6"/>
  <c r="ANU4" i="6"/>
  <c r="ANV4" i="6"/>
  <c r="ANW4" i="6"/>
  <c r="ANX4" i="6"/>
  <c r="ANY4" i="6"/>
  <c r="ANZ4" i="6"/>
  <c r="AOA4" i="6"/>
  <c r="AOB4" i="6"/>
  <c r="AOC4" i="6"/>
  <c r="AOD4" i="6"/>
  <c r="AOE4" i="6"/>
  <c r="AOF4" i="6"/>
  <c r="AOG4" i="6"/>
  <c r="AOH4" i="6"/>
  <c r="AOI4" i="6"/>
  <c r="AOJ4" i="6"/>
  <c r="AOK4" i="6"/>
  <c r="AOL4" i="6"/>
  <c r="AOM4" i="6"/>
  <c r="AON4" i="6"/>
  <c r="AOO4" i="6"/>
  <c r="AOP4" i="6"/>
  <c r="AOQ4" i="6"/>
  <c r="AOR4" i="6"/>
  <c r="AOS4" i="6"/>
  <c r="AOT4" i="6"/>
  <c r="AOU4" i="6"/>
  <c r="AOV4" i="6"/>
  <c r="AOW4" i="6"/>
  <c r="AOX4" i="6"/>
  <c r="AOY4" i="6"/>
  <c r="AOZ4" i="6"/>
  <c r="APA4" i="6"/>
  <c r="APB4" i="6"/>
  <c r="APC4" i="6"/>
  <c r="APD4" i="6"/>
  <c r="APE4" i="6"/>
  <c r="APF4" i="6"/>
  <c r="APG4" i="6"/>
  <c r="APH4" i="6"/>
  <c r="API4" i="6"/>
  <c r="APJ4" i="6"/>
  <c r="APK4" i="6"/>
  <c r="APL4" i="6"/>
  <c r="APM4" i="6"/>
  <c r="APN4" i="6"/>
  <c r="APO4" i="6"/>
  <c r="APP4" i="6"/>
  <c r="APQ4" i="6"/>
  <c r="APR4" i="6"/>
  <c r="APS4" i="6"/>
  <c r="APT4" i="6"/>
  <c r="APU4" i="6"/>
  <c r="APV4" i="6"/>
  <c r="APW4" i="6"/>
  <c r="APX4" i="6"/>
  <c r="APY4" i="6"/>
  <c r="APZ4" i="6"/>
  <c r="AQA4" i="6"/>
  <c r="AQB4" i="6"/>
  <c r="AQC4" i="6"/>
  <c r="AQD4" i="6"/>
  <c r="AQE4" i="6"/>
  <c r="AQF4" i="6"/>
  <c r="AQG4" i="6"/>
  <c r="AQH4" i="6"/>
  <c r="AQI4" i="6"/>
  <c r="AQJ4" i="6"/>
  <c r="AQK4" i="6"/>
  <c r="AQL4" i="6"/>
  <c r="AQM4" i="6"/>
  <c r="AQN4" i="6"/>
  <c r="AQO4" i="6"/>
  <c r="AQP4" i="6"/>
  <c r="AQQ4" i="6"/>
  <c r="AQR4" i="6"/>
  <c r="AQS4" i="6"/>
  <c r="AQT4" i="6"/>
  <c r="AQU4" i="6"/>
  <c r="AQV4" i="6"/>
  <c r="AQW4" i="6"/>
  <c r="AQX4" i="6"/>
  <c r="AQY4" i="6"/>
  <c r="AQZ4" i="6"/>
  <c r="ARA4" i="6"/>
  <c r="ARB4" i="6"/>
  <c r="ARC4" i="6"/>
  <c r="ARD4" i="6"/>
  <c r="ARE4" i="6"/>
  <c r="ARF4" i="6"/>
  <c r="ARG4" i="6"/>
  <c r="ARH4" i="6"/>
  <c r="ARI4" i="6"/>
  <c r="ARJ4" i="6"/>
  <c r="ARK4" i="6"/>
  <c r="ARL4" i="6"/>
  <c r="ARM4" i="6"/>
  <c r="ARN4" i="6"/>
  <c r="ARO4" i="6"/>
  <c r="ARP4" i="6"/>
  <c r="ARQ4" i="6"/>
  <c r="ARR4" i="6"/>
  <c r="ARS4" i="6"/>
  <c r="ART4" i="6"/>
  <c r="ARU4" i="6"/>
  <c r="ARV4" i="6"/>
  <c r="ARW4" i="6"/>
  <c r="ARX4" i="6"/>
  <c r="ARY4" i="6"/>
  <c r="ARZ4" i="6"/>
  <c r="ASA4" i="6"/>
  <c r="ASB4" i="6"/>
  <c r="ASC4" i="6"/>
  <c r="ASD4" i="6"/>
  <c r="ASE4" i="6"/>
  <c r="ASF4" i="6"/>
  <c r="ASG4" i="6"/>
  <c r="ASH4" i="6"/>
  <c r="ASI4" i="6"/>
  <c r="ASJ4" i="6"/>
  <c r="ASK4" i="6"/>
  <c r="ASL4" i="6"/>
  <c r="ASM4" i="6"/>
  <c r="ASN4" i="6"/>
  <c r="ASO4" i="6"/>
  <c r="ASP4" i="6"/>
  <c r="ASQ4" i="6"/>
  <c r="ASR4" i="6"/>
  <c r="ASS4" i="6"/>
  <c r="AST4" i="6"/>
  <c r="ASU4" i="6"/>
  <c r="ASV4" i="6"/>
  <c r="ASW4" i="6"/>
  <c r="ASX4" i="6"/>
  <c r="ASY4" i="6"/>
  <c r="ASZ4" i="6"/>
  <c r="ATA4" i="6"/>
  <c r="ATB4" i="6"/>
  <c r="ATC4" i="6"/>
  <c r="ATD4" i="6"/>
  <c r="ATE4" i="6"/>
  <c r="ATF4" i="6"/>
  <c r="ATG4" i="6"/>
  <c r="ATH4" i="6"/>
  <c r="G1002" i="12"/>
  <c r="G1003" i="12"/>
  <c r="G1004" i="12"/>
  <c r="G1005" i="12"/>
  <c r="G1006" i="12"/>
  <c r="G1007" i="12"/>
  <c r="G1008" i="12"/>
  <c r="G1009" i="12"/>
  <c r="G1010" i="12"/>
  <c r="G1011" i="12"/>
  <c r="G1012" i="12"/>
  <c r="G1013" i="12"/>
  <c r="G1014" i="12"/>
  <c r="G1015" i="12"/>
  <c r="G1016" i="12"/>
  <c r="G1017" i="12"/>
  <c r="G1018" i="12"/>
  <c r="G1019" i="12"/>
  <c r="G1020" i="12"/>
  <c r="G1021" i="12"/>
  <c r="G1022" i="12"/>
  <c r="G1023" i="12"/>
  <c r="G1024" i="12"/>
  <c r="G1025" i="12"/>
  <c r="G1026" i="12"/>
  <c r="G1027" i="12"/>
  <c r="G1028" i="12"/>
  <c r="G1029" i="12"/>
  <c r="G1030" i="12"/>
  <c r="G1031" i="12"/>
  <c r="G1032" i="12"/>
  <c r="G1033" i="12"/>
  <c r="G1034" i="12"/>
  <c r="G1035" i="12"/>
  <c r="G1036" i="12"/>
  <c r="G1037" i="12"/>
  <c r="G1038" i="12"/>
  <c r="G1039" i="12"/>
  <c r="G1040" i="12"/>
  <c r="G1041" i="12"/>
  <c r="G1042" i="12"/>
  <c r="G1043" i="12"/>
  <c r="G1044" i="12"/>
  <c r="G1045" i="12"/>
  <c r="G1046" i="12"/>
  <c r="G1047" i="12"/>
  <c r="G1048" i="12"/>
  <c r="G1049" i="12"/>
  <c r="G1050" i="12"/>
  <c r="G1051" i="12"/>
  <c r="G1052" i="12"/>
  <c r="G1053" i="12"/>
  <c r="G1054" i="12"/>
  <c r="G1055" i="12"/>
  <c r="G1056" i="12"/>
  <c r="G1057" i="12"/>
  <c r="G1058" i="12"/>
  <c r="G1059" i="12"/>
  <c r="G1060" i="12"/>
  <c r="G1061" i="12"/>
  <c r="G1062" i="12"/>
  <c r="G1063" i="12"/>
  <c r="G1064" i="12"/>
  <c r="G1065" i="12"/>
  <c r="G1066" i="12"/>
  <c r="G1067" i="12"/>
  <c r="G1068" i="12"/>
  <c r="G1069" i="12"/>
  <c r="G1070" i="12"/>
  <c r="G1071" i="12"/>
  <c r="G1072" i="12"/>
  <c r="G1073" i="12"/>
  <c r="G1074" i="12"/>
  <c r="G1075" i="12"/>
  <c r="G1076" i="12"/>
  <c r="G1077" i="12"/>
  <c r="G1078" i="12"/>
  <c r="G1079" i="12"/>
  <c r="G1080" i="12"/>
  <c r="G1081" i="12"/>
  <c r="G1082" i="12"/>
  <c r="G1083" i="12"/>
  <c r="G1084" i="12"/>
  <c r="G1085" i="12"/>
  <c r="G1086" i="12"/>
  <c r="G1087" i="12"/>
  <c r="G1088" i="12"/>
  <c r="G1089" i="12"/>
  <c r="G1090" i="12"/>
  <c r="G1091" i="12"/>
  <c r="G1092" i="12"/>
  <c r="G1093" i="12"/>
  <c r="G1094" i="12"/>
  <c r="G1095" i="12"/>
  <c r="G1096" i="12"/>
  <c r="G1097" i="12"/>
  <c r="G1098" i="12"/>
  <c r="G1099" i="12"/>
  <c r="G1100" i="12"/>
  <c r="G1101" i="12"/>
  <c r="G1102" i="12"/>
  <c r="G1103" i="12"/>
  <c r="G1104" i="12"/>
  <c r="G1105" i="12"/>
  <c r="G1106" i="12"/>
  <c r="G1107" i="12"/>
  <c r="G1108" i="12"/>
  <c r="G1109" i="12"/>
  <c r="G1110" i="12"/>
  <c r="G1111" i="12"/>
  <c r="G1112" i="12"/>
  <c r="G1113" i="12"/>
  <c r="G1114" i="12"/>
  <c r="G1115" i="12"/>
  <c r="G1116" i="12"/>
  <c r="G1117" i="12"/>
  <c r="G1118" i="12"/>
  <c r="G1119" i="12"/>
  <c r="G1120" i="12"/>
  <c r="G1121" i="12"/>
  <c r="G1122" i="12"/>
  <c r="G1123" i="12"/>
  <c r="G1124" i="12"/>
  <c r="G1125" i="12"/>
  <c r="G1126" i="12"/>
  <c r="G1127" i="12"/>
  <c r="G1128" i="12"/>
  <c r="G1129" i="12"/>
  <c r="G1130" i="12"/>
  <c r="G1131" i="12"/>
  <c r="G1132" i="12"/>
  <c r="G1133" i="12"/>
  <c r="G1134" i="12"/>
  <c r="G1135" i="12"/>
  <c r="G1136" i="12"/>
  <c r="G1137" i="12"/>
  <c r="G1138" i="12"/>
  <c r="G1139" i="12"/>
  <c r="G1140" i="12"/>
  <c r="G1141" i="12"/>
  <c r="G1142" i="12"/>
  <c r="G1143" i="12"/>
  <c r="G1144" i="12"/>
  <c r="G1145" i="12"/>
  <c r="G1146" i="12"/>
  <c r="G1147" i="12"/>
  <c r="G1148" i="12"/>
  <c r="G1149" i="12"/>
  <c r="G1150" i="12"/>
  <c r="G1151" i="12"/>
  <c r="G1152" i="12"/>
  <c r="G1153" i="12"/>
  <c r="G1154" i="12"/>
  <c r="G1155" i="12"/>
  <c r="G1156" i="12"/>
  <c r="G1157" i="12"/>
  <c r="G1158" i="12"/>
  <c r="G1159" i="12"/>
  <c r="G1160" i="12"/>
  <c r="G1161" i="12"/>
  <c r="G1162" i="12"/>
  <c r="G1163" i="12"/>
  <c r="G1164" i="12"/>
  <c r="G1165" i="12"/>
  <c r="G1166" i="12"/>
  <c r="G1167" i="12"/>
  <c r="G1168" i="12"/>
  <c r="G1169" i="12"/>
  <c r="G1170" i="12"/>
  <c r="G1171" i="12"/>
  <c r="G1172" i="12"/>
  <c r="G1173" i="12"/>
  <c r="G1174" i="12"/>
  <c r="G1175" i="12"/>
  <c r="G1176" i="12"/>
  <c r="G1177" i="12"/>
  <c r="G1178" i="12"/>
  <c r="G1179" i="12"/>
  <c r="G1180" i="12"/>
  <c r="G1181" i="12"/>
  <c r="G1182" i="12"/>
  <c r="G1183" i="12"/>
  <c r="G1184" i="12"/>
  <c r="G1185" i="12"/>
  <c r="G1186" i="12"/>
  <c r="G1187" i="12"/>
  <c r="G1188" i="12"/>
  <c r="G1189" i="12"/>
  <c r="G1190" i="12"/>
  <c r="G1191" i="12"/>
  <c r="G1192" i="12"/>
  <c r="G1193" i="12"/>
  <c r="G1194" i="12"/>
  <c r="G1195" i="12"/>
  <c r="G1196" i="12"/>
  <c r="G1197" i="12"/>
  <c r="G1198" i="12"/>
  <c r="G1199" i="12"/>
  <c r="G1200" i="12"/>
  <c r="G1001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G172" i="12"/>
  <c r="G173" i="12"/>
  <c r="G174" i="12"/>
  <c r="G175" i="12"/>
  <c r="G176" i="12"/>
  <c r="G177" i="12"/>
  <c r="G178" i="12"/>
  <c r="G179" i="12"/>
  <c r="G180" i="12"/>
  <c r="G181" i="12"/>
  <c r="G182" i="12"/>
  <c r="G183" i="12"/>
  <c r="G184" i="12"/>
  <c r="G185" i="12"/>
  <c r="G186" i="12"/>
  <c r="G187" i="12"/>
  <c r="G188" i="12"/>
  <c r="G189" i="12"/>
  <c r="G190" i="12"/>
  <c r="G191" i="12"/>
  <c r="G192" i="12"/>
  <c r="G193" i="12"/>
  <c r="G194" i="12"/>
  <c r="G195" i="12"/>
  <c r="G196" i="12"/>
  <c r="G197" i="12"/>
  <c r="G198" i="12"/>
  <c r="G199" i="12"/>
  <c r="G200" i="12"/>
  <c r="G201" i="12"/>
  <c r="G202" i="12"/>
  <c r="G203" i="12"/>
  <c r="G204" i="12"/>
  <c r="G205" i="12"/>
  <c r="G206" i="12"/>
  <c r="G207" i="12"/>
  <c r="G208" i="12"/>
  <c r="G209" i="12"/>
  <c r="G210" i="12"/>
  <c r="G211" i="12"/>
  <c r="G212" i="12"/>
  <c r="G213" i="12"/>
  <c r="G214" i="12"/>
  <c r="G215" i="12"/>
  <c r="G216" i="12"/>
  <c r="G217" i="12"/>
  <c r="G218" i="12"/>
  <c r="G219" i="12"/>
  <c r="G220" i="12"/>
  <c r="G221" i="12"/>
  <c r="G222" i="12"/>
  <c r="G223" i="12"/>
  <c r="G224" i="12"/>
  <c r="G225" i="12"/>
  <c r="G226" i="12"/>
  <c r="G227" i="12"/>
  <c r="G228" i="12"/>
  <c r="G229" i="12"/>
  <c r="G230" i="12"/>
  <c r="G231" i="12"/>
  <c r="G232" i="12"/>
  <c r="G233" i="12"/>
  <c r="G234" i="12"/>
  <c r="G235" i="12"/>
  <c r="G236" i="12"/>
  <c r="G237" i="12"/>
  <c r="G238" i="12"/>
  <c r="G239" i="12"/>
  <c r="G240" i="12"/>
  <c r="G241" i="12"/>
  <c r="G242" i="12"/>
  <c r="G243" i="12"/>
  <c r="G244" i="12"/>
  <c r="G245" i="12"/>
  <c r="G246" i="12"/>
  <c r="G247" i="12"/>
  <c r="G248" i="12"/>
  <c r="G249" i="12"/>
  <c r="G250" i="12"/>
  <c r="G251" i="12"/>
  <c r="G252" i="12"/>
  <c r="G253" i="12"/>
  <c r="G254" i="12"/>
  <c r="G255" i="12"/>
  <c r="G256" i="12"/>
  <c r="G257" i="12"/>
  <c r="G258" i="12"/>
  <c r="G259" i="12"/>
  <c r="G260" i="12"/>
  <c r="G261" i="12"/>
  <c r="G262" i="12"/>
  <c r="G263" i="12"/>
  <c r="G264" i="12"/>
  <c r="G265" i="12"/>
  <c r="G266" i="12"/>
  <c r="G267" i="12"/>
  <c r="G268" i="12"/>
  <c r="G269" i="12"/>
  <c r="G270" i="12"/>
  <c r="G271" i="12"/>
  <c r="G272" i="12"/>
  <c r="G273" i="12"/>
  <c r="G274" i="12"/>
  <c r="G275" i="12"/>
  <c r="G276" i="12"/>
  <c r="G277" i="12"/>
  <c r="G278" i="12"/>
  <c r="G279" i="12"/>
  <c r="G280" i="12"/>
  <c r="G281" i="12"/>
  <c r="G282" i="12"/>
  <c r="G283" i="12"/>
  <c r="G284" i="12"/>
  <c r="G285" i="12"/>
  <c r="G286" i="12"/>
  <c r="G287" i="12"/>
  <c r="G288" i="12"/>
  <c r="G289" i="12"/>
  <c r="G290" i="12"/>
  <c r="G291" i="12"/>
  <c r="G292" i="12"/>
  <c r="G293" i="12"/>
  <c r="G294" i="12"/>
  <c r="G295" i="12"/>
  <c r="G296" i="12"/>
  <c r="G297" i="12"/>
  <c r="G298" i="12"/>
  <c r="G299" i="12"/>
  <c r="G300" i="12"/>
  <c r="G301" i="12"/>
  <c r="G302" i="12"/>
  <c r="G303" i="12"/>
  <c r="G304" i="12"/>
  <c r="G305" i="12"/>
  <c r="G306" i="12"/>
  <c r="G307" i="12"/>
  <c r="G308" i="12"/>
  <c r="G309" i="12"/>
  <c r="G310" i="12"/>
  <c r="G311" i="12"/>
  <c r="G312" i="12"/>
  <c r="G313" i="12"/>
  <c r="G314" i="12"/>
  <c r="G315" i="12"/>
  <c r="G316" i="12"/>
  <c r="G317" i="12"/>
  <c r="G318" i="12"/>
  <c r="G319" i="12"/>
  <c r="G320" i="12"/>
  <c r="G321" i="12"/>
  <c r="G322" i="12"/>
  <c r="G323" i="12"/>
  <c r="G324" i="12"/>
  <c r="G325" i="12"/>
  <c r="G326" i="12"/>
  <c r="G327" i="12"/>
  <c r="G328" i="12"/>
  <c r="G329" i="12"/>
  <c r="G330" i="12"/>
  <c r="G331" i="12"/>
  <c r="G332" i="12"/>
  <c r="G333" i="12"/>
  <c r="G334" i="12"/>
  <c r="G335" i="12"/>
  <c r="G336" i="12"/>
  <c r="G337" i="12"/>
  <c r="G338" i="12"/>
  <c r="G339" i="12"/>
  <c r="G340" i="12"/>
  <c r="G341" i="12"/>
  <c r="G342" i="12"/>
  <c r="G343" i="12"/>
  <c r="G344" i="12"/>
  <c r="G345" i="12"/>
  <c r="G346" i="12"/>
  <c r="G347" i="12"/>
  <c r="G348" i="12"/>
  <c r="G349" i="12"/>
  <c r="G350" i="12"/>
  <c r="G351" i="12"/>
  <c r="G352" i="12"/>
  <c r="G353" i="12"/>
  <c r="G354" i="12"/>
  <c r="G355" i="12"/>
  <c r="G356" i="12"/>
  <c r="G357" i="12"/>
  <c r="G358" i="12"/>
  <c r="G359" i="12"/>
  <c r="G360" i="12"/>
  <c r="G361" i="12"/>
  <c r="G362" i="12"/>
  <c r="G363" i="12"/>
  <c r="G364" i="12"/>
  <c r="G365" i="12"/>
  <c r="G366" i="12"/>
  <c r="G367" i="12"/>
  <c r="G368" i="12"/>
  <c r="G369" i="12"/>
  <c r="G370" i="12"/>
  <c r="G371" i="12"/>
  <c r="G372" i="12"/>
  <c r="G373" i="12"/>
  <c r="G374" i="12"/>
  <c r="G375" i="12"/>
  <c r="G376" i="12"/>
  <c r="G377" i="12"/>
  <c r="G378" i="12"/>
  <c r="G379" i="12"/>
  <c r="G380" i="12"/>
  <c r="G381" i="12"/>
  <c r="G382" i="12"/>
  <c r="G383" i="12"/>
  <c r="G384" i="12"/>
  <c r="G385" i="12"/>
  <c r="G386" i="12"/>
  <c r="G387" i="12"/>
  <c r="G388" i="12"/>
  <c r="G389" i="12"/>
  <c r="G390" i="12"/>
  <c r="G391" i="12"/>
  <c r="G392" i="12"/>
  <c r="G393" i="12"/>
  <c r="G394" i="12"/>
  <c r="G395" i="12"/>
  <c r="G396" i="12"/>
  <c r="G397" i="12"/>
  <c r="G398" i="12"/>
  <c r="G399" i="12"/>
  <c r="G400" i="12"/>
  <c r="G401" i="12"/>
  <c r="G402" i="12"/>
  <c r="G403" i="12"/>
  <c r="G404" i="12"/>
  <c r="G405" i="12"/>
  <c r="G406" i="12"/>
  <c r="G407" i="12"/>
  <c r="G408" i="12"/>
  <c r="G409" i="12"/>
  <c r="G410" i="12"/>
  <c r="G411" i="12"/>
  <c r="G412" i="12"/>
  <c r="G413" i="12"/>
  <c r="G414" i="12"/>
  <c r="G415" i="12"/>
  <c r="G416" i="12"/>
  <c r="G417" i="12"/>
  <c r="G418" i="12"/>
  <c r="G419" i="12"/>
  <c r="G420" i="12"/>
  <c r="G421" i="12"/>
  <c r="G422" i="12"/>
  <c r="G423" i="12"/>
  <c r="G424" i="12"/>
  <c r="G425" i="12"/>
  <c r="G426" i="12"/>
  <c r="G427" i="12"/>
  <c r="G428" i="12"/>
  <c r="G429" i="12"/>
  <c r="G430" i="12"/>
  <c r="G431" i="12"/>
  <c r="G432" i="12"/>
  <c r="G433" i="12"/>
  <c r="G434" i="12"/>
  <c r="G435" i="12"/>
  <c r="G436" i="12"/>
  <c r="G437" i="12"/>
  <c r="G438" i="12"/>
  <c r="G439" i="12"/>
  <c r="G440" i="12"/>
  <c r="G441" i="12"/>
  <c r="G442" i="12"/>
  <c r="G443" i="12"/>
  <c r="G444" i="12"/>
  <c r="G445" i="12"/>
  <c r="G446" i="12"/>
  <c r="G447" i="12"/>
  <c r="G448" i="12"/>
  <c r="G449" i="12"/>
  <c r="G450" i="12"/>
  <c r="G451" i="12"/>
  <c r="G452" i="12"/>
  <c r="G453" i="12"/>
  <c r="G454" i="12"/>
  <c r="G455" i="12"/>
  <c r="G456" i="12"/>
  <c r="G457" i="12"/>
  <c r="G458" i="12"/>
  <c r="G459" i="12"/>
  <c r="G460" i="12"/>
  <c r="G461" i="12"/>
  <c r="G462" i="12"/>
  <c r="G463" i="12"/>
  <c r="G464" i="12"/>
  <c r="G465" i="12"/>
  <c r="G466" i="12"/>
  <c r="G467" i="12"/>
  <c r="G468" i="12"/>
  <c r="G469" i="12"/>
  <c r="G470" i="12"/>
  <c r="G471" i="12"/>
  <c r="G472" i="12"/>
  <c r="G473" i="12"/>
  <c r="G474" i="12"/>
  <c r="G475" i="12"/>
  <c r="G476" i="12"/>
  <c r="G477" i="12"/>
  <c r="G478" i="12"/>
  <c r="G479" i="12"/>
  <c r="G480" i="12"/>
  <c r="G481" i="12"/>
  <c r="G482" i="12"/>
  <c r="G483" i="12"/>
  <c r="G484" i="12"/>
  <c r="G485" i="12"/>
  <c r="G486" i="12"/>
  <c r="G487" i="12"/>
  <c r="G488" i="12"/>
  <c r="G489" i="12"/>
  <c r="G490" i="12"/>
  <c r="G491" i="12"/>
  <c r="G492" i="12"/>
  <c r="G493" i="12"/>
  <c r="G494" i="12"/>
  <c r="G495" i="12"/>
  <c r="G496" i="12"/>
  <c r="G497" i="12"/>
  <c r="G498" i="12"/>
  <c r="G499" i="12"/>
  <c r="G500" i="12"/>
  <c r="G501" i="12"/>
  <c r="G502" i="12"/>
  <c r="G503" i="12"/>
  <c r="G504" i="12"/>
  <c r="G505" i="12"/>
  <c r="G506" i="12"/>
  <c r="G507" i="12"/>
  <c r="G508" i="12"/>
  <c r="G509" i="12"/>
  <c r="G510" i="12"/>
  <c r="G511" i="12"/>
  <c r="G512" i="12"/>
  <c r="G513" i="12"/>
  <c r="G514" i="12"/>
  <c r="G515" i="12"/>
  <c r="G516" i="12"/>
  <c r="G517" i="12"/>
  <c r="G518" i="12"/>
  <c r="G519" i="12"/>
  <c r="G520" i="12"/>
  <c r="G521" i="12"/>
  <c r="G522" i="12"/>
  <c r="G523" i="12"/>
  <c r="G524" i="12"/>
  <c r="G525" i="12"/>
  <c r="G526" i="12"/>
  <c r="G527" i="12"/>
  <c r="G528" i="12"/>
  <c r="G529" i="12"/>
  <c r="G530" i="12"/>
  <c r="G531" i="12"/>
  <c r="G532" i="12"/>
  <c r="G533" i="12"/>
  <c r="G534" i="12"/>
  <c r="G535" i="12"/>
  <c r="G536" i="12"/>
  <c r="G537" i="12"/>
  <c r="G538" i="12"/>
  <c r="G539" i="12"/>
  <c r="G540" i="12"/>
  <c r="G541" i="12"/>
  <c r="G542" i="12"/>
  <c r="G543" i="12"/>
  <c r="G544" i="12"/>
  <c r="G545" i="12"/>
  <c r="G546" i="12"/>
  <c r="G547" i="12"/>
  <c r="G548" i="12"/>
  <c r="G549" i="12"/>
  <c r="G550" i="12"/>
  <c r="G551" i="12"/>
  <c r="G552" i="12"/>
  <c r="G553" i="12"/>
  <c r="G554" i="12"/>
  <c r="G555" i="12"/>
  <c r="G556" i="12"/>
  <c r="G557" i="12"/>
  <c r="G558" i="12"/>
  <c r="G559" i="12"/>
  <c r="G560" i="12"/>
  <c r="G561" i="12"/>
  <c r="G562" i="12"/>
  <c r="G563" i="12"/>
  <c r="G564" i="12"/>
  <c r="G565" i="12"/>
  <c r="G566" i="12"/>
  <c r="G567" i="12"/>
  <c r="G568" i="12"/>
  <c r="G569" i="12"/>
  <c r="G570" i="12"/>
  <c r="G571" i="12"/>
  <c r="G572" i="12"/>
  <c r="G573" i="12"/>
  <c r="G574" i="12"/>
  <c r="G575" i="12"/>
  <c r="G576" i="12"/>
  <c r="G577" i="12"/>
  <c r="G578" i="12"/>
  <c r="G579" i="12"/>
  <c r="G580" i="12"/>
  <c r="G581" i="12"/>
  <c r="G582" i="12"/>
  <c r="G583" i="12"/>
  <c r="G584" i="12"/>
  <c r="G585" i="12"/>
  <c r="G586" i="12"/>
  <c r="G587" i="12"/>
  <c r="G588" i="12"/>
  <c r="G589" i="12"/>
  <c r="G590" i="12"/>
  <c r="G591" i="12"/>
  <c r="G592" i="12"/>
  <c r="G593" i="12"/>
  <c r="G594" i="12"/>
  <c r="G595" i="12"/>
  <c r="G596" i="12"/>
  <c r="G597" i="12"/>
  <c r="G598" i="12"/>
  <c r="G599" i="12"/>
  <c r="G600" i="12"/>
  <c r="G601" i="12"/>
  <c r="G602" i="12"/>
  <c r="G603" i="12"/>
  <c r="G604" i="12"/>
  <c r="G605" i="12"/>
  <c r="G606" i="12"/>
  <c r="G607" i="12"/>
  <c r="G608" i="12"/>
  <c r="G609" i="12"/>
  <c r="G610" i="12"/>
  <c r="G611" i="12"/>
  <c r="G612" i="12"/>
  <c r="G613" i="12"/>
  <c r="G614" i="12"/>
  <c r="G615" i="12"/>
  <c r="G616" i="12"/>
  <c r="G617" i="12"/>
  <c r="G618" i="12"/>
  <c r="G619" i="12"/>
  <c r="G620" i="12"/>
  <c r="G621" i="12"/>
  <c r="G622" i="12"/>
  <c r="G623" i="12"/>
  <c r="G624" i="12"/>
  <c r="G625" i="12"/>
  <c r="G626" i="12"/>
  <c r="G627" i="12"/>
  <c r="G628" i="12"/>
  <c r="G629" i="12"/>
  <c r="G630" i="12"/>
  <c r="G631" i="12"/>
  <c r="G632" i="12"/>
  <c r="G633" i="12"/>
  <c r="G634" i="12"/>
  <c r="G635" i="12"/>
  <c r="G636" i="12"/>
  <c r="G637" i="12"/>
  <c r="G638" i="12"/>
  <c r="G639" i="12"/>
  <c r="G640" i="12"/>
  <c r="G641" i="12"/>
  <c r="G642" i="12"/>
  <c r="G643" i="12"/>
  <c r="G644" i="12"/>
  <c r="G645" i="12"/>
  <c r="G646" i="12"/>
  <c r="G647" i="12"/>
  <c r="G648" i="12"/>
  <c r="G649" i="12"/>
  <c r="G650" i="12"/>
  <c r="G651" i="12"/>
  <c r="G652" i="12"/>
  <c r="G653" i="12"/>
  <c r="G654" i="12"/>
  <c r="G655" i="12"/>
  <c r="G656" i="12"/>
  <c r="G657" i="12"/>
  <c r="G658" i="12"/>
  <c r="G659" i="12"/>
  <c r="G660" i="12"/>
  <c r="G661" i="12"/>
  <c r="G662" i="12"/>
  <c r="G663" i="12"/>
  <c r="G664" i="12"/>
  <c r="G665" i="12"/>
  <c r="G666" i="12"/>
  <c r="G667" i="12"/>
  <c r="G668" i="12"/>
  <c r="G669" i="12"/>
  <c r="G670" i="12"/>
  <c r="G671" i="12"/>
  <c r="G672" i="12"/>
  <c r="G673" i="12"/>
  <c r="G674" i="12"/>
  <c r="G675" i="12"/>
  <c r="G676" i="12"/>
  <c r="G677" i="12"/>
  <c r="G678" i="12"/>
  <c r="G679" i="12"/>
  <c r="G680" i="12"/>
  <c r="G681" i="12"/>
  <c r="G682" i="12"/>
  <c r="G683" i="12"/>
  <c r="G684" i="12"/>
  <c r="G685" i="12"/>
  <c r="G686" i="12"/>
  <c r="G687" i="12"/>
  <c r="G688" i="12"/>
  <c r="G689" i="12"/>
  <c r="G690" i="12"/>
  <c r="G691" i="12"/>
  <c r="G692" i="12"/>
  <c r="G693" i="12"/>
  <c r="G694" i="12"/>
  <c r="G695" i="12"/>
  <c r="G696" i="12"/>
  <c r="G697" i="12"/>
  <c r="G698" i="12"/>
  <c r="G699" i="12"/>
  <c r="G700" i="12"/>
  <c r="G701" i="12"/>
  <c r="G702" i="12"/>
  <c r="G703" i="12"/>
  <c r="G704" i="12"/>
  <c r="G705" i="12"/>
  <c r="G706" i="12"/>
  <c r="G707" i="12"/>
  <c r="G708" i="12"/>
  <c r="G709" i="12"/>
  <c r="G710" i="12"/>
  <c r="G711" i="12"/>
  <c r="G712" i="12"/>
  <c r="G713" i="12"/>
  <c r="G714" i="12"/>
  <c r="G715" i="12"/>
  <c r="G716" i="12"/>
  <c r="G717" i="12"/>
  <c r="G718" i="12"/>
  <c r="G719" i="12"/>
  <c r="G720" i="12"/>
  <c r="G721" i="12"/>
  <c r="G722" i="12"/>
  <c r="G723" i="12"/>
  <c r="G724" i="12"/>
  <c r="G725" i="12"/>
  <c r="G726" i="12"/>
  <c r="G727" i="12"/>
  <c r="G728" i="12"/>
  <c r="G729" i="12"/>
  <c r="G730" i="12"/>
  <c r="G731" i="12"/>
  <c r="G732" i="12"/>
  <c r="G733" i="12"/>
  <c r="G734" i="12"/>
  <c r="G735" i="12"/>
  <c r="G736" i="12"/>
  <c r="G737" i="12"/>
  <c r="G738" i="12"/>
  <c r="G739" i="12"/>
  <c r="G740" i="12"/>
  <c r="G741" i="12"/>
  <c r="G742" i="12"/>
  <c r="G743" i="12"/>
  <c r="G744" i="12"/>
  <c r="G745" i="12"/>
  <c r="G746" i="12"/>
  <c r="G747" i="12"/>
  <c r="G748" i="12"/>
  <c r="G749" i="12"/>
  <c r="G750" i="12"/>
  <c r="G751" i="12"/>
  <c r="G752" i="12"/>
  <c r="G753" i="12"/>
  <c r="G754" i="12"/>
  <c r="G755" i="12"/>
  <c r="G756" i="12"/>
  <c r="G757" i="12"/>
  <c r="G758" i="12"/>
  <c r="G759" i="12"/>
  <c r="G760" i="12"/>
  <c r="G761" i="12"/>
  <c r="G762" i="12"/>
  <c r="G763" i="12"/>
  <c r="G764" i="12"/>
  <c r="G765" i="12"/>
  <c r="G766" i="12"/>
  <c r="G767" i="12"/>
  <c r="G768" i="12"/>
  <c r="G769" i="12"/>
  <c r="G770" i="12"/>
  <c r="G771" i="12"/>
  <c r="G772" i="12"/>
  <c r="G773" i="12"/>
  <c r="G774" i="12"/>
  <c r="G775" i="12"/>
  <c r="G776" i="12"/>
  <c r="G777" i="12"/>
  <c r="G778" i="12"/>
  <c r="G779" i="12"/>
  <c r="G780" i="12"/>
  <c r="G781" i="12"/>
  <c r="G782" i="12"/>
  <c r="G783" i="12"/>
  <c r="G784" i="12"/>
  <c r="G785" i="12"/>
  <c r="G786" i="12"/>
  <c r="G787" i="12"/>
  <c r="G788" i="12"/>
  <c r="G789" i="12"/>
  <c r="G790" i="12"/>
  <c r="G791" i="12"/>
  <c r="G792" i="12"/>
  <c r="G793" i="12"/>
  <c r="G794" i="12"/>
  <c r="G795" i="12"/>
  <c r="G796" i="12"/>
  <c r="G797" i="12"/>
  <c r="G798" i="12"/>
  <c r="G799" i="12"/>
  <c r="G800" i="12"/>
  <c r="G801" i="12"/>
  <c r="G802" i="12"/>
  <c r="G803" i="12"/>
  <c r="G804" i="12"/>
  <c r="G805" i="12"/>
  <c r="G806" i="12"/>
  <c r="G807" i="12"/>
  <c r="G808" i="12"/>
  <c r="G809" i="12"/>
  <c r="G810" i="12"/>
  <c r="G811" i="12"/>
  <c r="G812" i="12"/>
  <c r="G813" i="12"/>
  <c r="G814" i="12"/>
  <c r="G815" i="12"/>
  <c r="G816" i="12"/>
  <c r="G817" i="12"/>
  <c r="G818" i="12"/>
  <c r="G819" i="12"/>
  <c r="G820" i="12"/>
  <c r="G821" i="12"/>
  <c r="G822" i="12"/>
  <c r="G823" i="12"/>
  <c r="G824" i="12"/>
  <c r="G825" i="12"/>
  <c r="G826" i="12"/>
  <c r="G827" i="12"/>
  <c r="G828" i="12"/>
  <c r="G829" i="12"/>
  <c r="G830" i="12"/>
  <c r="G831" i="12"/>
  <c r="G832" i="12"/>
  <c r="G833" i="12"/>
  <c r="G834" i="12"/>
  <c r="G835" i="12"/>
  <c r="G836" i="12"/>
  <c r="G837" i="12"/>
  <c r="G838" i="12"/>
  <c r="G839" i="12"/>
  <c r="G840" i="12"/>
  <c r="G841" i="12"/>
  <c r="G842" i="12"/>
  <c r="G843" i="12"/>
  <c r="G844" i="12"/>
  <c r="G845" i="12"/>
  <c r="G846" i="12"/>
  <c r="G847" i="12"/>
  <c r="G848" i="12"/>
  <c r="G849" i="12"/>
  <c r="G850" i="12"/>
  <c r="G851" i="12"/>
  <c r="G852" i="12"/>
  <c r="G853" i="12"/>
  <c r="G854" i="12"/>
  <c r="G855" i="12"/>
  <c r="G856" i="12"/>
  <c r="G857" i="12"/>
  <c r="G858" i="12"/>
  <c r="G859" i="12"/>
  <c r="G860" i="12"/>
  <c r="G861" i="12"/>
  <c r="G862" i="12"/>
  <c r="G863" i="12"/>
  <c r="G864" i="12"/>
  <c r="G865" i="12"/>
  <c r="G866" i="12"/>
  <c r="G867" i="12"/>
  <c r="G868" i="12"/>
  <c r="G869" i="12"/>
  <c r="G870" i="12"/>
  <c r="G871" i="12"/>
  <c r="G872" i="12"/>
  <c r="G873" i="12"/>
  <c r="G874" i="12"/>
  <c r="G875" i="12"/>
  <c r="G876" i="12"/>
  <c r="G877" i="12"/>
  <c r="G878" i="12"/>
  <c r="G879" i="12"/>
  <c r="G880" i="12"/>
  <c r="G881" i="12"/>
  <c r="G882" i="12"/>
  <c r="G883" i="12"/>
  <c r="G884" i="12"/>
  <c r="G885" i="12"/>
  <c r="G886" i="12"/>
  <c r="G887" i="12"/>
  <c r="G888" i="12"/>
  <c r="G889" i="12"/>
  <c r="G890" i="12"/>
  <c r="G891" i="12"/>
  <c r="G892" i="12"/>
  <c r="G893" i="12"/>
  <c r="G894" i="12"/>
  <c r="G895" i="12"/>
  <c r="G896" i="12"/>
  <c r="G897" i="12"/>
  <c r="G898" i="12"/>
  <c r="G899" i="12"/>
  <c r="G900" i="12"/>
  <c r="G901" i="12"/>
  <c r="G902" i="12"/>
  <c r="G903" i="12"/>
  <c r="G904" i="12"/>
  <c r="G905" i="12"/>
  <c r="G906" i="12"/>
  <c r="G907" i="12"/>
  <c r="G908" i="12"/>
  <c r="G909" i="12"/>
  <c r="G910" i="12"/>
  <c r="G911" i="12"/>
  <c r="G912" i="12"/>
  <c r="G913" i="12"/>
  <c r="G914" i="12"/>
  <c r="G915" i="12"/>
  <c r="G916" i="12"/>
  <c r="G917" i="12"/>
  <c r="G918" i="12"/>
  <c r="G919" i="12"/>
  <c r="G920" i="12"/>
  <c r="G921" i="12"/>
  <c r="G922" i="12"/>
  <c r="G923" i="12"/>
  <c r="G924" i="12"/>
  <c r="G925" i="12"/>
  <c r="G926" i="12"/>
  <c r="G927" i="12"/>
  <c r="G928" i="12"/>
  <c r="G929" i="12"/>
  <c r="G930" i="12"/>
  <c r="G931" i="12"/>
  <c r="G932" i="12"/>
  <c r="G933" i="12"/>
  <c r="G934" i="12"/>
  <c r="G935" i="12"/>
  <c r="G936" i="12"/>
  <c r="G937" i="12"/>
  <c r="G938" i="12"/>
  <c r="G939" i="12"/>
  <c r="G940" i="12"/>
  <c r="G941" i="12"/>
  <c r="G942" i="12"/>
  <c r="G943" i="12"/>
  <c r="G944" i="12"/>
  <c r="G945" i="12"/>
  <c r="G946" i="12"/>
  <c r="G947" i="12"/>
  <c r="G948" i="12"/>
  <c r="G949" i="12"/>
  <c r="G950" i="12"/>
  <c r="G951" i="12"/>
  <c r="G952" i="12"/>
  <c r="G953" i="12"/>
  <c r="G954" i="12"/>
  <c r="G955" i="12"/>
  <c r="G956" i="12"/>
  <c r="G957" i="12"/>
  <c r="G958" i="12"/>
  <c r="G959" i="12"/>
  <c r="G960" i="12"/>
  <c r="G961" i="12"/>
  <c r="G962" i="12"/>
  <c r="G963" i="12"/>
  <c r="G964" i="12"/>
  <c r="G965" i="12"/>
  <c r="G966" i="12"/>
  <c r="G967" i="12"/>
  <c r="G968" i="12"/>
  <c r="G969" i="12"/>
  <c r="G970" i="12"/>
  <c r="G971" i="12"/>
  <c r="G972" i="12"/>
  <c r="G973" i="12"/>
  <c r="G974" i="12"/>
  <c r="G975" i="12"/>
  <c r="G976" i="12"/>
  <c r="G977" i="12"/>
  <c r="G978" i="12"/>
  <c r="G979" i="12"/>
  <c r="G980" i="12"/>
  <c r="G981" i="12"/>
  <c r="G982" i="12"/>
  <c r="G983" i="12"/>
  <c r="G984" i="12"/>
  <c r="G985" i="12"/>
  <c r="G986" i="12"/>
  <c r="G987" i="12"/>
  <c r="G988" i="12"/>
  <c r="G989" i="12"/>
  <c r="G990" i="12"/>
  <c r="G991" i="12"/>
  <c r="G992" i="12"/>
  <c r="G993" i="12"/>
  <c r="G994" i="12"/>
  <c r="G995" i="12"/>
  <c r="G996" i="12"/>
  <c r="G997" i="12"/>
  <c r="G998" i="12"/>
  <c r="G999" i="12"/>
  <c r="G1000" i="12"/>
  <c r="G2" i="12"/>
  <c r="G3" i="12"/>
  <c r="G4" i="12"/>
  <c r="G5" i="12"/>
  <c r="G1" i="12"/>
  <c r="L481" i="1" l="1"/>
  <c r="M481" i="1"/>
  <c r="N481" i="1"/>
  <c r="L482" i="1"/>
  <c r="N482" i="1" s="1"/>
  <c r="M482" i="1"/>
  <c r="L483" i="1"/>
  <c r="N483" i="1" s="1"/>
  <c r="M483" i="1"/>
  <c r="L484" i="1"/>
  <c r="M484" i="1"/>
  <c r="N484" i="1"/>
  <c r="L485" i="1"/>
  <c r="M485" i="1"/>
  <c r="N485" i="1"/>
  <c r="L486" i="1"/>
  <c r="N486" i="1" s="1"/>
  <c r="M486" i="1"/>
  <c r="L487" i="1"/>
  <c r="N487" i="1" s="1"/>
  <c r="M487" i="1"/>
  <c r="L488" i="1"/>
  <c r="M488" i="1"/>
  <c r="N488" i="1"/>
  <c r="L489" i="1"/>
  <c r="M489" i="1"/>
  <c r="N489" i="1"/>
  <c r="L490" i="1"/>
  <c r="N490" i="1" s="1"/>
  <c r="M490" i="1"/>
  <c r="L491" i="1"/>
  <c r="N491" i="1" s="1"/>
  <c r="M491" i="1"/>
  <c r="L492" i="1"/>
  <c r="M492" i="1"/>
  <c r="N492" i="1"/>
  <c r="L493" i="1"/>
  <c r="M493" i="1"/>
  <c r="N493" i="1"/>
  <c r="L494" i="1"/>
  <c r="N494" i="1" s="1"/>
  <c r="M494" i="1"/>
  <c r="L495" i="1"/>
  <c r="N495" i="1" s="1"/>
  <c r="M495" i="1"/>
  <c r="L496" i="1"/>
  <c r="M496" i="1"/>
  <c r="N496" i="1"/>
  <c r="L497" i="1"/>
  <c r="M497" i="1"/>
  <c r="N497" i="1"/>
  <c r="L498" i="1"/>
  <c r="N498" i="1" s="1"/>
  <c r="M498" i="1"/>
  <c r="L499" i="1"/>
  <c r="N499" i="1" s="1"/>
  <c r="M499" i="1"/>
  <c r="M480" i="1"/>
  <c r="L480" i="1"/>
  <c r="L456" i="1"/>
  <c r="M456" i="1"/>
  <c r="N456" i="1"/>
  <c r="L457" i="1"/>
  <c r="M457" i="1"/>
  <c r="N457" i="1"/>
  <c r="L458" i="1"/>
  <c r="N458" i="1" s="1"/>
  <c r="M458" i="1"/>
  <c r="L459" i="1"/>
  <c r="N459" i="1" s="1"/>
  <c r="M459" i="1"/>
  <c r="L460" i="1"/>
  <c r="M460" i="1"/>
  <c r="N460" i="1"/>
  <c r="L461" i="1"/>
  <c r="M461" i="1"/>
  <c r="N461" i="1"/>
  <c r="L462" i="1"/>
  <c r="N462" i="1" s="1"/>
  <c r="M462" i="1"/>
  <c r="L463" i="1"/>
  <c r="N463" i="1" s="1"/>
  <c r="M463" i="1"/>
  <c r="L464" i="1"/>
  <c r="M464" i="1"/>
  <c r="N464" i="1"/>
  <c r="L465" i="1"/>
  <c r="M465" i="1"/>
  <c r="N465" i="1"/>
  <c r="L466" i="1"/>
  <c r="N466" i="1" s="1"/>
  <c r="M466" i="1"/>
  <c r="L467" i="1"/>
  <c r="N467" i="1" s="1"/>
  <c r="M467" i="1"/>
  <c r="L468" i="1"/>
  <c r="M468" i="1"/>
  <c r="N468" i="1"/>
  <c r="L469" i="1"/>
  <c r="M469" i="1"/>
  <c r="N469" i="1"/>
  <c r="L470" i="1"/>
  <c r="N470" i="1" s="1"/>
  <c r="M470" i="1"/>
  <c r="L471" i="1"/>
  <c r="N471" i="1" s="1"/>
  <c r="M471" i="1"/>
  <c r="L472" i="1"/>
  <c r="M472" i="1"/>
  <c r="N472" i="1"/>
  <c r="L473" i="1"/>
  <c r="M473" i="1"/>
  <c r="N473" i="1"/>
  <c r="L474" i="1"/>
  <c r="N474" i="1" s="1"/>
  <c r="M474" i="1"/>
  <c r="M455" i="1"/>
  <c r="L455" i="1"/>
  <c r="L431" i="1"/>
  <c r="M431" i="1"/>
  <c r="N431" i="1"/>
  <c r="L432" i="1"/>
  <c r="N432" i="1" s="1"/>
  <c r="M432" i="1"/>
  <c r="L433" i="1"/>
  <c r="N433" i="1" s="1"/>
  <c r="M433" i="1"/>
  <c r="L434" i="1"/>
  <c r="M434" i="1"/>
  <c r="N434" i="1"/>
  <c r="L435" i="1"/>
  <c r="M435" i="1"/>
  <c r="N435" i="1"/>
  <c r="L436" i="1"/>
  <c r="N436" i="1" s="1"/>
  <c r="M436" i="1"/>
  <c r="L437" i="1"/>
  <c r="N437" i="1" s="1"/>
  <c r="M437" i="1"/>
  <c r="L438" i="1"/>
  <c r="M438" i="1"/>
  <c r="N438" i="1"/>
  <c r="L439" i="1"/>
  <c r="M439" i="1"/>
  <c r="N439" i="1"/>
  <c r="L440" i="1"/>
  <c r="N440" i="1" s="1"/>
  <c r="M440" i="1"/>
  <c r="L441" i="1"/>
  <c r="N441" i="1" s="1"/>
  <c r="M441" i="1"/>
  <c r="L442" i="1"/>
  <c r="M442" i="1"/>
  <c r="N442" i="1"/>
  <c r="L443" i="1"/>
  <c r="M443" i="1"/>
  <c r="N443" i="1"/>
  <c r="L444" i="1"/>
  <c r="N444" i="1" s="1"/>
  <c r="M444" i="1"/>
  <c r="L445" i="1"/>
  <c r="N445" i="1" s="1"/>
  <c r="M445" i="1"/>
  <c r="L446" i="1"/>
  <c r="M446" i="1"/>
  <c r="N446" i="1"/>
  <c r="L447" i="1"/>
  <c r="M447" i="1"/>
  <c r="N447" i="1"/>
  <c r="L448" i="1"/>
  <c r="N448" i="1" s="1"/>
  <c r="M448" i="1"/>
  <c r="L449" i="1"/>
  <c r="N449" i="1" s="1"/>
  <c r="M449" i="1"/>
  <c r="M430" i="1"/>
  <c r="L430" i="1"/>
  <c r="L406" i="1"/>
  <c r="M406" i="1"/>
  <c r="N406" i="1"/>
  <c r="L407" i="1"/>
  <c r="N407" i="1" s="1"/>
  <c r="M407" i="1"/>
  <c r="L408" i="1"/>
  <c r="N408" i="1" s="1"/>
  <c r="M408" i="1"/>
  <c r="L409" i="1"/>
  <c r="M409" i="1"/>
  <c r="N409" i="1"/>
  <c r="L410" i="1"/>
  <c r="M410" i="1"/>
  <c r="N410" i="1"/>
  <c r="L411" i="1"/>
  <c r="N411" i="1" s="1"/>
  <c r="M411" i="1"/>
  <c r="L412" i="1"/>
  <c r="N412" i="1" s="1"/>
  <c r="M412" i="1"/>
  <c r="L413" i="1"/>
  <c r="M413" i="1"/>
  <c r="N413" i="1"/>
  <c r="L414" i="1"/>
  <c r="M414" i="1"/>
  <c r="N414" i="1"/>
  <c r="L415" i="1"/>
  <c r="N415" i="1" s="1"/>
  <c r="M415" i="1"/>
  <c r="L416" i="1"/>
  <c r="N416" i="1" s="1"/>
  <c r="M416" i="1"/>
  <c r="L417" i="1"/>
  <c r="M417" i="1"/>
  <c r="N417" i="1"/>
  <c r="L418" i="1"/>
  <c r="M418" i="1"/>
  <c r="N418" i="1"/>
  <c r="L419" i="1"/>
  <c r="N419" i="1" s="1"/>
  <c r="M419" i="1"/>
  <c r="L420" i="1"/>
  <c r="N420" i="1" s="1"/>
  <c r="M420" i="1"/>
  <c r="L421" i="1"/>
  <c r="M421" i="1"/>
  <c r="N421" i="1"/>
  <c r="L422" i="1"/>
  <c r="M422" i="1"/>
  <c r="N422" i="1"/>
  <c r="L423" i="1"/>
  <c r="N423" i="1" s="1"/>
  <c r="M423" i="1"/>
  <c r="L424" i="1"/>
  <c r="N424" i="1" s="1"/>
  <c r="M424" i="1"/>
  <c r="M405" i="1"/>
  <c r="L405" i="1"/>
  <c r="L381" i="1"/>
  <c r="N381" i="1" s="1"/>
  <c r="M381" i="1"/>
  <c r="L382" i="1"/>
  <c r="M382" i="1"/>
  <c r="N382" i="1" s="1"/>
  <c r="L383" i="1"/>
  <c r="M383" i="1"/>
  <c r="N383" i="1"/>
  <c r="L384" i="1"/>
  <c r="N384" i="1" s="1"/>
  <c r="M384" i="1"/>
  <c r="L385" i="1"/>
  <c r="N385" i="1" s="1"/>
  <c r="M385" i="1"/>
  <c r="L386" i="1"/>
  <c r="M386" i="1"/>
  <c r="N386" i="1" s="1"/>
  <c r="L387" i="1"/>
  <c r="M387" i="1"/>
  <c r="N387" i="1"/>
  <c r="L388" i="1"/>
  <c r="N388" i="1" s="1"/>
  <c r="M388" i="1"/>
  <c r="L389" i="1"/>
  <c r="N389" i="1" s="1"/>
  <c r="M389" i="1"/>
  <c r="L390" i="1"/>
  <c r="M390" i="1"/>
  <c r="N390" i="1" s="1"/>
  <c r="L391" i="1"/>
  <c r="M391" i="1"/>
  <c r="N391" i="1"/>
  <c r="L392" i="1"/>
  <c r="N392" i="1" s="1"/>
  <c r="M392" i="1"/>
  <c r="L393" i="1"/>
  <c r="N393" i="1" s="1"/>
  <c r="M393" i="1"/>
  <c r="L394" i="1"/>
  <c r="M394" i="1"/>
  <c r="N394" i="1" s="1"/>
  <c r="L395" i="1"/>
  <c r="M395" i="1"/>
  <c r="N395" i="1"/>
  <c r="L396" i="1"/>
  <c r="N396" i="1" s="1"/>
  <c r="M396" i="1"/>
  <c r="L397" i="1"/>
  <c r="N397" i="1" s="1"/>
  <c r="M397" i="1"/>
  <c r="L398" i="1"/>
  <c r="M398" i="1"/>
  <c r="N398" i="1" s="1"/>
  <c r="L399" i="1"/>
  <c r="M399" i="1"/>
  <c r="N399" i="1"/>
  <c r="M380" i="1"/>
  <c r="L380" i="1"/>
  <c r="L356" i="1"/>
  <c r="M356" i="1"/>
  <c r="N356" i="1" s="1"/>
  <c r="L357" i="1"/>
  <c r="N357" i="1" s="1"/>
  <c r="M357" i="1"/>
  <c r="L358" i="1"/>
  <c r="N358" i="1" s="1"/>
  <c r="M358" i="1"/>
  <c r="L359" i="1"/>
  <c r="M359" i="1"/>
  <c r="N359" i="1"/>
  <c r="L360" i="1"/>
  <c r="M360" i="1"/>
  <c r="N360" i="1"/>
  <c r="L361" i="1"/>
  <c r="N361" i="1" s="1"/>
  <c r="M361" i="1"/>
  <c r="L362" i="1"/>
  <c r="N362" i="1" s="1"/>
  <c r="M362" i="1"/>
  <c r="L363" i="1"/>
  <c r="M363" i="1"/>
  <c r="N363" i="1"/>
  <c r="L364" i="1"/>
  <c r="M364" i="1"/>
  <c r="N364" i="1"/>
  <c r="L365" i="1"/>
  <c r="N365" i="1" s="1"/>
  <c r="M365" i="1"/>
  <c r="L366" i="1"/>
  <c r="N366" i="1" s="1"/>
  <c r="M366" i="1"/>
  <c r="L367" i="1"/>
  <c r="M367" i="1"/>
  <c r="N367" i="1"/>
  <c r="L368" i="1"/>
  <c r="M368" i="1"/>
  <c r="N368" i="1"/>
  <c r="L369" i="1"/>
  <c r="N369" i="1" s="1"/>
  <c r="M369" i="1"/>
  <c r="L370" i="1"/>
  <c r="N370" i="1" s="1"/>
  <c r="M370" i="1"/>
  <c r="L371" i="1"/>
  <c r="M371" i="1"/>
  <c r="N371" i="1"/>
  <c r="L372" i="1"/>
  <c r="M372" i="1"/>
  <c r="N372" i="1"/>
  <c r="L373" i="1"/>
  <c r="N373" i="1" s="1"/>
  <c r="M373" i="1"/>
  <c r="L374" i="1"/>
  <c r="N374" i="1" s="1"/>
  <c r="M374" i="1"/>
  <c r="M355" i="1"/>
  <c r="L355" i="1"/>
  <c r="L331" i="1"/>
  <c r="N331" i="1" s="1"/>
  <c r="M331" i="1"/>
  <c r="L332" i="1"/>
  <c r="N332" i="1" s="1"/>
  <c r="M332" i="1"/>
  <c r="L333" i="1"/>
  <c r="N333" i="1" s="1"/>
  <c r="M333" i="1"/>
  <c r="L334" i="1"/>
  <c r="M334" i="1"/>
  <c r="N334" i="1"/>
  <c r="L335" i="1"/>
  <c r="M335" i="1"/>
  <c r="N335" i="1"/>
  <c r="L336" i="1"/>
  <c r="N336" i="1" s="1"/>
  <c r="M336" i="1"/>
  <c r="L337" i="1"/>
  <c r="N337" i="1" s="1"/>
  <c r="M337" i="1"/>
  <c r="L338" i="1"/>
  <c r="M338" i="1"/>
  <c r="N338" i="1"/>
  <c r="L339" i="1"/>
  <c r="M339" i="1"/>
  <c r="N339" i="1"/>
  <c r="L340" i="1"/>
  <c r="N340" i="1" s="1"/>
  <c r="M340" i="1"/>
  <c r="L341" i="1"/>
  <c r="N341" i="1" s="1"/>
  <c r="M341" i="1"/>
  <c r="L342" i="1"/>
  <c r="M342" i="1"/>
  <c r="N342" i="1"/>
  <c r="L343" i="1"/>
  <c r="M343" i="1"/>
  <c r="N343" i="1"/>
  <c r="L344" i="1"/>
  <c r="N344" i="1" s="1"/>
  <c r="M344" i="1"/>
  <c r="L345" i="1"/>
  <c r="N345" i="1" s="1"/>
  <c r="M345" i="1"/>
  <c r="L346" i="1"/>
  <c r="M346" i="1"/>
  <c r="N346" i="1"/>
  <c r="L347" i="1"/>
  <c r="M347" i="1"/>
  <c r="N347" i="1"/>
  <c r="L348" i="1"/>
  <c r="N348" i="1" s="1"/>
  <c r="M348" i="1"/>
  <c r="L349" i="1"/>
  <c r="N349" i="1" s="1"/>
  <c r="M349" i="1"/>
  <c r="M330" i="1"/>
  <c r="L330" i="1"/>
  <c r="L306" i="1"/>
  <c r="M306" i="1"/>
  <c r="L307" i="1"/>
  <c r="N307" i="1" s="1"/>
  <c r="M307" i="1"/>
  <c r="L308" i="1"/>
  <c r="N308" i="1" s="1"/>
  <c r="M308" i="1"/>
  <c r="L309" i="1"/>
  <c r="M309" i="1"/>
  <c r="N309" i="1"/>
  <c r="L310" i="1"/>
  <c r="M310" i="1"/>
  <c r="N310" i="1"/>
  <c r="L311" i="1"/>
  <c r="N311" i="1" s="1"/>
  <c r="M311" i="1"/>
  <c r="L312" i="1"/>
  <c r="N312" i="1" s="1"/>
  <c r="M312" i="1"/>
  <c r="L313" i="1"/>
  <c r="M313" i="1"/>
  <c r="N313" i="1"/>
  <c r="L314" i="1"/>
  <c r="M314" i="1"/>
  <c r="N314" i="1"/>
  <c r="L315" i="1"/>
  <c r="N315" i="1" s="1"/>
  <c r="M315" i="1"/>
  <c r="L316" i="1"/>
  <c r="N316" i="1" s="1"/>
  <c r="M316" i="1"/>
  <c r="L317" i="1"/>
  <c r="M317" i="1"/>
  <c r="N317" i="1"/>
  <c r="L318" i="1"/>
  <c r="M318" i="1"/>
  <c r="N318" i="1"/>
  <c r="L319" i="1"/>
  <c r="N319" i="1" s="1"/>
  <c r="M319" i="1"/>
  <c r="L320" i="1"/>
  <c r="N320" i="1" s="1"/>
  <c r="M320" i="1"/>
  <c r="L321" i="1"/>
  <c r="M321" i="1"/>
  <c r="N321" i="1"/>
  <c r="L322" i="1"/>
  <c r="M322" i="1"/>
  <c r="N322" i="1"/>
  <c r="L323" i="1"/>
  <c r="N323" i="1" s="1"/>
  <c r="M323" i="1"/>
  <c r="L324" i="1"/>
  <c r="N324" i="1" s="1"/>
  <c r="M324" i="1"/>
  <c r="M305" i="1"/>
  <c r="L305" i="1"/>
  <c r="H499" i="1"/>
  <c r="G499" i="1"/>
  <c r="I499" i="1" s="1"/>
  <c r="C499" i="1"/>
  <c r="B499" i="1"/>
  <c r="H498" i="1"/>
  <c r="I498" i="1" s="1"/>
  <c r="G498" i="1"/>
  <c r="C498" i="1"/>
  <c r="B498" i="1"/>
  <c r="I497" i="1"/>
  <c r="H497" i="1"/>
  <c r="G497" i="1"/>
  <c r="C497" i="1"/>
  <c r="B497" i="1"/>
  <c r="I496" i="1"/>
  <c r="H496" i="1"/>
  <c r="G496" i="1"/>
  <c r="C496" i="1"/>
  <c r="B496" i="1"/>
  <c r="D496" i="1" s="1"/>
  <c r="H495" i="1"/>
  <c r="G495" i="1"/>
  <c r="I495" i="1" s="1"/>
  <c r="C495" i="1"/>
  <c r="B495" i="1"/>
  <c r="D495" i="1" s="1"/>
  <c r="H494" i="1"/>
  <c r="I494" i="1" s="1"/>
  <c r="G494" i="1"/>
  <c r="C494" i="1"/>
  <c r="B494" i="1"/>
  <c r="D494" i="1" s="1"/>
  <c r="I493" i="1"/>
  <c r="H493" i="1"/>
  <c r="G493" i="1"/>
  <c r="C493" i="1"/>
  <c r="B493" i="1"/>
  <c r="I492" i="1"/>
  <c r="H492" i="1"/>
  <c r="G492" i="1"/>
  <c r="C492" i="1"/>
  <c r="B492" i="1"/>
  <c r="H491" i="1"/>
  <c r="G491" i="1"/>
  <c r="I491" i="1" s="1"/>
  <c r="C491" i="1"/>
  <c r="B491" i="1"/>
  <c r="H490" i="1"/>
  <c r="I490" i="1" s="1"/>
  <c r="G490" i="1"/>
  <c r="C490" i="1"/>
  <c r="B490" i="1"/>
  <c r="I489" i="1"/>
  <c r="H489" i="1"/>
  <c r="G489" i="1"/>
  <c r="C489" i="1"/>
  <c r="B489" i="1"/>
  <c r="I488" i="1"/>
  <c r="H488" i="1"/>
  <c r="G488" i="1"/>
  <c r="C488" i="1"/>
  <c r="B488" i="1"/>
  <c r="D488" i="1" s="1"/>
  <c r="H487" i="1"/>
  <c r="G487" i="1"/>
  <c r="I487" i="1" s="1"/>
  <c r="C487" i="1"/>
  <c r="B487" i="1"/>
  <c r="D487" i="1" s="1"/>
  <c r="H486" i="1"/>
  <c r="I486" i="1" s="1"/>
  <c r="G486" i="1"/>
  <c r="C486" i="1"/>
  <c r="B486" i="1"/>
  <c r="D486" i="1" s="1"/>
  <c r="I485" i="1"/>
  <c r="H485" i="1"/>
  <c r="G485" i="1"/>
  <c r="C485" i="1"/>
  <c r="B485" i="1"/>
  <c r="I484" i="1"/>
  <c r="H484" i="1"/>
  <c r="G484" i="1"/>
  <c r="C484" i="1"/>
  <c r="B484" i="1"/>
  <c r="H483" i="1"/>
  <c r="G483" i="1"/>
  <c r="I483" i="1" s="1"/>
  <c r="C483" i="1"/>
  <c r="B483" i="1"/>
  <c r="H482" i="1"/>
  <c r="I482" i="1" s="1"/>
  <c r="G482" i="1"/>
  <c r="C482" i="1"/>
  <c r="B482" i="1"/>
  <c r="I481" i="1"/>
  <c r="H481" i="1"/>
  <c r="G481" i="1"/>
  <c r="B481" i="1"/>
  <c r="N480" i="1"/>
  <c r="I480" i="1"/>
  <c r="H480" i="1"/>
  <c r="G480" i="1"/>
  <c r="C480" i="1"/>
  <c r="B480" i="1"/>
  <c r="D480" i="1" s="1"/>
  <c r="I474" i="1"/>
  <c r="H474" i="1"/>
  <c r="G474" i="1"/>
  <c r="C474" i="1"/>
  <c r="B474" i="1"/>
  <c r="H473" i="1"/>
  <c r="G473" i="1"/>
  <c r="I473" i="1" s="1"/>
  <c r="C473" i="1"/>
  <c r="B473" i="1"/>
  <c r="H472" i="1"/>
  <c r="I472" i="1" s="1"/>
  <c r="G472" i="1"/>
  <c r="C472" i="1"/>
  <c r="B472" i="1"/>
  <c r="H471" i="1"/>
  <c r="I471" i="1" s="1"/>
  <c r="G471" i="1"/>
  <c r="C471" i="1"/>
  <c r="B471" i="1"/>
  <c r="I470" i="1"/>
  <c r="H470" i="1"/>
  <c r="G470" i="1"/>
  <c r="C470" i="1"/>
  <c r="B470" i="1"/>
  <c r="D470" i="1" s="1"/>
  <c r="H469" i="1"/>
  <c r="G469" i="1"/>
  <c r="I469" i="1" s="1"/>
  <c r="C469" i="1"/>
  <c r="B469" i="1"/>
  <c r="D469" i="1" s="1"/>
  <c r="H468" i="1"/>
  <c r="I468" i="1" s="1"/>
  <c r="G468" i="1"/>
  <c r="C468" i="1"/>
  <c r="B468" i="1"/>
  <c r="D468" i="1" s="1"/>
  <c r="H467" i="1"/>
  <c r="I467" i="1" s="1"/>
  <c r="G467" i="1"/>
  <c r="C467" i="1"/>
  <c r="B467" i="1"/>
  <c r="D467" i="1" s="1"/>
  <c r="I466" i="1"/>
  <c r="H466" i="1"/>
  <c r="G466" i="1"/>
  <c r="C466" i="1"/>
  <c r="B466" i="1"/>
  <c r="H465" i="1"/>
  <c r="G465" i="1"/>
  <c r="I465" i="1" s="1"/>
  <c r="C465" i="1"/>
  <c r="B465" i="1"/>
  <c r="H464" i="1"/>
  <c r="I464" i="1" s="1"/>
  <c r="G464" i="1"/>
  <c r="C464" i="1"/>
  <c r="B464" i="1"/>
  <c r="H463" i="1"/>
  <c r="I463" i="1" s="1"/>
  <c r="G463" i="1"/>
  <c r="C463" i="1"/>
  <c r="B463" i="1"/>
  <c r="I462" i="1"/>
  <c r="H462" i="1"/>
  <c r="G462" i="1"/>
  <c r="C462" i="1"/>
  <c r="B462" i="1"/>
  <c r="D462" i="1" s="1"/>
  <c r="H461" i="1"/>
  <c r="G461" i="1"/>
  <c r="I461" i="1" s="1"/>
  <c r="C461" i="1"/>
  <c r="B461" i="1"/>
  <c r="D461" i="1" s="1"/>
  <c r="H460" i="1"/>
  <c r="I460" i="1" s="1"/>
  <c r="G460" i="1"/>
  <c r="C460" i="1"/>
  <c r="B460" i="1"/>
  <c r="D460" i="1" s="1"/>
  <c r="H459" i="1"/>
  <c r="I459" i="1" s="1"/>
  <c r="G459" i="1"/>
  <c r="C459" i="1"/>
  <c r="B459" i="1"/>
  <c r="D459" i="1" s="1"/>
  <c r="I458" i="1"/>
  <c r="H458" i="1"/>
  <c r="G458" i="1"/>
  <c r="C458" i="1"/>
  <c r="B458" i="1"/>
  <c r="H457" i="1"/>
  <c r="G457" i="1"/>
  <c r="I457" i="1" s="1"/>
  <c r="C457" i="1"/>
  <c r="B457" i="1"/>
  <c r="H456" i="1"/>
  <c r="I456" i="1" s="1"/>
  <c r="G456" i="1"/>
  <c r="C456" i="1"/>
  <c r="N455" i="1"/>
  <c r="H455" i="1"/>
  <c r="I455" i="1" s="1"/>
  <c r="G455" i="1"/>
  <c r="C455" i="1"/>
  <c r="B455" i="1"/>
  <c r="D455" i="1" s="1"/>
  <c r="H449" i="1"/>
  <c r="I449" i="1" s="1"/>
  <c r="G449" i="1"/>
  <c r="C449" i="1"/>
  <c r="B449" i="1"/>
  <c r="H448" i="1"/>
  <c r="I448" i="1" s="1"/>
  <c r="G448" i="1"/>
  <c r="C448" i="1"/>
  <c r="B448" i="1"/>
  <c r="H447" i="1"/>
  <c r="I447" i="1" s="1"/>
  <c r="G447" i="1"/>
  <c r="C447" i="1"/>
  <c r="B447" i="1"/>
  <c r="I446" i="1"/>
  <c r="H446" i="1"/>
  <c r="G446" i="1"/>
  <c r="C446" i="1"/>
  <c r="B446" i="1"/>
  <c r="H445" i="1"/>
  <c r="G445" i="1"/>
  <c r="I445" i="1" s="1"/>
  <c r="C445" i="1"/>
  <c r="B445" i="1"/>
  <c r="H444" i="1"/>
  <c r="I444" i="1" s="1"/>
  <c r="G444" i="1"/>
  <c r="C444" i="1"/>
  <c r="B444" i="1"/>
  <c r="H443" i="1"/>
  <c r="I443" i="1" s="1"/>
  <c r="G443" i="1"/>
  <c r="C443" i="1"/>
  <c r="B443" i="1"/>
  <c r="I442" i="1"/>
  <c r="H442" i="1"/>
  <c r="G442" i="1"/>
  <c r="C442" i="1"/>
  <c r="B442" i="1"/>
  <c r="H441" i="1"/>
  <c r="G441" i="1"/>
  <c r="I441" i="1" s="1"/>
  <c r="C441" i="1"/>
  <c r="B441" i="1"/>
  <c r="H440" i="1"/>
  <c r="I440" i="1" s="1"/>
  <c r="G440" i="1"/>
  <c r="C440" i="1"/>
  <c r="B440" i="1"/>
  <c r="H439" i="1"/>
  <c r="I439" i="1" s="1"/>
  <c r="G439" i="1"/>
  <c r="C439" i="1"/>
  <c r="B439" i="1"/>
  <c r="I438" i="1"/>
  <c r="H438" i="1"/>
  <c r="G438" i="1"/>
  <c r="C438" i="1"/>
  <c r="B438" i="1"/>
  <c r="D438" i="1" s="1"/>
  <c r="H437" i="1"/>
  <c r="G437" i="1"/>
  <c r="I437" i="1" s="1"/>
  <c r="C437" i="1"/>
  <c r="B437" i="1"/>
  <c r="D437" i="1" s="1"/>
  <c r="H436" i="1"/>
  <c r="I436" i="1" s="1"/>
  <c r="G436" i="1"/>
  <c r="C436" i="1"/>
  <c r="B436" i="1"/>
  <c r="D436" i="1" s="1"/>
  <c r="H435" i="1"/>
  <c r="I435" i="1" s="1"/>
  <c r="G435" i="1"/>
  <c r="C435" i="1"/>
  <c r="B435" i="1"/>
  <c r="D435" i="1" s="1"/>
  <c r="I434" i="1"/>
  <c r="H434" i="1"/>
  <c r="G434" i="1"/>
  <c r="C434" i="1"/>
  <c r="B434" i="1"/>
  <c r="H433" i="1"/>
  <c r="G433" i="1"/>
  <c r="I433" i="1" s="1"/>
  <c r="C433" i="1"/>
  <c r="B433" i="1"/>
  <c r="H432" i="1"/>
  <c r="I432" i="1" s="1"/>
  <c r="G432" i="1"/>
  <c r="C432" i="1"/>
  <c r="B432" i="1"/>
  <c r="H431" i="1"/>
  <c r="I431" i="1" s="1"/>
  <c r="G431" i="1"/>
  <c r="N430" i="1"/>
  <c r="I430" i="1"/>
  <c r="H430" i="1"/>
  <c r="G430" i="1"/>
  <c r="C430" i="1"/>
  <c r="B430" i="1"/>
  <c r="D430" i="1" s="1"/>
  <c r="H424" i="1"/>
  <c r="I424" i="1" s="1"/>
  <c r="G424" i="1"/>
  <c r="C424" i="1"/>
  <c r="B424" i="1"/>
  <c r="H423" i="1"/>
  <c r="I423" i="1" s="1"/>
  <c r="G423" i="1"/>
  <c r="C423" i="1"/>
  <c r="B423" i="1"/>
  <c r="H422" i="1"/>
  <c r="I422" i="1" s="1"/>
  <c r="G422" i="1"/>
  <c r="C422" i="1"/>
  <c r="B422" i="1"/>
  <c r="I421" i="1"/>
  <c r="H421" i="1"/>
  <c r="G421" i="1"/>
  <c r="C421" i="1"/>
  <c r="B421" i="1"/>
  <c r="D421" i="1" s="1"/>
  <c r="H420" i="1"/>
  <c r="G420" i="1"/>
  <c r="I420" i="1" s="1"/>
  <c r="C420" i="1"/>
  <c r="B420" i="1"/>
  <c r="D420" i="1" s="1"/>
  <c r="H419" i="1"/>
  <c r="I419" i="1" s="1"/>
  <c r="G419" i="1"/>
  <c r="C419" i="1"/>
  <c r="B419" i="1"/>
  <c r="D419" i="1" s="1"/>
  <c r="H418" i="1"/>
  <c r="I418" i="1" s="1"/>
  <c r="G418" i="1"/>
  <c r="C418" i="1"/>
  <c r="B418" i="1"/>
  <c r="D418" i="1" s="1"/>
  <c r="I417" i="1"/>
  <c r="H417" i="1"/>
  <c r="G417" i="1"/>
  <c r="C417" i="1"/>
  <c r="B417" i="1"/>
  <c r="H416" i="1"/>
  <c r="G416" i="1"/>
  <c r="I416" i="1" s="1"/>
  <c r="C416" i="1"/>
  <c r="B416" i="1"/>
  <c r="H415" i="1"/>
  <c r="I415" i="1" s="1"/>
  <c r="G415" i="1"/>
  <c r="C415" i="1"/>
  <c r="B415" i="1"/>
  <c r="H414" i="1"/>
  <c r="I414" i="1" s="1"/>
  <c r="G414" i="1"/>
  <c r="C414" i="1"/>
  <c r="B414" i="1"/>
  <c r="I413" i="1"/>
  <c r="H413" i="1"/>
  <c r="G413" i="1"/>
  <c r="C413" i="1"/>
  <c r="B413" i="1"/>
  <c r="D413" i="1" s="1"/>
  <c r="H412" i="1"/>
  <c r="G412" i="1"/>
  <c r="I412" i="1" s="1"/>
  <c r="C412" i="1"/>
  <c r="B412" i="1"/>
  <c r="D412" i="1" s="1"/>
  <c r="H411" i="1"/>
  <c r="I411" i="1" s="1"/>
  <c r="G411" i="1"/>
  <c r="C411" i="1"/>
  <c r="B411" i="1"/>
  <c r="D411" i="1" s="1"/>
  <c r="H410" i="1"/>
  <c r="I410" i="1" s="1"/>
  <c r="G410" i="1"/>
  <c r="C410" i="1"/>
  <c r="B410" i="1"/>
  <c r="D410" i="1" s="1"/>
  <c r="I409" i="1"/>
  <c r="H409" i="1"/>
  <c r="G409" i="1"/>
  <c r="C409" i="1"/>
  <c r="B409" i="1"/>
  <c r="H408" i="1"/>
  <c r="G408" i="1"/>
  <c r="I408" i="1" s="1"/>
  <c r="C408" i="1"/>
  <c r="B408" i="1"/>
  <c r="H407" i="1"/>
  <c r="I407" i="1" s="1"/>
  <c r="G407" i="1"/>
  <c r="C407" i="1"/>
  <c r="B407" i="1"/>
  <c r="H406" i="1"/>
  <c r="I406" i="1" s="1"/>
  <c r="G406" i="1"/>
  <c r="N405" i="1"/>
  <c r="I405" i="1"/>
  <c r="H405" i="1"/>
  <c r="G405" i="1"/>
  <c r="C405" i="1"/>
  <c r="B405" i="1"/>
  <c r="D405" i="1" s="1"/>
  <c r="H399" i="1"/>
  <c r="G399" i="1"/>
  <c r="I399" i="1" s="1"/>
  <c r="C399" i="1"/>
  <c r="B399" i="1"/>
  <c r="H398" i="1"/>
  <c r="I398" i="1" s="1"/>
  <c r="G398" i="1"/>
  <c r="C398" i="1"/>
  <c r="B398" i="1"/>
  <c r="I397" i="1"/>
  <c r="H397" i="1"/>
  <c r="G397" i="1"/>
  <c r="C397" i="1"/>
  <c r="B397" i="1"/>
  <c r="H396" i="1"/>
  <c r="I396" i="1" s="1"/>
  <c r="G396" i="1"/>
  <c r="C396" i="1"/>
  <c r="B396" i="1"/>
  <c r="H395" i="1"/>
  <c r="G395" i="1"/>
  <c r="I395" i="1" s="1"/>
  <c r="C395" i="1"/>
  <c r="B395" i="1"/>
  <c r="H394" i="1"/>
  <c r="I394" i="1" s="1"/>
  <c r="G394" i="1"/>
  <c r="C394" i="1"/>
  <c r="I393" i="1"/>
  <c r="H393" i="1"/>
  <c r="G393" i="1"/>
  <c r="C393" i="1"/>
  <c r="B393" i="1"/>
  <c r="H392" i="1"/>
  <c r="I392" i="1" s="1"/>
  <c r="G392" i="1"/>
  <c r="C392" i="1"/>
  <c r="B392" i="1"/>
  <c r="H391" i="1"/>
  <c r="G391" i="1"/>
  <c r="I391" i="1" s="1"/>
  <c r="C391" i="1"/>
  <c r="B391" i="1"/>
  <c r="H390" i="1"/>
  <c r="I390" i="1" s="1"/>
  <c r="G390" i="1"/>
  <c r="C390" i="1"/>
  <c r="B390" i="1"/>
  <c r="D390" i="1" s="1"/>
  <c r="I389" i="1"/>
  <c r="H389" i="1"/>
  <c r="G389" i="1"/>
  <c r="C389" i="1"/>
  <c r="B389" i="1"/>
  <c r="H388" i="1"/>
  <c r="I388" i="1" s="1"/>
  <c r="G388" i="1"/>
  <c r="C388" i="1"/>
  <c r="B388" i="1"/>
  <c r="H387" i="1"/>
  <c r="G387" i="1"/>
  <c r="I387" i="1" s="1"/>
  <c r="C387" i="1"/>
  <c r="B387" i="1"/>
  <c r="H386" i="1"/>
  <c r="I386" i="1" s="1"/>
  <c r="G386" i="1"/>
  <c r="C386" i="1"/>
  <c r="B386" i="1"/>
  <c r="I385" i="1"/>
  <c r="H385" i="1"/>
  <c r="G385" i="1"/>
  <c r="C385" i="1"/>
  <c r="B385" i="1"/>
  <c r="D385" i="1" s="1"/>
  <c r="H384" i="1"/>
  <c r="I384" i="1" s="1"/>
  <c r="G384" i="1"/>
  <c r="C384" i="1"/>
  <c r="B384" i="1"/>
  <c r="D384" i="1" s="1"/>
  <c r="H383" i="1"/>
  <c r="G383" i="1"/>
  <c r="I383" i="1" s="1"/>
  <c r="C383" i="1"/>
  <c r="B383" i="1"/>
  <c r="D383" i="1" s="1"/>
  <c r="H382" i="1"/>
  <c r="I382" i="1" s="1"/>
  <c r="G382" i="1"/>
  <c r="C382" i="1"/>
  <c r="B382" i="1"/>
  <c r="D382" i="1" s="1"/>
  <c r="H381" i="1"/>
  <c r="N380" i="1"/>
  <c r="H380" i="1"/>
  <c r="C380" i="1"/>
  <c r="I374" i="1"/>
  <c r="H374" i="1"/>
  <c r="G374" i="1"/>
  <c r="C374" i="1"/>
  <c r="B374" i="1"/>
  <c r="H373" i="1"/>
  <c r="G373" i="1"/>
  <c r="I373" i="1" s="1"/>
  <c r="C373" i="1"/>
  <c r="B373" i="1"/>
  <c r="H372" i="1"/>
  <c r="I372" i="1" s="1"/>
  <c r="G372" i="1"/>
  <c r="C372" i="1"/>
  <c r="B372" i="1"/>
  <c r="H371" i="1"/>
  <c r="I371" i="1" s="1"/>
  <c r="G371" i="1"/>
  <c r="C371" i="1"/>
  <c r="B371" i="1"/>
  <c r="I370" i="1"/>
  <c r="H370" i="1"/>
  <c r="G370" i="1"/>
  <c r="C370" i="1"/>
  <c r="B370" i="1"/>
  <c r="D370" i="1" s="1"/>
  <c r="H369" i="1"/>
  <c r="G369" i="1"/>
  <c r="I369" i="1" s="1"/>
  <c r="H368" i="1"/>
  <c r="I368" i="1" s="1"/>
  <c r="G368" i="1"/>
  <c r="C368" i="1"/>
  <c r="H367" i="1"/>
  <c r="I367" i="1" s="1"/>
  <c r="G367" i="1"/>
  <c r="C367" i="1"/>
  <c r="B367" i="1"/>
  <c r="D367" i="1" s="1"/>
  <c r="I366" i="1"/>
  <c r="H366" i="1"/>
  <c r="G366" i="1"/>
  <c r="C366" i="1"/>
  <c r="B366" i="1"/>
  <c r="D366" i="1" s="1"/>
  <c r="H365" i="1"/>
  <c r="G365" i="1"/>
  <c r="I365" i="1" s="1"/>
  <c r="C365" i="1"/>
  <c r="B365" i="1"/>
  <c r="D365" i="1" s="1"/>
  <c r="H364" i="1"/>
  <c r="I364" i="1" s="1"/>
  <c r="G364" i="1"/>
  <c r="C364" i="1"/>
  <c r="B364" i="1"/>
  <c r="D364" i="1" s="1"/>
  <c r="H363" i="1"/>
  <c r="I363" i="1" s="1"/>
  <c r="G363" i="1"/>
  <c r="C363" i="1"/>
  <c r="B363" i="1"/>
  <c r="D363" i="1" s="1"/>
  <c r="I362" i="1"/>
  <c r="H362" i="1"/>
  <c r="G362" i="1"/>
  <c r="C362" i="1"/>
  <c r="B362" i="1"/>
  <c r="H361" i="1"/>
  <c r="G361" i="1"/>
  <c r="I361" i="1" s="1"/>
  <c r="C361" i="1"/>
  <c r="B361" i="1"/>
  <c r="H360" i="1"/>
  <c r="I360" i="1" s="1"/>
  <c r="G360" i="1"/>
  <c r="C360" i="1"/>
  <c r="B360" i="1"/>
  <c r="H359" i="1"/>
  <c r="I359" i="1" s="1"/>
  <c r="G359" i="1"/>
  <c r="C359" i="1"/>
  <c r="B359" i="1"/>
  <c r="I358" i="1"/>
  <c r="H358" i="1"/>
  <c r="G358" i="1"/>
  <c r="C358" i="1"/>
  <c r="B358" i="1"/>
  <c r="D358" i="1" s="1"/>
  <c r="H357" i="1"/>
  <c r="G357" i="1"/>
  <c r="I357" i="1" s="1"/>
  <c r="C357" i="1"/>
  <c r="B357" i="1"/>
  <c r="D357" i="1" s="1"/>
  <c r="N355" i="1"/>
  <c r="H349" i="1"/>
  <c r="I349" i="1" s="1"/>
  <c r="G349" i="1"/>
  <c r="C349" i="1"/>
  <c r="B349" i="1"/>
  <c r="H348" i="1"/>
  <c r="G348" i="1"/>
  <c r="I348" i="1" s="1"/>
  <c r="C348" i="1"/>
  <c r="B348" i="1"/>
  <c r="H347" i="1"/>
  <c r="I347" i="1" s="1"/>
  <c r="G347" i="1"/>
  <c r="C347" i="1"/>
  <c r="B347" i="1"/>
  <c r="I346" i="1"/>
  <c r="H346" i="1"/>
  <c r="G346" i="1"/>
  <c r="C346" i="1"/>
  <c r="B346" i="1"/>
  <c r="D346" i="1" s="1"/>
  <c r="H345" i="1"/>
  <c r="I345" i="1" s="1"/>
  <c r="G345" i="1"/>
  <c r="C345" i="1"/>
  <c r="B345" i="1"/>
  <c r="D345" i="1" s="1"/>
  <c r="H344" i="1"/>
  <c r="G344" i="1"/>
  <c r="I344" i="1" s="1"/>
  <c r="B344" i="1"/>
  <c r="H343" i="1"/>
  <c r="I343" i="1" s="1"/>
  <c r="G343" i="1"/>
  <c r="I342" i="1"/>
  <c r="H342" i="1"/>
  <c r="G342" i="1"/>
  <c r="C342" i="1"/>
  <c r="B342" i="1"/>
  <c r="H341" i="1"/>
  <c r="I341" i="1" s="1"/>
  <c r="G341" i="1"/>
  <c r="C341" i="1"/>
  <c r="B341" i="1"/>
  <c r="H340" i="1"/>
  <c r="G340" i="1"/>
  <c r="I340" i="1" s="1"/>
  <c r="C340" i="1"/>
  <c r="B340" i="1"/>
  <c r="H339" i="1"/>
  <c r="I339" i="1" s="1"/>
  <c r="G339" i="1"/>
  <c r="C339" i="1"/>
  <c r="B339" i="1"/>
  <c r="I338" i="1"/>
  <c r="H338" i="1"/>
  <c r="G338" i="1"/>
  <c r="C338" i="1"/>
  <c r="B338" i="1"/>
  <c r="H337" i="1"/>
  <c r="I337" i="1" s="1"/>
  <c r="G337" i="1"/>
  <c r="C337" i="1"/>
  <c r="B337" i="1"/>
  <c r="H336" i="1"/>
  <c r="G336" i="1"/>
  <c r="I336" i="1" s="1"/>
  <c r="C336" i="1"/>
  <c r="B336" i="1"/>
  <c r="H335" i="1"/>
  <c r="I335" i="1" s="1"/>
  <c r="G335" i="1"/>
  <c r="C335" i="1"/>
  <c r="B335" i="1"/>
  <c r="I334" i="1"/>
  <c r="H334" i="1"/>
  <c r="G334" i="1"/>
  <c r="C334" i="1"/>
  <c r="B334" i="1"/>
  <c r="D334" i="1" s="1"/>
  <c r="H333" i="1"/>
  <c r="I333" i="1" s="1"/>
  <c r="G333" i="1"/>
  <c r="C333" i="1"/>
  <c r="B333" i="1"/>
  <c r="D333" i="1" s="1"/>
  <c r="H332" i="1"/>
  <c r="G332" i="1"/>
  <c r="I332" i="1" s="1"/>
  <c r="C332" i="1"/>
  <c r="B332" i="1"/>
  <c r="D332" i="1" s="1"/>
  <c r="I324" i="1"/>
  <c r="H324" i="1"/>
  <c r="G324" i="1"/>
  <c r="C324" i="1"/>
  <c r="B324" i="1"/>
  <c r="H323" i="1"/>
  <c r="I323" i="1" s="1"/>
  <c r="G323" i="1"/>
  <c r="C323" i="1"/>
  <c r="B323" i="1"/>
  <c r="H322" i="1"/>
  <c r="I322" i="1" s="1"/>
  <c r="G322" i="1"/>
  <c r="C322" i="1"/>
  <c r="B322" i="1"/>
  <c r="H321" i="1"/>
  <c r="I321" i="1" s="1"/>
  <c r="G321" i="1"/>
  <c r="C321" i="1"/>
  <c r="B321" i="1"/>
  <c r="I320" i="1"/>
  <c r="H320" i="1"/>
  <c r="G320" i="1"/>
  <c r="C320" i="1"/>
  <c r="B320" i="1"/>
  <c r="D320" i="1" s="1"/>
  <c r="H319" i="1"/>
  <c r="G319" i="1"/>
  <c r="I319" i="1" s="1"/>
  <c r="C319" i="1"/>
  <c r="B319" i="1"/>
  <c r="D319" i="1" s="1"/>
  <c r="H318" i="1"/>
  <c r="I318" i="1" s="1"/>
  <c r="G318" i="1"/>
  <c r="B318" i="1"/>
  <c r="H317" i="1"/>
  <c r="I317" i="1" s="1"/>
  <c r="G317" i="1"/>
  <c r="C317" i="1"/>
  <c r="B317" i="1"/>
  <c r="I316" i="1"/>
  <c r="H316" i="1"/>
  <c r="G316" i="1"/>
  <c r="C316" i="1"/>
  <c r="B316" i="1"/>
  <c r="D316" i="1" s="1"/>
  <c r="H315" i="1"/>
  <c r="G315" i="1"/>
  <c r="I315" i="1" s="1"/>
  <c r="C315" i="1"/>
  <c r="B315" i="1"/>
  <c r="D315" i="1" s="1"/>
  <c r="H314" i="1"/>
  <c r="I314" i="1" s="1"/>
  <c r="G314" i="1"/>
  <c r="C314" i="1"/>
  <c r="B314" i="1"/>
  <c r="D314" i="1" s="1"/>
  <c r="H313" i="1"/>
  <c r="I313" i="1" s="1"/>
  <c r="G313" i="1"/>
  <c r="C313" i="1"/>
  <c r="B313" i="1"/>
  <c r="D313" i="1" s="1"/>
  <c r="I312" i="1"/>
  <c r="H312" i="1"/>
  <c r="G312" i="1"/>
  <c r="C312" i="1"/>
  <c r="B312" i="1"/>
  <c r="H311" i="1"/>
  <c r="G311" i="1"/>
  <c r="I311" i="1" s="1"/>
  <c r="C311" i="1"/>
  <c r="B311" i="1"/>
  <c r="H310" i="1"/>
  <c r="I310" i="1" s="1"/>
  <c r="G310" i="1"/>
  <c r="C310" i="1"/>
  <c r="B310" i="1"/>
  <c r="H309" i="1"/>
  <c r="I309" i="1" s="1"/>
  <c r="G309" i="1"/>
  <c r="C309" i="1"/>
  <c r="B309" i="1"/>
  <c r="I308" i="1"/>
  <c r="H308" i="1"/>
  <c r="G308" i="1"/>
  <c r="C308" i="1"/>
  <c r="B308" i="1"/>
  <c r="D308" i="1" s="1"/>
  <c r="H307" i="1"/>
  <c r="G307" i="1"/>
  <c r="I307" i="1" s="1"/>
  <c r="C307" i="1"/>
  <c r="B307" i="1"/>
  <c r="D307" i="1" s="1"/>
  <c r="L281" i="1"/>
  <c r="M281" i="1"/>
  <c r="L282" i="1"/>
  <c r="N282" i="1" s="1"/>
  <c r="M282" i="1"/>
  <c r="L283" i="1"/>
  <c r="N283" i="1" s="1"/>
  <c r="M283" i="1"/>
  <c r="L284" i="1"/>
  <c r="M284" i="1"/>
  <c r="N284" i="1"/>
  <c r="L285" i="1"/>
  <c r="M285" i="1"/>
  <c r="N285" i="1"/>
  <c r="L286" i="1"/>
  <c r="N286" i="1" s="1"/>
  <c r="M286" i="1"/>
  <c r="L287" i="1"/>
  <c r="N287" i="1" s="1"/>
  <c r="M287" i="1"/>
  <c r="L288" i="1"/>
  <c r="M288" i="1"/>
  <c r="N288" i="1"/>
  <c r="L289" i="1"/>
  <c r="M289" i="1"/>
  <c r="N289" i="1"/>
  <c r="L290" i="1"/>
  <c r="N290" i="1" s="1"/>
  <c r="M290" i="1"/>
  <c r="L291" i="1"/>
  <c r="N291" i="1" s="1"/>
  <c r="M291" i="1"/>
  <c r="L292" i="1"/>
  <c r="M292" i="1"/>
  <c r="N292" i="1"/>
  <c r="L293" i="1"/>
  <c r="M293" i="1"/>
  <c r="N293" i="1"/>
  <c r="L294" i="1"/>
  <c r="N294" i="1" s="1"/>
  <c r="M294" i="1"/>
  <c r="L295" i="1"/>
  <c r="N295" i="1" s="1"/>
  <c r="M295" i="1"/>
  <c r="L296" i="1"/>
  <c r="M296" i="1"/>
  <c r="N296" i="1"/>
  <c r="L297" i="1"/>
  <c r="M297" i="1"/>
  <c r="N297" i="1"/>
  <c r="L298" i="1"/>
  <c r="N298" i="1" s="1"/>
  <c r="M298" i="1"/>
  <c r="L299" i="1"/>
  <c r="N299" i="1" s="1"/>
  <c r="M299" i="1"/>
  <c r="G282" i="1"/>
  <c r="I282" i="1" s="1"/>
  <c r="H282" i="1"/>
  <c r="G283" i="1"/>
  <c r="H283" i="1"/>
  <c r="I283" i="1" s="1"/>
  <c r="G284" i="1"/>
  <c r="H284" i="1"/>
  <c r="I284" i="1"/>
  <c r="G285" i="1"/>
  <c r="H285" i="1"/>
  <c r="I285" i="1"/>
  <c r="G286" i="1"/>
  <c r="I286" i="1" s="1"/>
  <c r="H286" i="1"/>
  <c r="G287" i="1"/>
  <c r="H287" i="1"/>
  <c r="I287" i="1" s="1"/>
  <c r="G288" i="1"/>
  <c r="H288" i="1"/>
  <c r="I288" i="1"/>
  <c r="G289" i="1"/>
  <c r="H289" i="1"/>
  <c r="I289" i="1"/>
  <c r="G290" i="1"/>
  <c r="I290" i="1" s="1"/>
  <c r="H290" i="1"/>
  <c r="G291" i="1"/>
  <c r="H291" i="1"/>
  <c r="I291" i="1" s="1"/>
  <c r="G292" i="1"/>
  <c r="H292" i="1"/>
  <c r="I292" i="1"/>
  <c r="G293" i="1"/>
  <c r="H293" i="1"/>
  <c r="I293" i="1"/>
  <c r="G294" i="1"/>
  <c r="I294" i="1" s="1"/>
  <c r="H294" i="1"/>
  <c r="G295" i="1"/>
  <c r="H295" i="1"/>
  <c r="I295" i="1" s="1"/>
  <c r="G296" i="1"/>
  <c r="H296" i="1"/>
  <c r="I296" i="1"/>
  <c r="G297" i="1"/>
  <c r="H297" i="1"/>
  <c r="I297" i="1"/>
  <c r="G298" i="1"/>
  <c r="I298" i="1" s="1"/>
  <c r="H298" i="1"/>
  <c r="G299" i="1"/>
  <c r="H299" i="1"/>
  <c r="I299" i="1" s="1"/>
  <c r="B282" i="1"/>
  <c r="C282" i="1"/>
  <c r="B283" i="1"/>
  <c r="D283" i="1" s="1"/>
  <c r="C283" i="1"/>
  <c r="B284" i="1"/>
  <c r="C284" i="1"/>
  <c r="B285" i="1"/>
  <c r="D285" i="1" s="1"/>
  <c r="C285" i="1"/>
  <c r="B286" i="1"/>
  <c r="C286" i="1"/>
  <c r="B287" i="1"/>
  <c r="D287" i="1" s="1"/>
  <c r="C287" i="1"/>
  <c r="B288" i="1"/>
  <c r="C288" i="1"/>
  <c r="B289" i="1"/>
  <c r="D289" i="1" s="1"/>
  <c r="C289" i="1"/>
  <c r="B290" i="1"/>
  <c r="C290" i="1"/>
  <c r="B291" i="1"/>
  <c r="D291" i="1" s="1"/>
  <c r="C291" i="1"/>
  <c r="B292" i="1"/>
  <c r="C292" i="1"/>
  <c r="B293" i="1"/>
  <c r="D293" i="1" s="1"/>
  <c r="C293" i="1"/>
  <c r="B294" i="1"/>
  <c r="C294" i="1"/>
  <c r="B295" i="1"/>
  <c r="D295" i="1" s="1"/>
  <c r="C295" i="1"/>
  <c r="B296" i="1"/>
  <c r="C296" i="1"/>
  <c r="B297" i="1"/>
  <c r="D297" i="1" s="1"/>
  <c r="C297" i="1"/>
  <c r="B298" i="1"/>
  <c r="C298" i="1"/>
  <c r="B299" i="1"/>
  <c r="D299" i="1" s="1"/>
  <c r="C299" i="1"/>
  <c r="M280" i="1"/>
  <c r="L280" i="1"/>
  <c r="R256" i="1"/>
  <c r="S256" i="1"/>
  <c r="T256" i="1" s="1"/>
  <c r="R257" i="1"/>
  <c r="S257" i="1"/>
  <c r="R258" i="1"/>
  <c r="S258" i="1"/>
  <c r="R259" i="1"/>
  <c r="S259" i="1"/>
  <c r="R260" i="1"/>
  <c r="S260" i="1"/>
  <c r="R261" i="1"/>
  <c r="S261" i="1"/>
  <c r="R262" i="1"/>
  <c r="S262" i="1"/>
  <c r="R263" i="1"/>
  <c r="S263" i="1"/>
  <c r="R264" i="1"/>
  <c r="S264" i="1"/>
  <c r="T264" i="1" s="1"/>
  <c r="R265" i="1"/>
  <c r="S265" i="1"/>
  <c r="R266" i="1"/>
  <c r="S266" i="1"/>
  <c r="R267" i="1"/>
  <c r="S267" i="1"/>
  <c r="R268" i="1"/>
  <c r="S268" i="1"/>
  <c r="R269" i="1"/>
  <c r="S269" i="1"/>
  <c r="R270" i="1"/>
  <c r="S270" i="1"/>
  <c r="R271" i="1"/>
  <c r="S271" i="1"/>
  <c r="R272" i="1"/>
  <c r="S272" i="1"/>
  <c r="R273" i="1"/>
  <c r="S273" i="1"/>
  <c r="R274" i="1"/>
  <c r="S274" i="1"/>
  <c r="M256" i="1"/>
  <c r="N256" i="1"/>
  <c r="M257" i="1"/>
  <c r="N257" i="1"/>
  <c r="M258" i="1"/>
  <c r="N258" i="1"/>
  <c r="M259" i="1"/>
  <c r="N259" i="1"/>
  <c r="M260" i="1"/>
  <c r="N260" i="1"/>
  <c r="M261" i="1"/>
  <c r="N261" i="1"/>
  <c r="M262" i="1"/>
  <c r="N262" i="1"/>
  <c r="M263" i="1"/>
  <c r="N263" i="1"/>
  <c r="O263" i="1" s="1"/>
  <c r="M264" i="1"/>
  <c r="N264" i="1"/>
  <c r="M265" i="1"/>
  <c r="N265" i="1"/>
  <c r="M266" i="1"/>
  <c r="N266" i="1"/>
  <c r="M267" i="1"/>
  <c r="N267" i="1"/>
  <c r="M268" i="1"/>
  <c r="N268" i="1"/>
  <c r="M269" i="1"/>
  <c r="N269" i="1"/>
  <c r="M270" i="1"/>
  <c r="N270" i="1"/>
  <c r="M271" i="1"/>
  <c r="N271" i="1"/>
  <c r="O271" i="1" s="1"/>
  <c r="M272" i="1"/>
  <c r="N272" i="1"/>
  <c r="M273" i="1"/>
  <c r="N273" i="1"/>
  <c r="M274" i="1"/>
  <c r="N274" i="1"/>
  <c r="H256" i="1"/>
  <c r="I256" i="1"/>
  <c r="J256" i="1" s="1"/>
  <c r="H257" i="1"/>
  <c r="I257" i="1"/>
  <c r="H258" i="1"/>
  <c r="I258" i="1"/>
  <c r="H259" i="1"/>
  <c r="I259" i="1"/>
  <c r="H260" i="1"/>
  <c r="I260" i="1"/>
  <c r="J260" i="1" s="1"/>
  <c r="H261" i="1"/>
  <c r="I261" i="1"/>
  <c r="H262" i="1"/>
  <c r="I262" i="1"/>
  <c r="H263" i="1"/>
  <c r="I263" i="1"/>
  <c r="H264" i="1"/>
  <c r="I264" i="1"/>
  <c r="J264" i="1" s="1"/>
  <c r="H265" i="1"/>
  <c r="I265" i="1"/>
  <c r="H266" i="1"/>
  <c r="I266" i="1"/>
  <c r="H267" i="1"/>
  <c r="I267" i="1"/>
  <c r="J267" i="1" s="1"/>
  <c r="H268" i="1"/>
  <c r="I268" i="1"/>
  <c r="H269" i="1"/>
  <c r="I269" i="1"/>
  <c r="H270" i="1"/>
  <c r="I270" i="1"/>
  <c r="H271" i="1"/>
  <c r="I271" i="1"/>
  <c r="H272" i="1"/>
  <c r="I272" i="1"/>
  <c r="H273" i="1"/>
  <c r="I273" i="1"/>
  <c r="H274" i="1"/>
  <c r="I274" i="1"/>
  <c r="S255" i="1"/>
  <c r="I255" i="1"/>
  <c r="C255" i="1"/>
  <c r="N255" i="1"/>
  <c r="H255" i="1"/>
  <c r="D255" i="1"/>
  <c r="R255" i="1"/>
  <c r="M255" i="1"/>
  <c r="O255" i="1" s="1"/>
  <c r="W274" i="1"/>
  <c r="W273" i="1"/>
  <c r="W272" i="1"/>
  <c r="W271" i="1"/>
  <c r="W270" i="1"/>
  <c r="W269" i="1"/>
  <c r="W268" i="1"/>
  <c r="W267" i="1"/>
  <c r="W266" i="1"/>
  <c r="W265" i="1"/>
  <c r="W264" i="1"/>
  <c r="W263" i="1"/>
  <c r="W262" i="1"/>
  <c r="W261" i="1"/>
  <c r="W260" i="1"/>
  <c r="W259" i="1"/>
  <c r="W258" i="1"/>
  <c r="W257" i="1"/>
  <c r="W256" i="1"/>
  <c r="W255" i="1"/>
  <c r="R231" i="1"/>
  <c r="S231" i="1"/>
  <c r="R232" i="1"/>
  <c r="S232" i="1"/>
  <c r="R233" i="1"/>
  <c r="S233" i="1"/>
  <c r="R234" i="1"/>
  <c r="S234" i="1"/>
  <c r="R235" i="1"/>
  <c r="S235" i="1"/>
  <c r="R236" i="1"/>
  <c r="S236" i="1"/>
  <c r="R237" i="1"/>
  <c r="S237" i="1"/>
  <c r="R238" i="1"/>
  <c r="S238" i="1"/>
  <c r="R239" i="1"/>
  <c r="S239" i="1"/>
  <c r="R240" i="1"/>
  <c r="S240" i="1"/>
  <c r="R241" i="1"/>
  <c r="S241" i="1"/>
  <c r="R242" i="1"/>
  <c r="S242" i="1"/>
  <c r="R243" i="1"/>
  <c r="S243" i="1"/>
  <c r="R244" i="1"/>
  <c r="S244" i="1"/>
  <c r="R245" i="1"/>
  <c r="S245" i="1"/>
  <c r="R246" i="1"/>
  <c r="T246" i="1" s="1"/>
  <c r="S246" i="1"/>
  <c r="R247" i="1"/>
  <c r="S247" i="1"/>
  <c r="R248" i="1"/>
  <c r="S248" i="1"/>
  <c r="R249" i="1"/>
  <c r="S249" i="1"/>
  <c r="M231" i="1"/>
  <c r="N231" i="1"/>
  <c r="M232" i="1"/>
  <c r="N232" i="1"/>
  <c r="M233" i="1"/>
  <c r="N233" i="1"/>
  <c r="M234" i="1"/>
  <c r="N234" i="1"/>
  <c r="M235" i="1"/>
  <c r="O235" i="1" s="1"/>
  <c r="N235" i="1"/>
  <c r="M236" i="1"/>
  <c r="N236" i="1"/>
  <c r="M237" i="1"/>
  <c r="N237" i="1"/>
  <c r="M238" i="1"/>
  <c r="N238" i="1"/>
  <c r="M239" i="1"/>
  <c r="N239" i="1"/>
  <c r="M240" i="1"/>
  <c r="N240" i="1"/>
  <c r="M241" i="1"/>
  <c r="N241" i="1"/>
  <c r="M242" i="1"/>
  <c r="N242" i="1"/>
  <c r="M243" i="1"/>
  <c r="N243" i="1"/>
  <c r="M244" i="1"/>
  <c r="N244" i="1"/>
  <c r="M245" i="1"/>
  <c r="N245" i="1"/>
  <c r="M246" i="1"/>
  <c r="N246" i="1"/>
  <c r="M247" i="1"/>
  <c r="N247" i="1"/>
  <c r="M248" i="1"/>
  <c r="N248" i="1"/>
  <c r="M249" i="1"/>
  <c r="N249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J242" i="1" s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B231" i="1"/>
  <c r="S230" i="1"/>
  <c r="I230" i="1"/>
  <c r="C230" i="1"/>
  <c r="B230" i="1" s="1"/>
  <c r="N230" i="1"/>
  <c r="H230" i="1"/>
  <c r="D230" i="1"/>
  <c r="R230" i="1"/>
  <c r="M230" i="1"/>
  <c r="O230" i="1" s="1"/>
  <c r="W249" i="1"/>
  <c r="W248" i="1"/>
  <c r="W247" i="1"/>
  <c r="W246" i="1"/>
  <c r="W245" i="1"/>
  <c r="W244" i="1"/>
  <c r="W243" i="1"/>
  <c r="W242" i="1"/>
  <c r="W241" i="1"/>
  <c r="W240" i="1"/>
  <c r="W239" i="1"/>
  <c r="W238" i="1"/>
  <c r="W237" i="1"/>
  <c r="W236" i="1"/>
  <c r="W235" i="1"/>
  <c r="W234" i="1"/>
  <c r="W233" i="1"/>
  <c r="W232" i="1"/>
  <c r="W231" i="1"/>
  <c r="W230" i="1"/>
  <c r="AX4" i="1"/>
  <c r="AW4" i="1"/>
  <c r="AV4" i="1"/>
  <c r="AU4" i="1"/>
  <c r="AT4" i="1"/>
  <c r="R206" i="1"/>
  <c r="S206" i="1"/>
  <c r="R207" i="1"/>
  <c r="S207" i="1"/>
  <c r="R208" i="1"/>
  <c r="S208" i="1"/>
  <c r="R209" i="1"/>
  <c r="S209" i="1"/>
  <c r="R210" i="1"/>
  <c r="S210" i="1"/>
  <c r="R211" i="1"/>
  <c r="S211" i="1"/>
  <c r="R212" i="1"/>
  <c r="S212" i="1"/>
  <c r="R213" i="1"/>
  <c r="S213" i="1"/>
  <c r="R214" i="1"/>
  <c r="S214" i="1"/>
  <c r="R215" i="1"/>
  <c r="S215" i="1"/>
  <c r="R216" i="1"/>
  <c r="S216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M206" i="1"/>
  <c r="N206" i="1"/>
  <c r="M207" i="1"/>
  <c r="N207" i="1"/>
  <c r="M208" i="1"/>
  <c r="N208" i="1"/>
  <c r="M209" i="1"/>
  <c r="N209" i="1"/>
  <c r="M210" i="1"/>
  <c r="N210" i="1"/>
  <c r="M211" i="1"/>
  <c r="N211" i="1"/>
  <c r="M212" i="1"/>
  <c r="N212" i="1"/>
  <c r="M213" i="1"/>
  <c r="N213" i="1"/>
  <c r="M214" i="1"/>
  <c r="N214" i="1"/>
  <c r="M215" i="1"/>
  <c r="N215" i="1"/>
  <c r="M216" i="1"/>
  <c r="N216" i="1"/>
  <c r="M217" i="1"/>
  <c r="N217" i="1"/>
  <c r="M218" i="1"/>
  <c r="N218" i="1"/>
  <c r="M219" i="1"/>
  <c r="N219" i="1"/>
  <c r="M220" i="1"/>
  <c r="N220" i="1"/>
  <c r="M221" i="1"/>
  <c r="N221" i="1"/>
  <c r="M222" i="1"/>
  <c r="N222" i="1"/>
  <c r="M223" i="1"/>
  <c r="N223" i="1"/>
  <c r="M224" i="1"/>
  <c r="N224" i="1"/>
  <c r="H206" i="1"/>
  <c r="I206" i="1"/>
  <c r="H207" i="1"/>
  <c r="I207" i="1"/>
  <c r="H208" i="1"/>
  <c r="I208" i="1"/>
  <c r="H209" i="1"/>
  <c r="I209" i="1"/>
  <c r="J209" i="1" s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S205" i="1"/>
  <c r="I205" i="1"/>
  <c r="C205" i="1"/>
  <c r="N205" i="1"/>
  <c r="H205" i="1"/>
  <c r="D205" i="1"/>
  <c r="R205" i="1"/>
  <c r="T205" i="1" s="1"/>
  <c r="M205" i="1"/>
  <c r="O205" i="1" s="1"/>
  <c r="W224" i="1"/>
  <c r="W223" i="1"/>
  <c r="W222" i="1"/>
  <c r="W221" i="1"/>
  <c r="W220" i="1"/>
  <c r="W219" i="1"/>
  <c r="W218" i="1"/>
  <c r="W217" i="1"/>
  <c r="W216" i="1"/>
  <c r="W215" i="1"/>
  <c r="W214" i="1"/>
  <c r="W213" i="1"/>
  <c r="W212" i="1"/>
  <c r="W211" i="1"/>
  <c r="W210" i="1"/>
  <c r="W209" i="1"/>
  <c r="W208" i="1"/>
  <c r="W207" i="1"/>
  <c r="W206" i="1"/>
  <c r="W205" i="1"/>
  <c r="M181" i="1"/>
  <c r="N181" i="1"/>
  <c r="M182" i="1"/>
  <c r="N182" i="1"/>
  <c r="M183" i="1"/>
  <c r="N183" i="1"/>
  <c r="M184" i="1"/>
  <c r="N184" i="1"/>
  <c r="M185" i="1"/>
  <c r="N185" i="1"/>
  <c r="M186" i="1"/>
  <c r="N186" i="1"/>
  <c r="M187" i="1"/>
  <c r="N187" i="1"/>
  <c r="M188" i="1"/>
  <c r="N188" i="1"/>
  <c r="M189" i="1"/>
  <c r="N189" i="1"/>
  <c r="M190" i="1"/>
  <c r="N190" i="1"/>
  <c r="M191" i="1"/>
  <c r="N191" i="1"/>
  <c r="M192" i="1"/>
  <c r="N192" i="1"/>
  <c r="M193" i="1"/>
  <c r="N193" i="1"/>
  <c r="M194" i="1"/>
  <c r="N194" i="1"/>
  <c r="M195" i="1"/>
  <c r="N195" i="1"/>
  <c r="M196" i="1"/>
  <c r="N196" i="1"/>
  <c r="M197" i="1"/>
  <c r="N197" i="1"/>
  <c r="M198" i="1"/>
  <c r="N198" i="1"/>
  <c r="M199" i="1"/>
  <c r="N199" i="1"/>
  <c r="R181" i="1"/>
  <c r="S181" i="1"/>
  <c r="R182" i="1"/>
  <c r="S182" i="1"/>
  <c r="R183" i="1"/>
  <c r="S183" i="1"/>
  <c r="R184" i="1"/>
  <c r="T184" i="1" s="1"/>
  <c r="S184" i="1"/>
  <c r="R185" i="1"/>
  <c r="T185" i="1" s="1"/>
  <c r="S185" i="1"/>
  <c r="R186" i="1"/>
  <c r="S186" i="1"/>
  <c r="R187" i="1"/>
  <c r="T187" i="1" s="1"/>
  <c r="S187" i="1"/>
  <c r="R188" i="1"/>
  <c r="S188" i="1"/>
  <c r="R189" i="1"/>
  <c r="S189" i="1"/>
  <c r="R190" i="1"/>
  <c r="S190" i="1"/>
  <c r="R191" i="1"/>
  <c r="T191" i="1" s="1"/>
  <c r="S191" i="1"/>
  <c r="R192" i="1"/>
  <c r="S192" i="1"/>
  <c r="R193" i="1"/>
  <c r="S193" i="1"/>
  <c r="R194" i="1"/>
  <c r="S194" i="1"/>
  <c r="R195" i="1"/>
  <c r="T195" i="1" s="1"/>
  <c r="S195" i="1"/>
  <c r="R196" i="1"/>
  <c r="S196" i="1"/>
  <c r="T196" i="1"/>
  <c r="R197" i="1"/>
  <c r="S197" i="1"/>
  <c r="T197" i="1" s="1"/>
  <c r="R198" i="1"/>
  <c r="S198" i="1"/>
  <c r="R199" i="1"/>
  <c r="S199" i="1"/>
  <c r="H181" i="1"/>
  <c r="I181" i="1"/>
  <c r="H182" i="1"/>
  <c r="I182" i="1"/>
  <c r="H183" i="1"/>
  <c r="I183" i="1"/>
  <c r="H184" i="1"/>
  <c r="I184" i="1"/>
  <c r="H185" i="1"/>
  <c r="I185" i="1"/>
  <c r="J185" i="1" s="1"/>
  <c r="H186" i="1"/>
  <c r="I186" i="1"/>
  <c r="J186" i="1" s="1"/>
  <c r="H187" i="1"/>
  <c r="I187" i="1"/>
  <c r="J187" i="1" s="1"/>
  <c r="H188" i="1"/>
  <c r="I188" i="1"/>
  <c r="J188" i="1" s="1"/>
  <c r="H189" i="1"/>
  <c r="I189" i="1"/>
  <c r="H190" i="1"/>
  <c r="I190" i="1"/>
  <c r="H191" i="1"/>
  <c r="I191" i="1"/>
  <c r="H192" i="1"/>
  <c r="I192" i="1"/>
  <c r="J192" i="1" s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B181" i="1"/>
  <c r="S180" i="1"/>
  <c r="I180" i="1"/>
  <c r="C180" i="1"/>
  <c r="N180" i="1"/>
  <c r="H180" i="1"/>
  <c r="D180" i="1"/>
  <c r="R180" i="1"/>
  <c r="M180" i="1"/>
  <c r="O180" i="1" s="1"/>
  <c r="W199" i="1"/>
  <c r="W198" i="1"/>
  <c r="W197" i="1"/>
  <c r="W196" i="1"/>
  <c r="W195" i="1"/>
  <c r="W194" i="1"/>
  <c r="W193" i="1"/>
  <c r="W192" i="1"/>
  <c r="W191" i="1"/>
  <c r="W190" i="1"/>
  <c r="W189" i="1"/>
  <c r="W188" i="1"/>
  <c r="W187" i="1"/>
  <c r="W186" i="1"/>
  <c r="W185" i="1"/>
  <c r="W184" i="1"/>
  <c r="W183" i="1"/>
  <c r="W182" i="1"/>
  <c r="W181" i="1"/>
  <c r="W180" i="1"/>
  <c r="R156" i="1"/>
  <c r="S156" i="1"/>
  <c r="R157" i="1"/>
  <c r="S157" i="1"/>
  <c r="R158" i="1"/>
  <c r="S158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5" i="1"/>
  <c r="S165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T171" i="1"/>
  <c r="R172" i="1"/>
  <c r="S172" i="1"/>
  <c r="R173" i="1"/>
  <c r="S173" i="1"/>
  <c r="R174" i="1"/>
  <c r="S174" i="1"/>
  <c r="M156" i="1"/>
  <c r="N156" i="1"/>
  <c r="M157" i="1"/>
  <c r="N157" i="1"/>
  <c r="M158" i="1"/>
  <c r="N158" i="1"/>
  <c r="M159" i="1"/>
  <c r="N159" i="1"/>
  <c r="M160" i="1"/>
  <c r="N160" i="1"/>
  <c r="M161" i="1"/>
  <c r="N161" i="1"/>
  <c r="M162" i="1"/>
  <c r="N162" i="1"/>
  <c r="M163" i="1"/>
  <c r="N163" i="1"/>
  <c r="M164" i="1"/>
  <c r="N164" i="1"/>
  <c r="M165" i="1"/>
  <c r="N165" i="1"/>
  <c r="M166" i="1"/>
  <c r="N166" i="1"/>
  <c r="M167" i="1"/>
  <c r="N167" i="1"/>
  <c r="M168" i="1"/>
  <c r="N168" i="1"/>
  <c r="M169" i="1"/>
  <c r="N169" i="1"/>
  <c r="M170" i="1"/>
  <c r="N170" i="1"/>
  <c r="M171" i="1"/>
  <c r="N171" i="1"/>
  <c r="M172" i="1"/>
  <c r="N172" i="1"/>
  <c r="M173" i="1"/>
  <c r="N173" i="1"/>
  <c r="M174" i="1"/>
  <c r="N174" i="1"/>
  <c r="H156" i="1"/>
  <c r="I156" i="1"/>
  <c r="J156" i="1" s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J174" i="1" s="1"/>
  <c r="S155" i="1"/>
  <c r="I155" i="1"/>
  <c r="C155" i="1"/>
  <c r="N155" i="1"/>
  <c r="H155" i="1"/>
  <c r="D155" i="1"/>
  <c r="R155" i="1"/>
  <c r="M155" i="1"/>
  <c r="W174" i="1"/>
  <c r="W173" i="1"/>
  <c r="W172" i="1"/>
  <c r="W171" i="1"/>
  <c r="W170" i="1"/>
  <c r="W169" i="1"/>
  <c r="W168" i="1"/>
  <c r="W167" i="1"/>
  <c r="W166" i="1"/>
  <c r="W165" i="1"/>
  <c r="W164" i="1"/>
  <c r="W163" i="1"/>
  <c r="W162" i="1"/>
  <c r="W161" i="1"/>
  <c r="W160" i="1"/>
  <c r="W159" i="1"/>
  <c r="W158" i="1"/>
  <c r="W157" i="1"/>
  <c r="W156" i="1"/>
  <c r="W155" i="1"/>
  <c r="R131" i="1"/>
  <c r="S131" i="1"/>
  <c r="R132" i="1"/>
  <c r="S132" i="1"/>
  <c r="R133" i="1"/>
  <c r="S133" i="1"/>
  <c r="R134" i="1"/>
  <c r="S134" i="1"/>
  <c r="R135" i="1"/>
  <c r="S135" i="1"/>
  <c r="R136" i="1"/>
  <c r="S136" i="1"/>
  <c r="R137" i="1"/>
  <c r="S137" i="1"/>
  <c r="R138" i="1"/>
  <c r="S138" i="1"/>
  <c r="R139" i="1"/>
  <c r="S139" i="1"/>
  <c r="R140" i="1"/>
  <c r="S140" i="1"/>
  <c r="R141" i="1"/>
  <c r="S141" i="1"/>
  <c r="R142" i="1"/>
  <c r="S142" i="1"/>
  <c r="R143" i="1"/>
  <c r="T143" i="1" s="1"/>
  <c r="S143" i="1"/>
  <c r="R144" i="1"/>
  <c r="S144" i="1"/>
  <c r="R145" i="1"/>
  <c r="S145" i="1"/>
  <c r="R146" i="1"/>
  <c r="T146" i="1" s="1"/>
  <c r="S146" i="1"/>
  <c r="R147" i="1"/>
  <c r="S147" i="1"/>
  <c r="R148" i="1"/>
  <c r="S148" i="1"/>
  <c r="R149" i="1"/>
  <c r="S149" i="1"/>
  <c r="M131" i="1"/>
  <c r="N131" i="1"/>
  <c r="M132" i="1"/>
  <c r="N132" i="1"/>
  <c r="M133" i="1"/>
  <c r="N133" i="1"/>
  <c r="M134" i="1"/>
  <c r="N134" i="1"/>
  <c r="M135" i="1"/>
  <c r="N135" i="1"/>
  <c r="M136" i="1"/>
  <c r="N136" i="1"/>
  <c r="M137" i="1"/>
  <c r="N137" i="1"/>
  <c r="M138" i="1"/>
  <c r="N138" i="1"/>
  <c r="M139" i="1"/>
  <c r="N139" i="1"/>
  <c r="M140" i="1"/>
  <c r="N140" i="1"/>
  <c r="M141" i="1"/>
  <c r="N141" i="1"/>
  <c r="M142" i="1"/>
  <c r="N142" i="1"/>
  <c r="M143" i="1"/>
  <c r="N143" i="1"/>
  <c r="M144" i="1"/>
  <c r="N144" i="1"/>
  <c r="M145" i="1"/>
  <c r="N145" i="1"/>
  <c r="M146" i="1"/>
  <c r="N146" i="1"/>
  <c r="M147" i="1"/>
  <c r="N147" i="1"/>
  <c r="M148" i="1"/>
  <c r="N148" i="1"/>
  <c r="M149" i="1"/>
  <c r="N149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S130" i="1"/>
  <c r="R130" i="1"/>
  <c r="N130" i="1"/>
  <c r="M130" i="1"/>
  <c r="I130" i="1"/>
  <c r="H130" i="1"/>
  <c r="D130" i="1"/>
  <c r="C130" i="1"/>
  <c r="B130" i="1" s="1"/>
  <c r="W149" i="1"/>
  <c r="W148" i="1"/>
  <c r="W147" i="1"/>
  <c r="W146" i="1"/>
  <c r="W145" i="1"/>
  <c r="W144" i="1"/>
  <c r="W143" i="1"/>
  <c r="W142" i="1"/>
  <c r="W141" i="1"/>
  <c r="W140" i="1"/>
  <c r="W139" i="1"/>
  <c r="W138" i="1"/>
  <c r="W137" i="1"/>
  <c r="W136" i="1"/>
  <c r="W135" i="1"/>
  <c r="W134" i="1"/>
  <c r="W133" i="1"/>
  <c r="W132" i="1"/>
  <c r="W131" i="1"/>
  <c r="W130" i="1"/>
  <c r="R106" i="1"/>
  <c r="S106" i="1"/>
  <c r="R107" i="1"/>
  <c r="S107" i="1"/>
  <c r="R108" i="1"/>
  <c r="S108" i="1"/>
  <c r="R109" i="1"/>
  <c r="S109" i="1"/>
  <c r="R110" i="1"/>
  <c r="S110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8" i="1"/>
  <c r="S118" i="1"/>
  <c r="R119" i="1"/>
  <c r="S119" i="1"/>
  <c r="R120" i="1"/>
  <c r="S120" i="1"/>
  <c r="R121" i="1"/>
  <c r="S121" i="1"/>
  <c r="R122" i="1"/>
  <c r="S122" i="1"/>
  <c r="R123" i="1"/>
  <c r="S123" i="1"/>
  <c r="R124" i="1"/>
  <c r="S124" i="1"/>
  <c r="M106" i="1"/>
  <c r="N106" i="1"/>
  <c r="M107" i="1"/>
  <c r="N107" i="1"/>
  <c r="M108" i="1"/>
  <c r="N108" i="1"/>
  <c r="M109" i="1"/>
  <c r="N109" i="1"/>
  <c r="M110" i="1"/>
  <c r="N110" i="1"/>
  <c r="M111" i="1"/>
  <c r="N111" i="1"/>
  <c r="M112" i="1"/>
  <c r="N112" i="1"/>
  <c r="M113" i="1"/>
  <c r="N113" i="1"/>
  <c r="M114" i="1"/>
  <c r="N114" i="1"/>
  <c r="M115" i="1"/>
  <c r="N115" i="1"/>
  <c r="M116" i="1"/>
  <c r="N116" i="1"/>
  <c r="M117" i="1"/>
  <c r="N117" i="1"/>
  <c r="M118" i="1"/>
  <c r="N118" i="1"/>
  <c r="M119" i="1"/>
  <c r="N119" i="1"/>
  <c r="M120" i="1"/>
  <c r="N120" i="1"/>
  <c r="M121" i="1"/>
  <c r="N121" i="1"/>
  <c r="M122" i="1"/>
  <c r="N122" i="1"/>
  <c r="M123" i="1"/>
  <c r="N123" i="1"/>
  <c r="M124" i="1"/>
  <c r="N124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J112" i="1" s="1"/>
  <c r="H113" i="1"/>
  <c r="I113" i="1"/>
  <c r="H114" i="1"/>
  <c r="I114" i="1"/>
  <c r="J114" i="1" s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S105" i="1"/>
  <c r="R105" i="1"/>
  <c r="N105" i="1"/>
  <c r="M105" i="1"/>
  <c r="H105" i="1"/>
  <c r="I105" i="1"/>
  <c r="D105" i="1"/>
  <c r="C105" i="1"/>
  <c r="W124" i="1"/>
  <c r="W123" i="1"/>
  <c r="W122" i="1"/>
  <c r="W121" i="1"/>
  <c r="W120" i="1"/>
  <c r="W119" i="1"/>
  <c r="W118" i="1"/>
  <c r="W117" i="1"/>
  <c r="W116" i="1"/>
  <c r="W115" i="1"/>
  <c r="W114" i="1"/>
  <c r="W113" i="1"/>
  <c r="W112" i="1"/>
  <c r="W111" i="1"/>
  <c r="W110" i="1"/>
  <c r="W109" i="1"/>
  <c r="W108" i="1"/>
  <c r="W107" i="1"/>
  <c r="W106" i="1"/>
  <c r="W105" i="1"/>
  <c r="W99" i="1"/>
  <c r="W98" i="1"/>
  <c r="W97" i="1"/>
  <c r="W96" i="1"/>
  <c r="W95" i="1"/>
  <c r="W94" i="1"/>
  <c r="W93" i="1"/>
  <c r="W92" i="1"/>
  <c r="W91" i="1"/>
  <c r="W90" i="1"/>
  <c r="W89" i="1"/>
  <c r="W88" i="1"/>
  <c r="W87" i="1"/>
  <c r="W86" i="1"/>
  <c r="W85" i="1"/>
  <c r="W84" i="1"/>
  <c r="W83" i="1"/>
  <c r="W82" i="1"/>
  <c r="W81" i="1"/>
  <c r="W80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R81" i="1"/>
  <c r="S81" i="1"/>
  <c r="R82" i="1"/>
  <c r="S82" i="1"/>
  <c r="R83" i="1"/>
  <c r="S83" i="1"/>
  <c r="R84" i="1"/>
  <c r="S84" i="1"/>
  <c r="R85" i="1"/>
  <c r="S85" i="1"/>
  <c r="R86" i="1"/>
  <c r="S86" i="1"/>
  <c r="R87" i="1"/>
  <c r="S87" i="1"/>
  <c r="R88" i="1"/>
  <c r="S88" i="1"/>
  <c r="R89" i="1"/>
  <c r="S89" i="1"/>
  <c r="R90" i="1"/>
  <c r="S90" i="1"/>
  <c r="R91" i="1"/>
  <c r="S91" i="1"/>
  <c r="R92" i="1"/>
  <c r="S92" i="1"/>
  <c r="R93" i="1"/>
  <c r="S93" i="1"/>
  <c r="R94" i="1"/>
  <c r="S94" i="1"/>
  <c r="R95" i="1"/>
  <c r="S95" i="1"/>
  <c r="R96" i="1"/>
  <c r="S96" i="1"/>
  <c r="R97" i="1"/>
  <c r="S97" i="1"/>
  <c r="R98" i="1"/>
  <c r="S98" i="1"/>
  <c r="R99" i="1"/>
  <c r="S99" i="1"/>
  <c r="M81" i="1"/>
  <c r="N81" i="1"/>
  <c r="M82" i="1"/>
  <c r="N82" i="1"/>
  <c r="M83" i="1"/>
  <c r="N83" i="1"/>
  <c r="M84" i="1"/>
  <c r="N84" i="1"/>
  <c r="M85" i="1"/>
  <c r="N85" i="1"/>
  <c r="M86" i="1"/>
  <c r="N86" i="1"/>
  <c r="M87" i="1"/>
  <c r="N87" i="1"/>
  <c r="M88" i="1"/>
  <c r="N88" i="1"/>
  <c r="M89" i="1"/>
  <c r="N89" i="1"/>
  <c r="M90" i="1"/>
  <c r="N90" i="1"/>
  <c r="M91" i="1"/>
  <c r="N91" i="1"/>
  <c r="M92" i="1"/>
  <c r="N92" i="1"/>
  <c r="M93" i="1"/>
  <c r="N93" i="1"/>
  <c r="M94" i="1"/>
  <c r="N94" i="1"/>
  <c r="M95" i="1"/>
  <c r="N95" i="1"/>
  <c r="M96" i="1"/>
  <c r="N96" i="1"/>
  <c r="M97" i="1"/>
  <c r="N97" i="1"/>
  <c r="M98" i="1"/>
  <c r="N98" i="1"/>
  <c r="M99" i="1"/>
  <c r="N99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S80" i="1"/>
  <c r="R80" i="1"/>
  <c r="N80" i="1"/>
  <c r="M80" i="1"/>
  <c r="I80" i="1"/>
  <c r="H80" i="1"/>
  <c r="D80" i="1"/>
  <c r="C80" i="1"/>
  <c r="R56" i="1"/>
  <c r="S56" i="1"/>
  <c r="R57" i="1"/>
  <c r="S57" i="1"/>
  <c r="R58" i="1"/>
  <c r="S58" i="1"/>
  <c r="R59" i="1"/>
  <c r="S59" i="1"/>
  <c r="R60" i="1"/>
  <c r="S60" i="1"/>
  <c r="R61" i="1"/>
  <c r="S61" i="1"/>
  <c r="R62" i="1"/>
  <c r="S62" i="1"/>
  <c r="R63" i="1"/>
  <c r="S63" i="1"/>
  <c r="R64" i="1"/>
  <c r="S64" i="1"/>
  <c r="R65" i="1"/>
  <c r="S65" i="1"/>
  <c r="R66" i="1"/>
  <c r="S66" i="1"/>
  <c r="R67" i="1"/>
  <c r="S67" i="1"/>
  <c r="R68" i="1"/>
  <c r="S68" i="1"/>
  <c r="R69" i="1"/>
  <c r="S69" i="1"/>
  <c r="R70" i="1"/>
  <c r="S70" i="1"/>
  <c r="R71" i="1"/>
  <c r="S71" i="1"/>
  <c r="R72" i="1"/>
  <c r="S72" i="1"/>
  <c r="R73" i="1"/>
  <c r="S73" i="1"/>
  <c r="R74" i="1"/>
  <c r="S74" i="1"/>
  <c r="M56" i="1"/>
  <c r="N56" i="1"/>
  <c r="M57" i="1"/>
  <c r="N57" i="1"/>
  <c r="M58" i="1"/>
  <c r="N58" i="1"/>
  <c r="M59" i="1"/>
  <c r="N59" i="1"/>
  <c r="M60" i="1"/>
  <c r="N60" i="1"/>
  <c r="M61" i="1"/>
  <c r="N61" i="1"/>
  <c r="M62" i="1"/>
  <c r="N62" i="1"/>
  <c r="M63" i="1"/>
  <c r="N63" i="1"/>
  <c r="M64" i="1"/>
  <c r="N64" i="1"/>
  <c r="M65" i="1"/>
  <c r="N65" i="1"/>
  <c r="M66" i="1"/>
  <c r="N66" i="1"/>
  <c r="M67" i="1"/>
  <c r="N67" i="1"/>
  <c r="M68" i="1"/>
  <c r="N68" i="1"/>
  <c r="M69" i="1"/>
  <c r="N69" i="1"/>
  <c r="M70" i="1"/>
  <c r="N70" i="1"/>
  <c r="M71" i="1"/>
  <c r="N71" i="1"/>
  <c r="M72" i="1"/>
  <c r="N72" i="1"/>
  <c r="M73" i="1"/>
  <c r="N73" i="1"/>
  <c r="M74" i="1"/>
  <c r="N74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S55" i="1"/>
  <c r="R55" i="1"/>
  <c r="N55" i="1"/>
  <c r="M55" i="1"/>
  <c r="I55" i="1"/>
  <c r="H55" i="1"/>
  <c r="D55" i="1"/>
  <c r="C30" i="1"/>
  <c r="R31" i="1"/>
  <c r="S31" i="1"/>
  <c r="R32" i="1"/>
  <c r="S32" i="1"/>
  <c r="R33" i="1"/>
  <c r="S33" i="1"/>
  <c r="R34" i="1"/>
  <c r="S34" i="1"/>
  <c r="R35" i="1"/>
  <c r="S35" i="1"/>
  <c r="R36" i="1"/>
  <c r="S36" i="1"/>
  <c r="R37" i="1"/>
  <c r="S37" i="1"/>
  <c r="R38" i="1"/>
  <c r="S38" i="1"/>
  <c r="R39" i="1"/>
  <c r="S39" i="1"/>
  <c r="R40" i="1"/>
  <c r="S40" i="1"/>
  <c r="R41" i="1"/>
  <c r="S41" i="1"/>
  <c r="R42" i="1"/>
  <c r="S42" i="1"/>
  <c r="R43" i="1"/>
  <c r="S43" i="1"/>
  <c r="R44" i="1"/>
  <c r="S44" i="1"/>
  <c r="R45" i="1"/>
  <c r="S45" i="1"/>
  <c r="R46" i="1"/>
  <c r="S46" i="1"/>
  <c r="R47" i="1"/>
  <c r="S47" i="1"/>
  <c r="R48" i="1"/>
  <c r="S48" i="1"/>
  <c r="R49" i="1"/>
  <c r="S49" i="1"/>
  <c r="M31" i="1"/>
  <c r="N31" i="1"/>
  <c r="M32" i="1"/>
  <c r="N32" i="1"/>
  <c r="M33" i="1"/>
  <c r="N33" i="1"/>
  <c r="M34" i="1"/>
  <c r="N34" i="1"/>
  <c r="M35" i="1"/>
  <c r="N35" i="1"/>
  <c r="M36" i="1"/>
  <c r="N36" i="1"/>
  <c r="M37" i="1"/>
  <c r="N37" i="1"/>
  <c r="M38" i="1"/>
  <c r="N38" i="1"/>
  <c r="M39" i="1"/>
  <c r="N39" i="1"/>
  <c r="M40" i="1"/>
  <c r="N40" i="1"/>
  <c r="M41" i="1"/>
  <c r="N41" i="1"/>
  <c r="M42" i="1"/>
  <c r="N42" i="1"/>
  <c r="M43" i="1"/>
  <c r="N43" i="1"/>
  <c r="M44" i="1"/>
  <c r="N44" i="1"/>
  <c r="M45" i="1"/>
  <c r="N45" i="1"/>
  <c r="M46" i="1"/>
  <c r="N46" i="1"/>
  <c r="M47" i="1"/>
  <c r="N47" i="1"/>
  <c r="M48" i="1"/>
  <c r="N48" i="1"/>
  <c r="M49" i="1"/>
  <c r="N49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S30" i="1"/>
  <c r="R30" i="1"/>
  <c r="N30" i="1"/>
  <c r="M30" i="1"/>
  <c r="I30" i="1"/>
  <c r="H30" i="1"/>
  <c r="D30" i="1"/>
  <c r="BC4" i="1"/>
  <c r="BB4" i="1"/>
  <c r="BA4" i="1"/>
  <c r="AZ4" i="1"/>
  <c r="AY4" i="1"/>
  <c r="AS4" i="1"/>
  <c r="AR4" i="1"/>
  <c r="AQ4" i="1"/>
  <c r="AP4" i="1"/>
  <c r="AO4" i="1"/>
  <c r="AN4" i="1"/>
  <c r="AM4" i="1"/>
  <c r="AL4" i="1"/>
  <c r="AK4" i="1"/>
  <c r="AJ4" i="1"/>
  <c r="AI4" i="1"/>
  <c r="AH4" i="1"/>
  <c r="AG4" i="1"/>
  <c r="AF4" i="1"/>
  <c r="AE4" i="1"/>
  <c r="AD4" i="1"/>
  <c r="AC4" i="1"/>
  <c r="AB4" i="1"/>
  <c r="AA4" i="1"/>
  <c r="Z4" i="1"/>
  <c r="Y4" i="1"/>
  <c r="X4" i="1"/>
  <c r="W4" i="1"/>
  <c r="V4" i="1"/>
  <c r="U4" i="1"/>
  <c r="T4" i="1"/>
  <c r="S4" i="1"/>
  <c r="R4" i="1"/>
  <c r="Q4" i="1"/>
  <c r="P4" i="1"/>
  <c r="O4" i="1"/>
  <c r="N4" i="1"/>
  <c r="M4" i="1"/>
  <c r="L4" i="1"/>
  <c r="K4" i="1"/>
  <c r="J4" i="1"/>
  <c r="I4" i="1"/>
  <c r="H4" i="1"/>
  <c r="G4" i="1"/>
  <c r="F4" i="1"/>
  <c r="E4" i="1"/>
  <c r="D4" i="1"/>
  <c r="C4" i="1"/>
  <c r="B4" i="1"/>
  <c r="D489" i="1" l="1"/>
  <c r="D497" i="1"/>
  <c r="D482" i="1"/>
  <c r="D483" i="1"/>
  <c r="D484" i="1"/>
  <c r="D490" i="1"/>
  <c r="D491" i="1"/>
  <c r="D492" i="1"/>
  <c r="D498" i="1"/>
  <c r="D499" i="1"/>
  <c r="D485" i="1"/>
  <c r="D493" i="1"/>
  <c r="D463" i="1"/>
  <c r="D464" i="1"/>
  <c r="D465" i="1"/>
  <c r="D466" i="1"/>
  <c r="D457" i="1"/>
  <c r="D458" i="1"/>
  <c r="D471" i="1"/>
  <c r="D472" i="1"/>
  <c r="D473" i="1"/>
  <c r="D474" i="1"/>
  <c r="D439" i="1"/>
  <c r="D440" i="1"/>
  <c r="D441" i="1"/>
  <c r="D442" i="1"/>
  <c r="D443" i="1"/>
  <c r="D444" i="1"/>
  <c r="D445" i="1"/>
  <c r="D446" i="1"/>
  <c r="D432" i="1"/>
  <c r="D433" i="1"/>
  <c r="D434" i="1"/>
  <c r="D447" i="1"/>
  <c r="D448" i="1"/>
  <c r="D449" i="1"/>
  <c r="D414" i="1"/>
  <c r="D415" i="1"/>
  <c r="D416" i="1"/>
  <c r="D417" i="1"/>
  <c r="D407" i="1"/>
  <c r="D408" i="1"/>
  <c r="D409" i="1"/>
  <c r="D422" i="1"/>
  <c r="D423" i="1"/>
  <c r="D424" i="1"/>
  <c r="D386" i="1"/>
  <c r="D387" i="1"/>
  <c r="D388" i="1"/>
  <c r="D389" i="1"/>
  <c r="D391" i="1"/>
  <c r="D392" i="1"/>
  <c r="D393" i="1"/>
  <c r="D395" i="1"/>
  <c r="D396" i="1"/>
  <c r="D397" i="1"/>
  <c r="D398" i="1"/>
  <c r="D399" i="1"/>
  <c r="D359" i="1"/>
  <c r="D360" i="1"/>
  <c r="D361" i="1"/>
  <c r="D362" i="1"/>
  <c r="D371" i="1"/>
  <c r="D372" i="1"/>
  <c r="D373" i="1"/>
  <c r="D374" i="1"/>
  <c r="D335" i="1"/>
  <c r="D336" i="1"/>
  <c r="D337" i="1"/>
  <c r="D338" i="1"/>
  <c r="D347" i="1"/>
  <c r="D348" i="1"/>
  <c r="D349" i="1"/>
  <c r="D339" i="1"/>
  <c r="D340" i="1"/>
  <c r="D341" i="1"/>
  <c r="D342" i="1"/>
  <c r="D309" i="1"/>
  <c r="D310" i="1"/>
  <c r="D311" i="1"/>
  <c r="D312" i="1"/>
  <c r="D317" i="1"/>
  <c r="D321" i="1"/>
  <c r="D322" i="1"/>
  <c r="D323" i="1"/>
  <c r="D324" i="1"/>
  <c r="D298" i="1"/>
  <c r="D296" i="1"/>
  <c r="D294" i="1"/>
  <c r="D292" i="1"/>
  <c r="D290" i="1"/>
  <c r="D288" i="1"/>
  <c r="D286" i="1"/>
  <c r="D284" i="1"/>
  <c r="D282" i="1"/>
  <c r="N281" i="1"/>
  <c r="N306" i="1"/>
  <c r="C406" i="1"/>
  <c r="B431" i="1"/>
  <c r="N305" i="1"/>
  <c r="N330" i="1"/>
  <c r="N280" i="1"/>
  <c r="C355" i="1"/>
  <c r="J130" i="1"/>
  <c r="B380" i="1"/>
  <c r="D380" i="1" s="1"/>
  <c r="C343" i="1"/>
  <c r="B368" i="1"/>
  <c r="D368" i="1" s="1"/>
  <c r="O93" i="1"/>
  <c r="T88" i="1"/>
  <c r="T84" i="1"/>
  <c r="O105" i="1"/>
  <c r="O110" i="1"/>
  <c r="T121" i="1"/>
  <c r="T164" i="1"/>
  <c r="J180" i="1"/>
  <c r="T181" i="1"/>
  <c r="O192" i="1"/>
  <c r="O184" i="1"/>
  <c r="O260" i="1"/>
  <c r="T271" i="1"/>
  <c r="J110" i="1"/>
  <c r="T114" i="1"/>
  <c r="J133" i="1"/>
  <c r="J131" i="1"/>
  <c r="J171" i="1"/>
  <c r="O222" i="1"/>
  <c r="O210" i="1"/>
  <c r="O206" i="1"/>
  <c r="T223" i="1"/>
  <c r="T221" i="1"/>
  <c r="T219" i="1"/>
  <c r="T217" i="1"/>
  <c r="T215" i="1"/>
  <c r="T213" i="1"/>
  <c r="T209" i="1"/>
  <c r="J255" i="1"/>
  <c r="J119" i="1"/>
  <c r="J117" i="1"/>
  <c r="J111" i="1"/>
  <c r="J109" i="1"/>
  <c r="O109" i="1"/>
  <c r="T122" i="1"/>
  <c r="T113" i="1"/>
  <c r="O140" i="1"/>
  <c r="O132" i="1"/>
  <c r="T149" i="1"/>
  <c r="T147" i="1"/>
  <c r="T142" i="1"/>
  <c r="T138" i="1"/>
  <c r="T155" i="1"/>
  <c r="J172" i="1"/>
  <c r="J164" i="1"/>
  <c r="J160" i="1"/>
  <c r="J158" i="1"/>
  <c r="O174" i="1"/>
  <c r="J196" i="1"/>
  <c r="J194" i="1"/>
  <c r="O209" i="1"/>
  <c r="T218" i="1"/>
  <c r="T210" i="1"/>
  <c r="J239" i="1"/>
  <c r="J235" i="1"/>
  <c r="J231" i="1"/>
  <c r="O246" i="1"/>
  <c r="O238" i="1"/>
  <c r="T239" i="1"/>
  <c r="T231" i="1"/>
  <c r="B255" i="1"/>
  <c r="O113" i="1"/>
  <c r="J138" i="1"/>
  <c r="J132" i="1"/>
  <c r="O149" i="1"/>
  <c r="O143" i="1"/>
  <c r="O159" i="1"/>
  <c r="T163" i="1"/>
  <c r="O181" i="1"/>
  <c r="O118" i="1"/>
  <c r="O116" i="1"/>
  <c r="O114" i="1"/>
  <c r="J173" i="1"/>
  <c r="O166" i="1"/>
  <c r="O162" i="1"/>
  <c r="O160" i="1"/>
  <c r="T238" i="1"/>
  <c r="T236" i="1"/>
  <c r="T234" i="1"/>
  <c r="T232" i="1"/>
  <c r="T263" i="1"/>
  <c r="T261" i="1"/>
  <c r="T259" i="1"/>
  <c r="T257" i="1"/>
  <c r="O108" i="1"/>
  <c r="T112" i="1"/>
  <c r="O148" i="1"/>
  <c r="O146" i="1"/>
  <c r="O139" i="1"/>
  <c r="O135" i="1"/>
  <c r="O133" i="1"/>
  <c r="T135" i="1"/>
  <c r="T133" i="1"/>
  <c r="T131" i="1"/>
  <c r="B155" i="1"/>
  <c r="T156" i="1"/>
  <c r="B180" i="1"/>
  <c r="J221" i="1"/>
  <c r="J219" i="1"/>
  <c r="J217" i="1"/>
  <c r="J215" i="1"/>
  <c r="J213" i="1"/>
  <c r="J211" i="1"/>
  <c r="T230" i="1"/>
  <c r="T249" i="1"/>
  <c r="O259" i="1"/>
  <c r="T274" i="1"/>
  <c r="J85" i="1"/>
  <c r="O96" i="1"/>
  <c r="O106" i="1"/>
  <c r="T123" i="1"/>
  <c r="T110" i="1"/>
  <c r="O144" i="1"/>
  <c r="J59" i="1"/>
  <c r="T71" i="1"/>
  <c r="T59" i="1"/>
  <c r="O117" i="1"/>
  <c r="T117" i="1"/>
  <c r="T115" i="1"/>
  <c r="T130" i="1"/>
  <c r="J146" i="1"/>
  <c r="J142" i="1"/>
  <c r="J163" i="1"/>
  <c r="J159" i="1"/>
  <c r="J157" i="1"/>
  <c r="O173" i="1"/>
  <c r="O171" i="1"/>
  <c r="O197" i="1"/>
  <c r="O193" i="1"/>
  <c r="O189" i="1"/>
  <c r="J222" i="1"/>
  <c r="J218" i="1"/>
  <c r="J214" i="1"/>
  <c r="J210" i="1"/>
  <c r="J206" i="1"/>
  <c r="T208" i="1"/>
  <c r="J234" i="1"/>
  <c r="O247" i="1"/>
  <c r="J259" i="1"/>
  <c r="J257" i="1"/>
  <c r="O272" i="1"/>
  <c r="J93" i="1"/>
  <c r="T99" i="1"/>
  <c r="T95" i="1"/>
  <c r="T91" i="1"/>
  <c r="T83" i="1"/>
  <c r="T105" i="1"/>
  <c r="J118" i="1"/>
  <c r="O121" i="1"/>
  <c r="O119" i="1"/>
  <c r="T120" i="1"/>
  <c r="T118" i="1"/>
  <c r="T109" i="1"/>
  <c r="T107" i="1"/>
  <c r="J149" i="1"/>
  <c r="J147" i="1"/>
  <c r="J145" i="1"/>
  <c r="J143" i="1"/>
  <c r="T168" i="1"/>
  <c r="J70" i="1"/>
  <c r="J68" i="1"/>
  <c r="J66" i="1"/>
  <c r="J64" i="1"/>
  <c r="J62" i="1"/>
  <c r="J60" i="1"/>
  <c r="T70" i="1"/>
  <c r="T66" i="1"/>
  <c r="T62" i="1"/>
  <c r="J80" i="1"/>
  <c r="T80" i="1"/>
  <c r="J92" i="1"/>
  <c r="J84" i="1"/>
  <c r="O99" i="1"/>
  <c r="J121" i="1"/>
  <c r="O124" i="1"/>
  <c r="O122" i="1"/>
  <c r="T106" i="1"/>
  <c r="O130" i="1"/>
  <c r="J134" i="1"/>
  <c r="O167" i="1"/>
  <c r="O185" i="1"/>
  <c r="O243" i="1"/>
  <c r="O268" i="1"/>
  <c r="J122" i="1"/>
  <c r="J120" i="1"/>
  <c r="J113" i="1"/>
  <c r="J106" i="1"/>
  <c r="O111" i="1"/>
  <c r="J148" i="1"/>
  <c r="J144" i="1"/>
  <c r="O141" i="1"/>
  <c r="T144" i="1"/>
  <c r="J168" i="1"/>
  <c r="J166" i="1"/>
  <c r="T172" i="1"/>
  <c r="T167" i="1"/>
  <c r="T165" i="1"/>
  <c r="T162" i="1"/>
  <c r="T160" i="1"/>
  <c r="T180" i="1"/>
  <c r="J195" i="1"/>
  <c r="J193" i="1"/>
  <c r="J184" i="1"/>
  <c r="T199" i="1"/>
  <c r="T189" i="1"/>
  <c r="T182" i="1"/>
  <c r="B205" i="1"/>
  <c r="J205" i="1"/>
  <c r="J223" i="1"/>
  <c r="O217" i="1"/>
  <c r="T212" i="1"/>
  <c r="J247" i="1"/>
  <c r="J243" i="1"/>
  <c r="J240" i="1"/>
  <c r="J238" i="1"/>
  <c r="J236" i="1"/>
  <c r="O242" i="1"/>
  <c r="T247" i="1"/>
  <c r="T244" i="1"/>
  <c r="T242" i="1"/>
  <c r="T240" i="1"/>
  <c r="J272" i="1"/>
  <c r="J268" i="1"/>
  <c r="J265" i="1"/>
  <c r="J263" i="1"/>
  <c r="J261" i="1"/>
  <c r="T272" i="1"/>
  <c r="T269" i="1"/>
  <c r="T267" i="1"/>
  <c r="T265" i="1"/>
  <c r="T136" i="1"/>
  <c r="T159" i="1"/>
  <c r="T157" i="1"/>
  <c r="T198" i="1"/>
  <c r="T183" i="1"/>
  <c r="J207" i="1"/>
  <c r="T211" i="1"/>
  <c r="O239" i="1"/>
  <c r="T245" i="1"/>
  <c r="T243" i="1"/>
  <c r="T241" i="1"/>
  <c r="O264" i="1"/>
  <c r="T270" i="1"/>
  <c r="T266" i="1"/>
  <c r="O147" i="1"/>
  <c r="O138" i="1"/>
  <c r="O136" i="1"/>
  <c r="O131" i="1"/>
  <c r="T141" i="1"/>
  <c r="T139" i="1"/>
  <c r="T134" i="1"/>
  <c r="J167" i="1"/>
  <c r="J165" i="1"/>
  <c r="O170" i="1"/>
  <c r="O168" i="1"/>
  <c r="O165" i="1"/>
  <c r="O163" i="1"/>
  <c r="T194" i="1"/>
  <c r="T192" i="1"/>
  <c r="T190" i="1"/>
  <c r="T188" i="1"/>
  <c r="T186" i="1"/>
  <c r="O188" i="1"/>
  <c r="O218" i="1"/>
  <c r="O214" i="1"/>
  <c r="T224" i="1"/>
  <c r="T220" i="1"/>
  <c r="T216" i="1"/>
  <c r="T207" i="1"/>
  <c r="J248" i="1"/>
  <c r="J246" i="1"/>
  <c r="J244" i="1"/>
  <c r="O231" i="1"/>
  <c r="T248" i="1"/>
  <c r="T237" i="1"/>
  <c r="T233" i="1"/>
  <c r="J273" i="1"/>
  <c r="J271" i="1"/>
  <c r="J269" i="1"/>
  <c r="O256" i="1"/>
  <c r="T273" i="1"/>
  <c r="T262" i="1"/>
  <c r="T258" i="1"/>
  <c r="T38" i="1"/>
  <c r="O73" i="1"/>
  <c r="O67" i="1"/>
  <c r="O63" i="1"/>
  <c r="O59" i="1"/>
  <c r="O57" i="1"/>
  <c r="T72" i="1"/>
  <c r="T56" i="1"/>
  <c r="O92" i="1"/>
  <c r="O123" i="1"/>
  <c r="O120" i="1"/>
  <c r="O115" i="1"/>
  <c r="O112" i="1"/>
  <c r="O107" i="1"/>
  <c r="J140" i="1"/>
  <c r="O145" i="1"/>
  <c r="O142" i="1"/>
  <c r="O137" i="1"/>
  <c r="O134" i="1"/>
  <c r="T148" i="1"/>
  <c r="T145" i="1"/>
  <c r="T140" i="1"/>
  <c r="T137" i="1"/>
  <c r="T132" i="1"/>
  <c r="O158" i="1"/>
  <c r="O156" i="1"/>
  <c r="T173" i="1"/>
  <c r="T170" i="1"/>
  <c r="T193" i="1"/>
  <c r="O196" i="1"/>
  <c r="O221" i="1"/>
  <c r="T222" i="1"/>
  <c r="T206" i="1"/>
  <c r="O234" i="1"/>
  <c r="O267" i="1"/>
  <c r="J71" i="1"/>
  <c r="J63" i="1"/>
  <c r="O80" i="1"/>
  <c r="J97" i="1"/>
  <c r="J95" i="1"/>
  <c r="O91" i="1"/>
  <c r="T85" i="1"/>
  <c r="J123" i="1"/>
  <c r="J115" i="1"/>
  <c r="J107" i="1"/>
  <c r="T124" i="1"/>
  <c r="T119" i="1"/>
  <c r="T116" i="1"/>
  <c r="T111" i="1"/>
  <c r="T108" i="1"/>
  <c r="J141" i="1"/>
  <c r="J139" i="1"/>
  <c r="J136" i="1"/>
  <c r="J155" i="1"/>
  <c r="J169" i="1"/>
  <c r="J161" i="1"/>
  <c r="O172" i="1"/>
  <c r="O169" i="1"/>
  <c r="O164" i="1"/>
  <c r="O161" i="1"/>
  <c r="J89" i="1"/>
  <c r="J87" i="1"/>
  <c r="J81" i="1"/>
  <c r="J124" i="1"/>
  <c r="J116" i="1"/>
  <c r="J108" i="1"/>
  <c r="J137" i="1"/>
  <c r="J135" i="1"/>
  <c r="J170" i="1"/>
  <c r="J162" i="1"/>
  <c r="O213" i="1"/>
  <c r="T214" i="1"/>
  <c r="J230" i="1"/>
  <c r="T235" i="1"/>
  <c r="T255" i="1"/>
  <c r="T268" i="1"/>
  <c r="T260" i="1"/>
  <c r="J198" i="1"/>
  <c r="J191" i="1"/>
  <c r="J189" i="1"/>
  <c r="J182" i="1"/>
  <c r="O199" i="1"/>
  <c r="O194" i="1"/>
  <c r="O191" i="1"/>
  <c r="O186" i="1"/>
  <c r="O183" i="1"/>
  <c r="J224" i="1"/>
  <c r="J216" i="1"/>
  <c r="J208" i="1"/>
  <c r="O224" i="1"/>
  <c r="O219" i="1"/>
  <c r="O216" i="1"/>
  <c r="O211" i="1"/>
  <c r="O208" i="1"/>
  <c r="J245" i="1"/>
  <c r="J237" i="1"/>
  <c r="J232" i="1"/>
  <c r="O248" i="1"/>
  <c r="O245" i="1"/>
  <c r="O240" i="1"/>
  <c r="O237" i="1"/>
  <c r="O232" i="1"/>
  <c r="J270" i="1"/>
  <c r="J262" i="1"/>
  <c r="O273" i="1"/>
  <c r="O270" i="1"/>
  <c r="O265" i="1"/>
  <c r="O262" i="1"/>
  <c r="O257" i="1"/>
  <c r="O157" i="1"/>
  <c r="T174" i="1"/>
  <c r="T169" i="1"/>
  <c r="T166" i="1"/>
  <c r="T161" i="1"/>
  <c r="T158" i="1"/>
  <c r="J199" i="1"/>
  <c r="J197" i="1"/>
  <c r="J190" i="1"/>
  <c r="J183" i="1"/>
  <c r="J181" i="1"/>
  <c r="O198" i="1"/>
  <c r="O195" i="1"/>
  <c r="O190" i="1"/>
  <c r="O187" i="1"/>
  <c r="O182" i="1"/>
  <c r="J220" i="1"/>
  <c r="J212" i="1"/>
  <c r="O223" i="1"/>
  <c r="O220" i="1"/>
  <c r="O215" i="1"/>
  <c r="O212" i="1"/>
  <c r="O207" i="1"/>
  <c r="J249" i="1"/>
  <c r="J241" i="1"/>
  <c r="J233" i="1"/>
  <c r="O249" i="1"/>
  <c r="O244" i="1"/>
  <c r="O241" i="1"/>
  <c r="O236" i="1"/>
  <c r="O233" i="1"/>
  <c r="J274" i="1"/>
  <c r="J266" i="1"/>
  <c r="J258" i="1"/>
  <c r="O274" i="1"/>
  <c r="O269" i="1"/>
  <c r="O266" i="1"/>
  <c r="O261" i="1"/>
  <c r="O258" i="1"/>
  <c r="O155" i="1"/>
  <c r="J105" i="1"/>
  <c r="J67" i="1"/>
  <c r="J65" i="1"/>
  <c r="O74" i="1"/>
  <c r="O70" i="1"/>
  <c r="T67" i="1"/>
  <c r="T65" i="1"/>
  <c r="T63" i="1"/>
  <c r="J96" i="1"/>
  <c r="J94" i="1"/>
  <c r="O88" i="1"/>
  <c r="O86" i="1"/>
  <c r="O84" i="1"/>
  <c r="O64" i="1"/>
  <c r="O62" i="1"/>
  <c r="O58" i="1"/>
  <c r="J88" i="1"/>
  <c r="J86" i="1"/>
  <c r="T96" i="1"/>
  <c r="T94" i="1"/>
  <c r="T92" i="1"/>
  <c r="O71" i="1"/>
  <c r="J46" i="1"/>
  <c r="J44" i="1"/>
  <c r="J38" i="1"/>
  <c r="J36" i="1"/>
  <c r="O47" i="1"/>
  <c r="O43" i="1"/>
  <c r="O39" i="1"/>
  <c r="O35" i="1"/>
  <c r="O34" i="1"/>
  <c r="T45" i="1"/>
  <c r="T39" i="1"/>
  <c r="T37" i="1"/>
  <c r="T35" i="1"/>
  <c r="J74" i="1"/>
  <c r="J72" i="1"/>
  <c r="J69" i="1"/>
  <c r="J58" i="1"/>
  <c r="J56" i="1"/>
  <c r="O68" i="1"/>
  <c r="O66" i="1"/>
  <c r="O61" i="1"/>
  <c r="T74" i="1"/>
  <c r="T69" i="1"/>
  <c r="T60" i="1"/>
  <c r="T58" i="1"/>
  <c r="J99" i="1"/>
  <c r="J91" i="1"/>
  <c r="J83" i="1"/>
  <c r="O97" i="1"/>
  <c r="O95" i="1"/>
  <c r="O90" i="1"/>
  <c r="O83" i="1"/>
  <c r="O81" i="1"/>
  <c r="T98" i="1"/>
  <c r="T89" i="1"/>
  <c r="T87" i="1"/>
  <c r="T82" i="1"/>
  <c r="J61" i="1"/>
  <c r="O69" i="1"/>
  <c r="O60" i="1"/>
  <c r="T68" i="1"/>
  <c r="T61" i="1"/>
  <c r="O98" i="1"/>
  <c r="O89" i="1"/>
  <c r="O82" i="1"/>
  <c r="T97" i="1"/>
  <c r="T90" i="1"/>
  <c r="T81" i="1"/>
  <c r="J73" i="1"/>
  <c r="J57" i="1"/>
  <c r="O72" i="1"/>
  <c r="O65" i="1"/>
  <c r="O56" i="1"/>
  <c r="T73" i="1"/>
  <c r="T64" i="1"/>
  <c r="T57" i="1"/>
  <c r="J98" i="1"/>
  <c r="J90" i="1"/>
  <c r="J82" i="1"/>
  <c r="O94" i="1"/>
  <c r="O87" i="1"/>
  <c r="O85" i="1"/>
  <c r="T93" i="1"/>
  <c r="T86" i="1"/>
  <c r="J34" i="1"/>
  <c r="J43" i="1"/>
  <c r="J35" i="1"/>
  <c r="O46" i="1"/>
  <c r="T48" i="1"/>
  <c r="J42" i="1"/>
  <c r="O42" i="1"/>
  <c r="O38" i="1"/>
  <c r="T47" i="1"/>
  <c r="T31" i="1"/>
  <c r="O31" i="1"/>
  <c r="T46" i="1"/>
  <c r="T42" i="1"/>
  <c r="T40" i="1"/>
  <c r="T43" i="1"/>
  <c r="T34" i="1"/>
  <c r="T32" i="1"/>
  <c r="B280" i="1"/>
  <c r="J47" i="1"/>
  <c r="J45" i="1"/>
  <c r="J31" i="1"/>
  <c r="G281" i="1" s="1"/>
  <c r="J30" i="1"/>
  <c r="G280" i="1" s="1"/>
  <c r="J39" i="1"/>
  <c r="J37" i="1"/>
  <c r="O45" i="1"/>
  <c r="O40" i="1"/>
  <c r="O37" i="1"/>
  <c r="O32" i="1"/>
  <c r="O48" i="1"/>
  <c r="J48" i="1"/>
  <c r="J40" i="1"/>
  <c r="J32" i="1"/>
  <c r="T49" i="1"/>
  <c r="T44" i="1"/>
  <c r="T41" i="1"/>
  <c r="T36" i="1"/>
  <c r="T33" i="1"/>
  <c r="J49" i="1"/>
  <c r="J41" i="1"/>
  <c r="J33" i="1"/>
  <c r="O49" i="1"/>
  <c r="O44" i="1"/>
  <c r="O41" i="1"/>
  <c r="O36" i="1"/>
  <c r="O33" i="1"/>
  <c r="QW4" i="6"/>
  <c r="QX4" i="6"/>
  <c r="QY4" i="6"/>
  <c r="QZ4" i="6"/>
  <c r="RA4" i="6"/>
  <c r="RB4" i="6"/>
  <c r="RC4" i="6"/>
  <c r="RD4" i="6"/>
  <c r="RE4" i="6"/>
  <c r="RF4" i="6"/>
  <c r="RG4" i="6"/>
  <c r="RH4" i="6"/>
  <c r="RI4" i="6"/>
  <c r="RJ4" i="6"/>
  <c r="RK4" i="6"/>
  <c r="RL4" i="6"/>
  <c r="RM4" i="6"/>
  <c r="RN4" i="6"/>
  <c r="RO4" i="6"/>
  <c r="RP4" i="6"/>
  <c r="RQ4" i="6"/>
  <c r="RR4" i="6"/>
  <c r="RS4" i="6"/>
  <c r="RT4" i="6"/>
  <c r="RU4" i="6"/>
  <c r="RV4" i="6"/>
  <c r="RW4" i="6"/>
  <c r="RX4" i="6"/>
  <c r="RY4" i="6"/>
  <c r="RZ4" i="6"/>
  <c r="SA4" i="6"/>
  <c r="SB4" i="6"/>
  <c r="SC4" i="6"/>
  <c r="SD4" i="6"/>
  <c r="SE4" i="6"/>
  <c r="SF4" i="6"/>
  <c r="SG4" i="6"/>
  <c r="SH4" i="6"/>
  <c r="SI4" i="6"/>
  <c r="SJ4" i="6"/>
  <c r="SK4" i="6"/>
  <c r="SL4" i="6"/>
  <c r="SM4" i="6"/>
  <c r="SN4" i="6"/>
  <c r="SO4" i="6"/>
  <c r="SP4" i="6"/>
  <c r="SQ4" i="6"/>
  <c r="SR4" i="6"/>
  <c r="SS4" i="6"/>
  <c r="ST4" i="6"/>
  <c r="SU4" i="6"/>
  <c r="SV4" i="6"/>
  <c r="SW4" i="6"/>
  <c r="SX4" i="6"/>
  <c r="SY4" i="6"/>
  <c r="SZ4" i="6"/>
  <c r="TA4" i="6"/>
  <c r="TB4" i="6"/>
  <c r="TC4" i="6"/>
  <c r="TD4" i="6"/>
  <c r="ABV5" i="6"/>
  <c r="AIJ5" i="6"/>
  <c r="AGX5" i="6"/>
  <c r="AJS5" i="6"/>
  <c r="ACS5" i="6"/>
  <c r="ADE5" i="6"/>
  <c r="WT5" i="6"/>
  <c r="APY5" i="6"/>
  <c r="AKG5" i="6"/>
  <c r="UZ5" i="6"/>
  <c r="APD5" i="6"/>
  <c r="WA5" i="6"/>
  <c r="ASL5" i="6"/>
  <c r="ABC5" i="6"/>
  <c r="UW5" i="6"/>
  <c r="ARE5" i="6"/>
  <c r="AGJ5" i="6"/>
  <c r="VH5" i="6"/>
  <c r="AMS5" i="6"/>
  <c r="UD5" i="6"/>
  <c r="AMV5" i="6"/>
  <c r="VU5" i="6"/>
  <c r="ZG5" i="6"/>
  <c r="AQR5" i="6"/>
  <c r="ASQ5" i="6"/>
  <c r="AHC5" i="6"/>
  <c r="AEL5" i="6"/>
  <c r="AFB5" i="6"/>
  <c r="AHK5" i="6"/>
  <c r="AIQ5" i="6"/>
  <c r="AQP5" i="6"/>
  <c r="AFU5" i="6"/>
  <c r="ACQ5" i="6"/>
  <c r="WM5" i="6"/>
  <c r="APC5" i="6"/>
  <c r="ATB5" i="6"/>
  <c r="ASM5" i="6"/>
  <c r="AKM5" i="6"/>
  <c r="AIG5" i="6"/>
  <c r="AGZ5" i="6"/>
  <c r="ARL5" i="6"/>
  <c r="AML5" i="6"/>
  <c r="ADI5" i="6"/>
  <c r="AMF5" i="6"/>
  <c r="AOK5" i="6"/>
  <c r="AGY5" i="6"/>
  <c r="AJN5" i="6"/>
  <c r="TS5" i="6"/>
  <c r="AEI5" i="6"/>
  <c r="VN5" i="6"/>
  <c r="ASU5" i="6"/>
  <c r="ADH5" i="6"/>
  <c r="AKK5" i="6"/>
  <c r="ALY5" i="6"/>
  <c r="AEX5" i="6"/>
  <c r="AHF5" i="6"/>
  <c r="AGW5" i="6"/>
  <c r="AFG5" i="6"/>
  <c r="AMI5" i="6"/>
  <c r="VO5" i="6"/>
  <c r="ABZ5" i="6"/>
  <c r="AGP5" i="6"/>
  <c r="ZF5" i="6"/>
  <c r="ANO5" i="6"/>
  <c r="AKF5" i="6"/>
  <c r="APU5" i="6"/>
  <c r="AAC5" i="6"/>
  <c r="AAD5" i="6"/>
  <c r="ARR5" i="6"/>
  <c r="ZD5" i="6"/>
  <c r="XX5" i="6"/>
  <c r="ABJ5" i="6"/>
  <c r="ASS5" i="6"/>
  <c r="ALR5" i="6"/>
  <c r="AJQ5" i="6"/>
  <c r="TO5" i="6"/>
  <c r="AGK5" i="6"/>
  <c r="WV5" i="6"/>
  <c r="AQM5" i="6"/>
  <c r="AAO5" i="6"/>
  <c r="TH5" i="6"/>
  <c r="XW5" i="6"/>
  <c r="ATF5" i="6"/>
  <c r="YX5" i="6"/>
  <c r="AST5" i="6"/>
  <c r="AMT5" i="6"/>
  <c r="UQ5" i="6"/>
  <c r="APJ5" i="6"/>
  <c r="AOS5" i="6"/>
  <c r="XC5" i="6"/>
  <c r="AFN5" i="6"/>
  <c r="AJD5" i="6"/>
  <c r="ZE5" i="6"/>
  <c r="AMQ5" i="6"/>
  <c r="AOQ5" i="6"/>
  <c r="UK5" i="6"/>
  <c r="ADU5" i="6"/>
  <c r="AKO5" i="6"/>
  <c r="ASC5" i="6"/>
  <c r="AIE5" i="6"/>
  <c r="ANT5" i="6"/>
  <c r="ANK5" i="6"/>
  <c r="AMA5" i="6"/>
  <c r="AFY5" i="6"/>
  <c r="AFD5" i="6"/>
  <c r="WI5" i="6"/>
  <c r="AHB5" i="6"/>
  <c r="YL5" i="6"/>
  <c r="VF5" i="6"/>
  <c r="ACE5" i="6"/>
  <c r="AOE5" i="6"/>
  <c r="VG5" i="6"/>
  <c r="AIX5" i="6"/>
  <c r="ACV5" i="6"/>
  <c r="UE5" i="6"/>
  <c r="WY5" i="6"/>
  <c r="ZN5" i="6"/>
  <c r="UH5" i="6"/>
  <c r="ABG5" i="6"/>
  <c r="AMD5" i="6"/>
  <c r="AOL5" i="6"/>
  <c r="VL5" i="6"/>
  <c r="ANL5" i="6"/>
  <c r="WK5" i="6"/>
  <c r="TR5" i="6"/>
  <c r="AFZ5" i="6"/>
  <c r="TP5" i="6"/>
  <c r="UU5" i="6"/>
  <c r="UY5" i="6"/>
  <c r="ADO5" i="6"/>
  <c r="TY5" i="6"/>
  <c r="AEV5" i="6"/>
  <c r="AGF5" i="6"/>
  <c r="WW5" i="6"/>
  <c r="WE5" i="6"/>
  <c r="AHO5" i="6"/>
  <c r="AII5" i="6"/>
  <c r="ARM5" i="6"/>
  <c r="YC5" i="6"/>
  <c r="YD5" i="6"/>
  <c r="AOG5" i="6"/>
  <c r="ANX5" i="6"/>
  <c r="AQJ5" i="6"/>
  <c r="XZ5" i="6"/>
  <c r="TM5" i="6"/>
  <c r="ATD5" i="6"/>
  <c r="AFM5" i="6"/>
  <c r="AGH5" i="6"/>
  <c r="ALV5" i="6"/>
  <c r="ALX5" i="6"/>
  <c r="AFP5" i="6"/>
  <c r="AMM5" i="6"/>
  <c r="AGI5" i="6"/>
  <c r="WG5" i="6"/>
  <c r="APF5" i="6"/>
  <c r="AJY5" i="6"/>
  <c r="AKD5" i="6"/>
  <c r="ARJ5" i="6"/>
  <c r="YH5" i="6"/>
  <c r="AKQ5" i="6"/>
  <c r="APR5" i="6"/>
  <c r="ACC5" i="6"/>
  <c r="ACU5" i="6"/>
  <c r="AOF5" i="6"/>
  <c r="AHR5" i="6"/>
  <c r="XV5" i="6"/>
  <c r="AKU5" i="6"/>
  <c r="ADR5" i="6"/>
  <c r="VP5" i="6"/>
  <c r="AQU5" i="6"/>
  <c r="TF5" i="6"/>
  <c r="AJV5" i="6"/>
  <c r="YM5" i="6"/>
  <c r="ALG5" i="6"/>
  <c r="TW5" i="6"/>
  <c r="AOC5" i="6"/>
  <c r="YV5" i="6"/>
  <c r="TX5" i="6"/>
  <c r="ABH5" i="6"/>
  <c r="ARX5" i="6"/>
  <c r="AMB5" i="6"/>
  <c r="AJP5" i="6"/>
  <c r="AAF5" i="6"/>
  <c r="ADL5" i="6"/>
  <c r="XO5" i="6"/>
  <c r="AKP5" i="6"/>
  <c r="AOV5" i="6"/>
  <c r="AEJ5" i="6"/>
  <c r="APT5" i="6"/>
  <c r="ABW5" i="6"/>
  <c r="XY5" i="6"/>
  <c r="APG5" i="6"/>
  <c r="AEW5" i="6"/>
  <c r="AQV5" i="6"/>
  <c r="AFK5" i="6"/>
  <c r="AKH5" i="6"/>
  <c r="ARZ5" i="6"/>
  <c r="AIA5" i="6"/>
  <c r="TV5" i="6"/>
  <c r="VC5" i="6"/>
  <c r="VM5" i="6"/>
  <c r="AMU5" i="6"/>
  <c r="ZC5" i="6"/>
  <c r="ANZ5" i="6"/>
  <c r="XP5" i="6"/>
  <c r="ASZ5" i="6"/>
  <c r="AHJ5" i="6"/>
  <c r="VJ5" i="6"/>
  <c r="VY5" i="6"/>
  <c r="ASJ5" i="6"/>
  <c r="AQH5" i="6"/>
  <c r="AEO5" i="6"/>
  <c r="UI5" i="6"/>
  <c r="ACA5" i="6"/>
  <c r="API5" i="6"/>
  <c r="ASN5" i="6"/>
  <c r="AEP5" i="6"/>
  <c r="AAL5" i="6"/>
  <c r="AHT5" i="6"/>
  <c r="AHD5" i="6"/>
  <c r="ZT5" i="6"/>
  <c r="AAJ5" i="6"/>
  <c r="AFJ5" i="6"/>
  <c r="AJJ5" i="6"/>
  <c r="AGR5" i="6"/>
  <c r="AFW5" i="6"/>
  <c r="AHN5" i="6"/>
  <c r="AKZ5" i="6"/>
  <c r="AEG5" i="6"/>
  <c r="AKA5" i="6"/>
  <c r="AOP5" i="6"/>
  <c r="XJ5" i="6"/>
  <c r="APH5" i="6"/>
  <c r="AKY5" i="6"/>
  <c r="AAV5" i="6"/>
  <c r="AQQ5" i="6"/>
  <c r="AGC5" i="6"/>
  <c r="ADS5" i="6"/>
  <c r="ABN5" i="6"/>
  <c r="AQL5" i="6"/>
  <c r="ALI5" i="6"/>
  <c r="VS5" i="6"/>
  <c r="ZB5" i="6"/>
  <c r="AHY5" i="6"/>
  <c r="ALB5" i="6"/>
  <c r="ACP5" i="6"/>
  <c r="ANE5" i="6"/>
  <c r="AHG5" i="6"/>
  <c r="ANN5" i="6"/>
  <c r="YN5" i="6"/>
  <c r="WS5" i="6"/>
  <c r="AAK5" i="6"/>
  <c r="AEZ5" i="6"/>
  <c r="AME5" i="6"/>
  <c r="AES5" i="6"/>
  <c r="AKW5" i="6"/>
  <c r="AIR5" i="6"/>
  <c r="ALQ5" i="6"/>
  <c r="AMO5" i="6"/>
  <c r="XH5" i="6"/>
  <c r="ZW5" i="6"/>
  <c r="AFT5" i="6"/>
  <c r="AEY5" i="6"/>
  <c r="TU5" i="6"/>
  <c r="AFF5" i="6"/>
  <c r="UO5" i="6"/>
  <c r="APE5" i="6"/>
  <c r="ALZ5" i="6"/>
  <c r="AJH5" i="6"/>
  <c r="AJE5" i="6"/>
  <c r="AJO5" i="6"/>
  <c r="AJI5" i="6"/>
  <c r="ABY5" i="6"/>
  <c r="UX5" i="6"/>
  <c r="AFV5" i="6"/>
  <c r="ZS5" i="6"/>
  <c r="APV5" i="6"/>
  <c r="AOW5" i="6"/>
  <c r="ALM5" i="6"/>
  <c r="AOI5" i="6"/>
  <c r="APN5" i="6"/>
  <c r="AKN5" i="6"/>
  <c r="AMY5" i="6"/>
  <c r="XA5" i="6"/>
  <c r="AFA5" i="6"/>
  <c r="ACK5" i="6"/>
  <c r="APA5" i="6"/>
  <c r="ADQ5" i="6"/>
  <c r="AMH5" i="6"/>
  <c r="ALP5" i="6"/>
  <c r="AKR5" i="6"/>
  <c r="AAA5" i="6"/>
  <c r="ANI5" i="6"/>
  <c r="ASH5" i="6"/>
  <c r="ABL5" i="6"/>
  <c r="AIO5" i="6"/>
  <c r="AGV5" i="6"/>
  <c r="AAM5" i="6"/>
  <c r="ZI5" i="6"/>
  <c r="AAU5" i="6"/>
  <c r="AAH5" i="6"/>
  <c r="AKX5" i="6"/>
  <c r="ACR5" i="6"/>
  <c r="AGT5" i="6"/>
  <c r="ABB5" i="6"/>
  <c r="AOT5" i="6"/>
  <c r="AJT5" i="6"/>
  <c r="ARN5" i="6"/>
  <c r="ANP5" i="6"/>
  <c r="AJK5" i="6"/>
  <c r="ANH5" i="6"/>
  <c r="AMK5" i="6"/>
  <c r="AGL5" i="6"/>
  <c r="AIP5" i="6"/>
  <c r="ART5" i="6"/>
  <c r="ALN5" i="6"/>
  <c r="XB5" i="6"/>
  <c r="WX5" i="6"/>
  <c r="AIF5" i="6"/>
  <c r="UG5" i="6"/>
  <c r="AHH5" i="6"/>
  <c r="ACI5" i="6"/>
  <c r="AKB5" i="6"/>
  <c r="ACT5" i="6"/>
  <c r="AKE5" i="6"/>
  <c r="ANF5" i="6"/>
  <c r="AGO5" i="6"/>
  <c r="VQ5" i="6"/>
  <c r="ANW5" i="6"/>
  <c r="AOH5" i="6"/>
  <c r="ZU5" i="6"/>
  <c r="ALF5" i="6"/>
  <c r="ZP5" i="6"/>
  <c r="VK5" i="6"/>
  <c r="TE5" i="6"/>
  <c r="AEM5" i="6"/>
  <c r="AQK5" i="6"/>
  <c r="AOJ5" i="6"/>
  <c r="AFX5" i="6"/>
  <c r="AIM5" i="6"/>
  <c r="AFQ5" i="6"/>
  <c r="AGB5" i="6"/>
  <c r="ABM5" i="6"/>
  <c r="ALT5" i="6"/>
  <c r="XG5" i="6"/>
  <c r="AGE5" i="6"/>
  <c r="ADG5" i="6"/>
  <c r="YS5" i="6"/>
  <c r="AGM5" i="6"/>
  <c r="YW5" i="6"/>
  <c r="AMG5" i="6"/>
  <c r="WL5" i="6"/>
  <c r="ANJ5" i="6"/>
  <c r="AAQ5" i="6"/>
  <c r="AFH5" i="6"/>
  <c r="AJX5" i="6"/>
  <c r="VR5" i="6"/>
  <c r="APZ5" i="6"/>
  <c r="AID5" i="6"/>
  <c r="UC5" i="6"/>
  <c r="ARK5" i="6"/>
  <c r="TI5" i="6"/>
  <c r="ARA5" i="6"/>
  <c r="AAB5" i="6"/>
  <c r="UT5" i="6"/>
  <c r="AOY5" i="6"/>
  <c r="VI5" i="6"/>
  <c r="ABR5" i="6"/>
  <c r="VZ5" i="6"/>
  <c r="AOO5" i="6"/>
  <c r="AKJ5" i="6"/>
  <c r="UV5" i="6"/>
  <c r="ATC5" i="6"/>
  <c r="ZQ5" i="6"/>
  <c r="ADB5" i="6"/>
  <c r="AOU5" i="6"/>
  <c r="AKS5" i="6"/>
  <c r="APO5" i="6"/>
  <c r="ZJ5" i="6"/>
  <c r="ATH5" i="6"/>
  <c r="AAT5" i="6"/>
  <c r="YY5" i="6"/>
  <c r="ALS5" i="6"/>
  <c r="ACW5" i="6"/>
  <c r="ATG5" i="6"/>
  <c r="AMX5" i="6"/>
  <c r="AIN5" i="6"/>
  <c r="WB5" i="6"/>
  <c r="ABQ5" i="6"/>
  <c r="AMP5" i="6"/>
  <c r="ABF5" i="6"/>
  <c r="AHZ5" i="6"/>
  <c r="ARG5" i="6"/>
  <c r="ADT5" i="6"/>
  <c r="AIV5" i="6"/>
  <c r="AHS5" i="6"/>
  <c r="APX5" i="6"/>
  <c r="WH5" i="6"/>
  <c r="ARI5" i="6"/>
  <c r="AEN5" i="6"/>
  <c r="AGQ5" i="6"/>
  <c r="ABS5" i="6"/>
  <c r="AEQ5" i="6"/>
  <c r="ANU5" i="6"/>
  <c r="ZR5" i="6"/>
  <c r="AJZ5" i="6"/>
  <c r="AJF5" i="6"/>
  <c r="AEB5" i="6"/>
  <c r="ALJ5" i="6"/>
  <c r="ARU5" i="6"/>
  <c r="AED5" i="6"/>
  <c r="YG5" i="6"/>
  <c r="ANC5" i="6"/>
  <c r="XU5" i="6"/>
  <c r="AQD5" i="6"/>
  <c r="US5" i="6"/>
  <c r="AEU5" i="6"/>
  <c r="AQA5" i="6"/>
  <c r="ALA5" i="6"/>
  <c r="ADN5" i="6"/>
  <c r="ANQ5" i="6"/>
  <c r="UN5" i="6"/>
  <c r="XQ5" i="6"/>
  <c r="ANA5" i="6"/>
  <c r="AQF5" i="6"/>
  <c r="ASA5" i="6"/>
  <c r="YU5" i="6"/>
  <c r="ACH5" i="6"/>
  <c r="ARQ5" i="6"/>
  <c r="ALC5" i="6"/>
  <c r="AMJ5" i="6"/>
  <c r="ADA5" i="6"/>
  <c r="VD5" i="6"/>
  <c r="ASI5" i="6"/>
  <c r="ADW5" i="6"/>
  <c r="ALW5" i="6"/>
  <c r="ASR5" i="6"/>
  <c r="ALU5" i="6"/>
  <c r="ABO5" i="6"/>
  <c r="ZL5" i="6"/>
  <c r="AEC5" i="6"/>
  <c r="WR5" i="6"/>
  <c r="AFI5" i="6"/>
  <c r="ZO5" i="6"/>
  <c r="AGS5" i="6"/>
  <c r="AEH5" i="6"/>
  <c r="AFS5" i="6"/>
  <c r="AHX5" i="6"/>
  <c r="AQY5" i="6"/>
  <c r="AOR5" i="6"/>
  <c r="AJL5" i="6"/>
  <c r="ABT5" i="6"/>
  <c r="XF5" i="6"/>
  <c r="ADK5" i="6"/>
  <c r="YQ5" i="6"/>
  <c r="AJA5" i="6"/>
  <c r="ABE5" i="6"/>
  <c r="ADP5" i="6"/>
  <c r="AHV5" i="6"/>
  <c r="ANR5" i="6"/>
  <c r="ASW5" i="6"/>
  <c r="ASD5" i="6"/>
  <c r="AJW5" i="6"/>
  <c r="AGG5" i="6"/>
  <c r="AAI5" i="6"/>
  <c r="AJB5" i="6"/>
  <c r="AQC5" i="6"/>
  <c r="ASV5" i="6"/>
  <c r="AAZ5" i="6"/>
  <c r="AKL5" i="6"/>
  <c r="AQW5" i="6"/>
  <c r="AJU5" i="6"/>
  <c r="AMW5" i="6"/>
  <c r="ARS5" i="6"/>
  <c r="TT5" i="6"/>
  <c r="ADM5" i="6"/>
  <c r="YR5" i="6"/>
  <c r="YZ5" i="6"/>
  <c r="APQ5" i="6"/>
  <c r="AAN5" i="6"/>
  <c r="ASY5" i="6"/>
  <c r="WU5" i="6"/>
  <c r="UR5" i="6"/>
  <c r="AQO5" i="6"/>
  <c r="ARH5" i="6"/>
  <c r="UL5" i="6"/>
  <c r="AIW5" i="6"/>
  <c r="AKT5" i="6"/>
  <c r="AFC5" i="6"/>
  <c r="VE5" i="6"/>
  <c r="AND5" i="6"/>
  <c r="ATE5" i="6"/>
  <c r="APK5" i="6"/>
  <c r="AQG5" i="6"/>
  <c r="ANY5" i="6"/>
  <c r="ABX5" i="6"/>
  <c r="ASB5" i="6"/>
  <c r="ADD5" i="6"/>
  <c r="UM5" i="6"/>
  <c r="AHL5" i="6"/>
  <c r="WO5" i="6"/>
  <c r="WZ5" i="6"/>
  <c r="AHW5" i="6"/>
  <c r="XE5" i="6"/>
  <c r="ZY5" i="6"/>
  <c r="AFL5" i="6"/>
  <c r="AGU5" i="6"/>
  <c r="ARD5" i="6"/>
  <c r="ACD5" i="6"/>
  <c r="AOD5" i="6"/>
  <c r="UB5" i="6"/>
  <c r="ZV5" i="6"/>
  <c r="AEE5" i="6"/>
  <c r="YE5" i="6"/>
  <c r="ZA5" i="6"/>
  <c r="ACB5" i="6"/>
  <c r="VA5" i="6"/>
  <c r="WJ5" i="6"/>
  <c r="YB5" i="6"/>
  <c r="AOZ5" i="6"/>
  <c r="AFO5" i="6"/>
  <c r="ASF5" i="6"/>
  <c r="ARV5" i="6"/>
  <c r="AEF5" i="6"/>
  <c r="YF5" i="6"/>
  <c r="AIS5" i="6"/>
  <c r="ADY5" i="6"/>
  <c r="AMR5" i="6"/>
  <c r="AKC5" i="6"/>
  <c r="WN5" i="6"/>
  <c r="AIU5" i="6"/>
  <c r="AOM5" i="6"/>
  <c r="TZ5" i="6"/>
  <c r="ARO5" i="6"/>
  <c r="AHQ5" i="6"/>
  <c r="AIL5" i="6"/>
  <c r="XD5" i="6"/>
  <c r="XS5" i="6"/>
  <c r="ASP5" i="6"/>
  <c r="ASE5" i="6"/>
  <c r="ABI5" i="6"/>
  <c r="AQT5" i="6"/>
  <c r="ALE5" i="6"/>
  <c r="ADF5" i="6"/>
  <c r="AON5" i="6"/>
  <c r="XI5" i="6"/>
  <c r="AJR5" i="6"/>
  <c r="ALK5" i="6"/>
  <c r="ANG5" i="6"/>
  <c r="XM5" i="6"/>
  <c r="TJ5" i="6"/>
  <c r="AQX5" i="6"/>
  <c r="ANV5" i="6"/>
  <c r="AIH5" i="6"/>
  <c r="AHE5" i="6"/>
  <c r="AIK5" i="6"/>
  <c r="UF5" i="6"/>
  <c r="AQE5" i="6"/>
  <c r="ADJ5" i="6"/>
  <c r="ADC5" i="6"/>
  <c r="UA5" i="6"/>
  <c r="ACN5" i="6"/>
  <c r="WF5" i="6"/>
  <c r="AIC5" i="6"/>
  <c r="VV5" i="6"/>
  <c r="AGA5" i="6"/>
  <c r="ZM5" i="6"/>
  <c r="XT5" i="6"/>
  <c r="ADZ5" i="6"/>
  <c r="UP5" i="6"/>
  <c r="ASO5" i="6"/>
  <c r="ARB5" i="6"/>
  <c r="TN5" i="6"/>
  <c r="AHU5" i="6"/>
  <c r="APM5" i="6"/>
  <c r="TL5" i="6"/>
  <c r="AOB5" i="6"/>
  <c r="WP5" i="6"/>
  <c r="YA5" i="6"/>
  <c r="ZZ5" i="6"/>
  <c r="AJM5" i="6"/>
  <c r="AQB5" i="6"/>
  <c r="XN5" i="6"/>
  <c r="VB5" i="6"/>
  <c r="YJ5" i="6"/>
  <c r="AHM5" i="6"/>
  <c r="AQI5" i="6"/>
  <c r="AIT5" i="6"/>
  <c r="ARY5" i="6"/>
  <c r="WC5" i="6"/>
  <c r="AKV5" i="6"/>
  <c r="APW5" i="6"/>
  <c r="AOA5" i="6"/>
  <c r="AET5" i="6"/>
  <c r="VW5" i="6"/>
  <c r="ABP5" i="6"/>
  <c r="TG5" i="6"/>
  <c r="ANS5" i="6"/>
  <c r="ACG5" i="6"/>
  <c r="AAG5" i="6"/>
  <c r="VT5" i="6"/>
  <c r="ABK5" i="6"/>
  <c r="ARF5" i="6"/>
  <c r="APS5" i="6"/>
  <c r="AKI5" i="6"/>
  <c r="AOX5" i="6"/>
  <c r="TQ5" i="6"/>
  <c r="TK5" i="6"/>
  <c r="AFR5" i="6"/>
  <c r="ADV5" i="6"/>
  <c r="AAY5" i="6"/>
  <c r="AHI5" i="6"/>
  <c r="XL5" i="6"/>
  <c r="XK5" i="6"/>
  <c r="VX5" i="6"/>
  <c r="AMC5" i="6"/>
  <c r="ASX5" i="6"/>
  <c r="ARC5" i="6"/>
  <c r="AMN5" i="6"/>
  <c r="YI5" i="6"/>
  <c r="APB5" i="6"/>
  <c r="ZK5" i="6"/>
  <c r="AJC5" i="6"/>
  <c r="ACY5" i="6"/>
  <c r="ACJ5" i="6"/>
  <c r="AEA5" i="6"/>
  <c r="ANM5" i="6"/>
  <c r="AGD5" i="6"/>
  <c r="ABU5" i="6"/>
  <c r="AQZ5" i="6"/>
  <c r="AGN5" i="6"/>
  <c r="AQS5" i="6"/>
  <c r="AEK5" i="6"/>
  <c r="AAE5" i="6"/>
  <c r="AAP5" i="6"/>
  <c r="ANB5" i="6"/>
  <c r="AER5" i="6"/>
  <c r="ZH5" i="6"/>
  <c r="AJG5" i="6"/>
  <c r="ALL5" i="6"/>
  <c r="XR5" i="6"/>
  <c r="AIB5" i="6"/>
  <c r="WD5" i="6"/>
  <c r="ATA5" i="6"/>
  <c r="UJ5" i="6"/>
  <c r="ABD5" i="6"/>
  <c r="ACF5" i="6"/>
  <c r="ASG5" i="6"/>
  <c r="ABA5" i="6"/>
  <c r="ACL5" i="6"/>
  <c r="WQ5" i="6"/>
  <c r="ASK5" i="6"/>
  <c r="AHP5" i="6"/>
  <c r="AQN5" i="6"/>
  <c r="ACM5" i="6"/>
  <c r="AMZ5" i="6"/>
  <c r="APP5" i="6"/>
  <c r="ARP5" i="6"/>
  <c r="ALO5" i="6"/>
  <c r="ACX5" i="6"/>
  <c r="ARW5" i="6"/>
  <c r="ACZ5" i="6"/>
  <c r="APL5" i="6"/>
  <c r="YK5" i="6"/>
  <c r="ALD5" i="6"/>
  <c r="AFE5" i="6"/>
  <c r="ALH5" i="6"/>
  <c r="ADX5" i="6"/>
  <c r="ACO5" i="6"/>
  <c r="ZX5" i="6"/>
  <c r="YP5" i="6"/>
  <c r="AAS5" i="6"/>
  <c r="YT5" i="6"/>
  <c r="AIZ5" i="6"/>
  <c r="AAX5" i="6"/>
  <c r="AHA5" i="6"/>
  <c r="B256" i="1" l="1"/>
  <c r="C481" i="1"/>
  <c r="D481" i="1" s="1"/>
  <c r="B206" i="1"/>
  <c r="C431" i="1"/>
  <c r="D431" i="1" s="1"/>
  <c r="B456" i="1"/>
  <c r="D456" i="1" s="1"/>
  <c r="B156" i="1"/>
  <c r="C381" i="1"/>
  <c r="B406" i="1"/>
  <c r="D406" i="1" s="1"/>
  <c r="B31" i="1"/>
  <c r="B281" i="1"/>
  <c r="G356" i="1"/>
  <c r="H331" i="1"/>
  <c r="G331" i="1"/>
  <c r="H306" i="1"/>
  <c r="B131" i="1"/>
  <c r="B381" i="1"/>
  <c r="C356" i="1"/>
  <c r="B106" i="1"/>
  <c r="C331" i="1"/>
  <c r="B356" i="1"/>
  <c r="G381" i="1"/>
  <c r="I381" i="1" s="1"/>
  <c r="H356" i="1"/>
  <c r="H281" i="1"/>
  <c r="I281" i="1" s="1"/>
  <c r="G306" i="1"/>
  <c r="B81" i="1"/>
  <c r="B331" i="1"/>
  <c r="C306" i="1"/>
  <c r="B56" i="1"/>
  <c r="B306" i="1"/>
  <c r="C281" i="1"/>
  <c r="B105" i="1"/>
  <c r="C330" i="1"/>
  <c r="B355" i="1"/>
  <c r="D355" i="1" s="1"/>
  <c r="G330" i="1"/>
  <c r="H305" i="1"/>
  <c r="H355" i="1"/>
  <c r="G380" i="1"/>
  <c r="I380" i="1" s="1"/>
  <c r="B55" i="1"/>
  <c r="C280" i="1"/>
  <c r="D280" i="1" s="1"/>
  <c r="B305" i="1"/>
  <c r="H330" i="1"/>
  <c r="G355" i="1"/>
  <c r="B80" i="1"/>
  <c r="C305" i="1"/>
  <c r="B330" i="1"/>
  <c r="D330" i="1" s="1"/>
  <c r="B369" i="1"/>
  <c r="C344" i="1"/>
  <c r="D344" i="1" s="1"/>
  <c r="B394" i="1"/>
  <c r="D394" i="1" s="1"/>
  <c r="C369" i="1"/>
  <c r="C318" i="1"/>
  <c r="D318" i="1" s="1"/>
  <c r="B343" i="1"/>
  <c r="D343" i="1" s="1"/>
  <c r="O55" i="1"/>
  <c r="B30" i="1"/>
  <c r="C4" i="6"/>
  <c r="D4" i="6"/>
  <c r="RY5" i="6"/>
  <c r="SL5" i="6"/>
  <c r="SA5" i="6"/>
  <c r="SR5" i="6"/>
  <c r="RI5" i="6"/>
  <c r="RS5" i="6"/>
  <c r="TA5" i="6"/>
  <c r="RT5" i="6"/>
  <c r="QY5" i="6"/>
  <c r="SF5" i="6"/>
  <c r="RH5" i="6"/>
  <c r="RX5" i="6"/>
  <c r="RA5" i="6"/>
  <c r="RO5" i="6"/>
  <c r="AAR5" i="6"/>
  <c r="RJ5" i="6"/>
  <c r="QW5" i="6"/>
  <c r="SS5" i="6"/>
  <c r="TC5" i="6"/>
  <c r="SN5" i="6"/>
  <c r="RL5" i="6"/>
  <c r="RB5" i="6"/>
  <c r="ST5" i="6"/>
  <c r="RN5" i="6"/>
  <c r="RD5" i="6"/>
  <c r="RP5" i="6"/>
  <c r="SB5" i="6"/>
  <c r="SH5" i="6"/>
  <c r="SC5" i="6"/>
  <c r="SV5" i="6"/>
  <c r="RQ5" i="6"/>
  <c r="RC5" i="6"/>
  <c r="YO5" i="6"/>
  <c r="RG5" i="6"/>
  <c r="RM5" i="6"/>
  <c r="RW5" i="6"/>
  <c r="QX5" i="6"/>
  <c r="SO5" i="6"/>
  <c r="SZ5" i="6"/>
  <c r="SP5" i="6"/>
  <c r="RF5" i="6"/>
  <c r="SX5" i="6"/>
  <c r="RU5" i="6"/>
  <c r="RK5" i="6"/>
  <c r="SK5" i="6"/>
  <c r="SU5" i="6"/>
  <c r="SQ5" i="6"/>
  <c r="AIY5" i="6"/>
  <c r="QZ5" i="6"/>
  <c r="SW5" i="6"/>
  <c r="RE5" i="6"/>
  <c r="RV5" i="6"/>
  <c r="SM5" i="6"/>
  <c r="SY5" i="6"/>
  <c r="RR5" i="6"/>
  <c r="SG5" i="6"/>
  <c r="SD5" i="6"/>
  <c r="TB5" i="6"/>
  <c r="SI5" i="6"/>
  <c r="AAW5" i="6"/>
  <c r="RZ5" i="6"/>
  <c r="SJ5" i="6"/>
  <c r="SE5" i="6"/>
  <c r="TD5" i="6"/>
  <c r="D381" i="1" l="1"/>
  <c r="D356" i="1"/>
  <c r="D369" i="1"/>
  <c r="D331" i="1"/>
  <c r="D306" i="1"/>
  <c r="D305" i="1"/>
  <c r="D281" i="1"/>
  <c r="I356" i="1"/>
  <c r="I306" i="1"/>
  <c r="I330" i="1"/>
  <c r="I355" i="1"/>
  <c r="I331" i="1"/>
  <c r="T55" i="1"/>
  <c r="J55" i="1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AT4" i="6"/>
  <c r="AU4" i="6"/>
  <c r="AV4" i="6"/>
  <c r="AW4" i="6"/>
  <c r="AX4" i="6"/>
  <c r="AY4" i="6"/>
  <c r="AZ4" i="6"/>
  <c r="BA4" i="6"/>
  <c r="BB4" i="6"/>
  <c r="BC4" i="6"/>
  <c r="BD4" i="6"/>
  <c r="BE4" i="6"/>
  <c r="BF4" i="6"/>
  <c r="BG4" i="6"/>
  <c r="BH4" i="6"/>
  <c r="BI4" i="6"/>
  <c r="BJ4" i="6"/>
  <c r="BK4" i="6"/>
  <c r="BL4" i="6"/>
  <c r="BM4" i="6"/>
  <c r="BN4" i="6"/>
  <c r="BO4" i="6"/>
  <c r="BP4" i="6"/>
  <c r="BQ4" i="6"/>
  <c r="BR4" i="6"/>
  <c r="BS4" i="6"/>
  <c r="BT4" i="6"/>
  <c r="BU4" i="6"/>
  <c r="BV4" i="6"/>
  <c r="BW4" i="6"/>
  <c r="BX4" i="6"/>
  <c r="BY4" i="6"/>
  <c r="BZ4" i="6"/>
  <c r="CA4" i="6"/>
  <c r="CB4" i="6"/>
  <c r="CC4" i="6"/>
  <c r="CD4" i="6"/>
  <c r="CE4" i="6"/>
  <c r="CF4" i="6"/>
  <c r="CG4" i="6"/>
  <c r="CH4" i="6"/>
  <c r="CI4" i="6"/>
  <c r="CJ4" i="6"/>
  <c r="CK4" i="6"/>
  <c r="CL4" i="6"/>
  <c r="CM4" i="6"/>
  <c r="CN4" i="6"/>
  <c r="CO4" i="6"/>
  <c r="CP4" i="6"/>
  <c r="CQ4" i="6"/>
  <c r="CR4" i="6"/>
  <c r="CS4" i="6"/>
  <c r="CT4" i="6"/>
  <c r="CU4" i="6"/>
  <c r="CV4" i="6"/>
  <c r="CW4" i="6"/>
  <c r="CX4" i="6"/>
  <c r="CY4" i="6"/>
  <c r="CZ4" i="6"/>
  <c r="DA4" i="6"/>
  <c r="DB4" i="6"/>
  <c r="DC4" i="6"/>
  <c r="DD4" i="6"/>
  <c r="DE4" i="6"/>
  <c r="DF4" i="6"/>
  <c r="DG4" i="6"/>
  <c r="DH4" i="6"/>
  <c r="DI4" i="6"/>
  <c r="DJ4" i="6"/>
  <c r="DK4" i="6"/>
  <c r="DL4" i="6"/>
  <c r="DM4" i="6"/>
  <c r="DN4" i="6"/>
  <c r="DO4" i="6"/>
  <c r="DP4" i="6"/>
  <c r="DQ4" i="6"/>
  <c r="DR4" i="6"/>
  <c r="DS4" i="6"/>
  <c r="DT4" i="6"/>
  <c r="DU4" i="6"/>
  <c r="DV4" i="6"/>
  <c r="DW4" i="6"/>
  <c r="DX4" i="6"/>
  <c r="DY4" i="6"/>
  <c r="DZ4" i="6"/>
  <c r="EA4" i="6"/>
  <c r="EB4" i="6"/>
  <c r="EC4" i="6"/>
  <c r="ED4" i="6"/>
  <c r="EE4" i="6"/>
  <c r="EF4" i="6"/>
  <c r="EG4" i="6"/>
  <c r="EH4" i="6"/>
  <c r="EI4" i="6"/>
  <c r="EJ4" i="6"/>
  <c r="EK4" i="6"/>
  <c r="EL4" i="6"/>
  <c r="EM4" i="6"/>
  <c r="EN4" i="6"/>
  <c r="EO4" i="6"/>
  <c r="EP4" i="6"/>
  <c r="EQ4" i="6"/>
  <c r="ER4" i="6"/>
  <c r="ES4" i="6"/>
  <c r="ET4" i="6"/>
  <c r="EU4" i="6"/>
  <c r="EV4" i="6"/>
  <c r="EW4" i="6"/>
  <c r="EX4" i="6"/>
  <c r="EY4" i="6"/>
  <c r="EZ4" i="6"/>
  <c r="FA4" i="6"/>
  <c r="FB4" i="6"/>
  <c r="FC4" i="6"/>
  <c r="FD4" i="6"/>
  <c r="FE4" i="6"/>
  <c r="FF4" i="6"/>
  <c r="FG4" i="6"/>
  <c r="FH4" i="6"/>
  <c r="FI4" i="6"/>
  <c r="FJ4" i="6"/>
  <c r="FK4" i="6"/>
  <c r="FL4" i="6"/>
  <c r="FM4" i="6"/>
  <c r="FN4" i="6"/>
  <c r="FO4" i="6"/>
  <c r="FP4" i="6"/>
  <c r="FQ4" i="6"/>
  <c r="FR4" i="6"/>
  <c r="FS4" i="6"/>
  <c r="FT4" i="6"/>
  <c r="FU4" i="6"/>
  <c r="FV4" i="6"/>
  <c r="FW4" i="6"/>
  <c r="FX4" i="6"/>
  <c r="FY4" i="6"/>
  <c r="FZ4" i="6"/>
  <c r="GA4" i="6"/>
  <c r="GB4" i="6"/>
  <c r="GC4" i="6"/>
  <c r="GD4" i="6"/>
  <c r="GE4" i="6"/>
  <c r="GF4" i="6"/>
  <c r="GG4" i="6"/>
  <c r="GH4" i="6"/>
  <c r="GI4" i="6"/>
  <c r="GJ4" i="6"/>
  <c r="GK4" i="6"/>
  <c r="GL4" i="6"/>
  <c r="GM4" i="6"/>
  <c r="GN4" i="6"/>
  <c r="GO4" i="6"/>
  <c r="GP4" i="6"/>
  <c r="GQ4" i="6"/>
  <c r="GR4" i="6"/>
  <c r="GS4" i="6"/>
  <c r="GT4" i="6"/>
  <c r="GU4" i="6"/>
  <c r="GV4" i="6"/>
  <c r="GW4" i="6"/>
  <c r="GX4" i="6"/>
  <c r="GY4" i="6"/>
  <c r="GZ4" i="6"/>
  <c r="HA4" i="6"/>
  <c r="HB4" i="6"/>
  <c r="HC4" i="6"/>
  <c r="HD4" i="6"/>
  <c r="HE4" i="6"/>
  <c r="HF4" i="6"/>
  <c r="HG4" i="6"/>
  <c r="HH4" i="6"/>
  <c r="HI4" i="6"/>
  <c r="HJ4" i="6"/>
  <c r="HK4" i="6"/>
  <c r="HL4" i="6"/>
  <c r="HM4" i="6"/>
  <c r="HN4" i="6"/>
  <c r="HO4" i="6"/>
  <c r="HP4" i="6"/>
  <c r="HQ4" i="6"/>
  <c r="HR4" i="6"/>
  <c r="HS4" i="6"/>
  <c r="HT4" i="6"/>
  <c r="HU4" i="6"/>
  <c r="HV4" i="6"/>
  <c r="HW4" i="6"/>
  <c r="HX4" i="6"/>
  <c r="HY4" i="6"/>
  <c r="HZ4" i="6"/>
  <c r="IA4" i="6"/>
  <c r="IB4" i="6"/>
  <c r="IC4" i="6"/>
  <c r="ID4" i="6"/>
  <c r="IE4" i="6"/>
  <c r="IF4" i="6"/>
  <c r="IG4" i="6"/>
  <c r="IH4" i="6"/>
  <c r="II4" i="6"/>
  <c r="IJ4" i="6"/>
  <c r="IK4" i="6"/>
  <c r="IL4" i="6"/>
  <c r="IM4" i="6"/>
  <c r="IN4" i="6"/>
  <c r="IO4" i="6"/>
  <c r="IP4" i="6"/>
  <c r="IQ4" i="6"/>
  <c r="IR4" i="6"/>
  <c r="IS4" i="6"/>
  <c r="IT4" i="6"/>
  <c r="IU4" i="6"/>
  <c r="IV4" i="6"/>
  <c r="IW4" i="6"/>
  <c r="IX4" i="6"/>
  <c r="IY4" i="6"/>
  <c r="IZ4" i="6"/>
  <c r="JA4" i="6"/>
  <c r="JB4" i="6"/>
  <c r="JC4" i="6"/>
  <c r="JD4" i="6"/>
  <c r="JE4" i="6"/>
  <c r="JF4" i="6"/>
  <c r="JG4" i="6"/>
  <c r="JH4" i="6"/>
  <c r="JI4" i="6"/>
  <c r="JJ4" i="6"/>
  <c r="JK4" i="6"/>
  <c r="JL4" i="6"/>
  <c r="JM4" i="6"/>
  <c r="JN4" i="6"/>
  <c r="JO4" i="6"/>
  <c r="JP4" i="6"/>
  <c r="JQ4" i="6"/>
  <c r="JR4" i="6"/>
  <c r="JS4" i="6"/>
  <c r="JT4" i="6"/>
  <c r="JU4" i="6"/>
  <c r="JV4" i="6"/>
  <c r="JW4" i="6"/>
  <c r="JX4" i="6"/>
  <c r="JY4" i="6"/>
  <c r="JZ4" i="6"/>
  <c r="KA4" i="6"/>
  <c r="KB4" i="6"/>
  <c r="KC4" i="6"/>
  <c r="KD4" i="6"/>
  <c r="KE4" i="6"/>
  <c r="KF4" i="6"/>
  <c r="KG4" i="6"/>
  <c r="KH4" i="6"/>
  <c r="KI4" i="6"/>
  <c r="KJ4" i="6"/>
  <c r="KK4" i="6"/>
  <c r="KL4" i="6"/>
  <c r="KM4" i="6"/>
  <c r="KN4" i="6"/>
  <c r="KO4" i="6"/>
  <c r="KP4" i="6"/>
  <c r="KQ4" i="6"/>
  <c r="KR4" i="6"/>
  <c r="KS4" i="6"/>
  <c r="KT4" i="6"/>
  <c r="KU4" i="6"/>
  <c r="KV4" i="6"/>
  <c r="KW4" i="6"/>
  <c r="KX4" i="6"/>
  <c r="KY4" i="6"/>
  <c r="KZ4" i="6"/>
  <c r="LA4" i="6"/>
  <c r="LB4" i="6"/>
  <c r="LC4" i="6"/>
  <c r="LD4" i="6"/>
  <c r="LE4" i="6"/>
  <c r="LF4" i="6"/>
  <c r="LG4" i="6"/>
  <c r="LH4" i="6"/>
  <c r="LI4" i="6"/>
  <c r="LJ4" i="6"/>
  <c r="LK4" i="6"/>
  <c r="LL4" i="6"/>
  <c r="LM4" i="6"/>
  <c r="LN4" i="6"/>
  <c r="LO4" i="6"/>
  <c r="LP4" i="6"/>
  <c r="LQ4" i="6"/>
  <c r="LR4" i="6"/>
  <c r="LS4" i="6"/>
  <c r="LT4" i="6"/>
  <c r="LU4" i="6"/>
  <c r="LV4" i="6"/>
  <c r="LW4" i="6"/>
  <c r="LX4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MO4" i="6"/>
  <c r="MP4" i="6"/>
  <c r="MQ4" i="6"/>
  <c r="MR4" i="6"/>
  <c r="MS4" i="6"/>
  <c r="MT4" i="6"/>
  <c r="MU4" i="6"/>
  <c r="MV4" i="6"/>
  <c r="MW4" i="6"/>
  <c r="MX4" i="6"/>
  <c r="MY4" i="6"/>
  <c r="MZ4" i="6"/>
  <c r="NA4" i="6"/>
  <c r="NB4" i="6"/>
  <c r="NC4" i="6"/>
  <c r="ND4" i="6"/>
  <c r="NE4" i="6"/>
  <c r="NF4" i="6"/>
  <c r="NG4" i="6"/>
  <c r="NH4" i="6"/>
  <c r="NI4" i="6"/>
  <c r="NJ4" i="6"/>
  <c r="NK4" i="6"/>
  <c r="NL4" i="6"/>
  <c r="NM4" i="6"/>
  <c r="NN4" i="6"/>
  <c r="NO4" i="6"/>
  <c r="NP4" i="6"/>
  <c r="NQ4" i="6"/>
  <c r="NR4" i="6"/>
  <c r="NS4" i="6"/>
  <c r="NT4" i="6"/>
  <c r="NU4" i="6"/>
  <c r="NV4" i="6"/>
  <c r="NW4" i="6"/>
  <c r="NX4" i="6"/>
  <c r="NY4" i="6"/>
  <c r="NZ4" i="6"/>
  <c r="OA4" i="6"/>
  <c r="OB4" i="6"/>
  <c r="OC4" i="6"/>
  <c r="OD4" i="6"/>
  <c r="OE4" i="6"/>
  <c r="OF4" i="6"/>
  <c r="OG4" i="6"/>
  <c r="OH4" i="6"/>
  <c r="OI4" i="6"/>
  <c r="OJ4" i="6"/>
  <c r="OK4" i="6"/>
  <c r="OL4" i="6"/>
  <c r="OM4" i="6"/>
  <c r="ON4" i="6"/>
  <c r="OO4" i="6"/>
  <c r="OP4" i="6"/>
  <c r="OQ4" i="6"/>
  <c r="OR4" i="6"/>
  <c r="OS4" i="6"/>
  <c r="OT4" i="6"/>
  <c r="OU4" i="6"/>
  <c r="OV4" i="6"/>
  <c r="OW4" i="6"/>
  <c r="OX4" i="6"/>
  <c r="OY4" i="6"/>
  <c r="OZ4" i="6"/>
  <c r="PA4" i="6"/>
  <c r="PB4" i="6"/>
  <c r="PC4" i="6"/>
  <c r="PD4" i="6"/>
  <c r="PE4" i="6"/>
  <c r="PF4" i="6"/>
  <c r="PG4" i="6"/>
  <c r="PH4" i="6"/>
  <c r="PI4" i="6"/>
  <c r="PJ4" i="6"/>
  <c r="PK4" i="6"/>
  <c r="PL4" i="6"/>
  <c r="PM4" i="6"/>
  <c r="PN4" i="6"/>
  <c r="PO4" i="6"/>
  <c r="PP4" i="6"/>
  <c r="PQ4" i="6"/>
  <c r="PR4" i="6"/>
  <c r="PS4" i="6"/>
  <c r="PT4" i="6"/>
  <c r="PU4" i="6"/>
  <c r="PV4" i="6"/>
  <c r="PW4" i="6"/>
  <c r="PX4" i="6"/>
  <c r="PY4" i="6"/>
  <c r="PZ4" i="6"/>
  <c r="QA4" i="6"/>
  <c r="QB4" i="6"/>
  <c r="QC4" i="6"/>
  <c r="QD4" i="6"/>
  <c r="QE4" i="6"/>
  <c r="QF4" i="6"/>
  <c r="QG4" i="6"/>
  <c r="QH4" i="6"/>
  <c r="QI4" i="6"/>
  <c r="QJ4" i="6"/>
  <c r="QK4" i="6"/>
  <c r="QL4" i="6"/>
  <c r="QM4" i="6"/>
  <c r="QN4" i="6"/>
  <c r="QO4" i="6"/>
  <c r="QP4" i="6"/>
  <c r="QQ4" i="6"/>
  <c r="QR4" i="6"/>
  <c r="QS4" i="6"/>
  <c r="QT4" i="6"/>
  <c r="QU4" i="6"/>
  <c r="QV4" i="6"/>
  <c r="E4" i="6"/>
  <c r="H280" i="1" l="1"/>
  <c r="I280" i="1" s="1"/>
  <c r="G305" i="1"/>
  <c r="I305" i="1" s="1"/>
  <c r="L2" i="12"/>
  <c r="L3" i="12"/>
  <c r="L4" i="12"/>
  <c r="L5" i="12"/>
  <c r="L6" i="12"/>
  <c r="L7" i="12"/>
  <c r="L8" i="12"/>
  <c r="L9" i="12"/>
  <c r="L10" i="12"/>
  <c r="L11" i="12"/>
  <c r="L12" i="12"/>
  <c r="L13" i="12"/>
  <c r="L14" i="12"/>
  <c r="L15" i="12"/>
  <c r="L16" i="12"/>
  <c r="L17" i="12"/>
  <c r="L18" i="12"/>
  <c r="L19" i="12"/>
  <c r="L1" i="12"/>
  <c r="T30" i="1" l="1"/>
  <c r="O30" i="1" l="1"/>
  <c r="CZ5" i="6"/>
  <c r="LV5" i="6"/>
  <c r="FN5" i="6"/>
  <c r="IM5" i="6"/>
  <c r="IC5" i="6"/>
  <c r="OB5" i="6"/>
  <c r="BV5" i="6"/>
  <c r="AA5" i="6"/>
  <c r="CB5" i="6"/>
  <c r="EF5" i="6"/>
  <c r="KW5" i="6"/>
  <c r="MP5" i="6"/>
  <c r="IX5" i="6"/>
  <c r="BP5" i="6"/>
  <c r="R5" i="6"/>
  <c r="FR5" i="6"/>
  <c r="HK5" i="6"/>
  <c r="FA5" i="6"/>
  <c r="D5" i="6"/>
  <c r="DU5" i="6"/>
  <c r="MN5" i="6"/>
  <c r="DK5" i="6"/>
  <c r="LI5" i="6"/>
  <c r="CO5" i="6"/>
  <c r="DB5" i="6"/>
  <c r="OQ5" i="6"/>
  <c r="DN5" i="6"/>
  <c r="DZ5" i="6"/>
  <c r="GT5" i="6"/>
  <c r="DD5" i="6"/>
  <c r="DQ5" i="6"/>
  <c r="NM5" i="6"/>
  <c r="BT5" i="6"/>
  <c r="NJ5" i="6"/>
  <c r="CV5" i="6"/>
  <c r="QQ5" i="6"/>
  <c r="BM5" i="6"/>
  <c r="DS5" i="6"/>
  <c r="AX5" i="6"/>
  <c r="AW5" i="6"/>
  <c r="KK5" i="6"/>
  <c r="OF5" i="6"/>
  <c r="EK5" i="6"/>
  <c r="HQ5" i="6"/>
  <c r="JK5" i="6"/>
  <c r="PR5" i="6"/>
  <c r="NH5" i="6"/>
  <c r="KD5" i="6"/>
  <c r="HL5" i="6"/>
  <c r="LG5" i="6"/>
  <c r="IS5" i="6"/>
  <c r="LL5" i="6"/>
  <c r="GJ5" i="6"/>
  <c r="NX5" i="6"/>
  <c r="B5" i="6"/>
  <c r="OU5" i="6"/>
  <c r="GO5" i="6"/>
  <c r="NL5" i="6"/>
  <c r="MQ5" i="6"/>
  <c r="NA5" i="6"/>
  <c r="EV5" i="6"/>
  <c r="AF5" i="6"/>
  <c r="GW5" i="6"/>
  <c r="JY5" i="6"/>
  <c r="IW5" i="6"/>
  <c r="FY5" i="6"/>
  <c r="KL5" i="6"/>
  <c r="FS5" i="6"/>
  <c r="CJ5" i="6"/>
  <c r="CQ5" i="6"/>
  <c r="FO5" i="6"/>
  <c r="LZ5" i="6"/>
  <c r="JJ5" i="6"/>
  <c r="DJ5" i="6"/>
  <c r="ER5" i="6"/>
  <c r="EP5" i="6"/>
  <c r="AD5" i="6"/>
  <c r="HP5" i="6"/>
  <c r="DP5" i="6"/>
  <c r="DR5" i="6"/>
  <c r="NK5" i="6"/>
  <c r="NO5" i="6"/>
  <c r="OO5" i="6"/>
  <c r="GH5" i="6"/>
  <c r="AL5" i="6"/>
  <c r="FM5" i="6"/>
  <c r="NP5" i="6"/>
  <c r="EA5" i="6"/>
  <c r="CY5" i="6"/>
  <c r="GV5" i="6"/>
  <c r="BU5" i="6"/>
  <c r="LJ5" i="6"/>
  <c r="KZ5" i="6"/>
  <c r="ML5" i="6"/>
  <c r="CD5" i="6"/>
  <c r="MY5" i="6"/>
  <c r="MX5" i="6"/>
  <c r="BQ5" i="6"/>
  <c r="GF5" i="6"/>
  <c r="AN5" i="6"/>
  <c r="JS5" i="6"/>
  <c r="KU5" i="6"/>
  <c r="HA5" i="6"/>
  <c r="GY5" i="6"/>
  <c r="JZ5" i="6"/>
  <c r="MR5" i="6"/>
  <c r="JQ5" i="6"/>
  <c r="OV5" i="6"/>
  <c r="K5" i="6"/>
  <c r="MC5" i="6"/>
  <c r="JF5" i="6"/>
  <c r="KP5" i="6"/>
  <c r="L5" i="6"/>
  <c r="AT5" i="6"/>
  <c r="MS5" i="6"/>
  <c r="KT5" i="6"/>
  <c r="JW5" i="6"/>
  <c r="PQ5" i="6"/>
  <c r="LA5" i="6"/>
  <c r="EQ5" i="6"/>
  <c r="AH5" i="6"/>
  <c r="JH5" i="6"/>
  <c r="OX5" i="6"/>
  <c r="GS5" i="6"/>
  <c r="MZ5" i="6"/>
  <c r="HI5" i="6"/>
  <c r="DW5" i="6"/>
  <c r="CF5" i="6"/>
  <c r="MM5" i="6"/>
  <c r="IN5" i="6"/>
  <c r="GM5" i="6"/>
  <c r="BD5" i="6"/>
  <c r="MI5" i="6"/>
  <c r="FZ5" i="6"/>
  <c r="Q5" i="6"/>
  <c r="HE5" i="6"/>
  <c r="QF5" i="6"/>
  <c r="HS5" i="6"/>
  <c r="IO5" i="6"/>
  <c r="V5" i="6"/>
  <c r="PT5" i="6"/>
  <c r="FB5" i="6"/>
  <c r="ED5" i="6"/>
  <c r="ND5" i="6"/>
  <c r="QU5" i="6"/>
  <c r="PX5" i="6"/>
  <c r="LQ5" i="6"/>
  <c r="JN5" i="6"/>
  <c r="BN5" i="6"/>
  <c r="AG5" i="6"/>
  <c r="T5" i="6"/>
  <c r="BK5" i="6"/>
  <c r="JR5" i="6"/>
  <c r="NN5" i="6"/>
  <c r="KS5" i="6"/>
  <c r="LB5" i="6"/>
  <c r="LT5" i="6"/>
  <c r="FL5" i="6"/>
  <c r="GZ5" i="6"/>
  <c r="OA5" i="6"/>
  <c r="GN5" i="6"/>
  <c r="NQ5" i="6"/>
  <c r="QA5" i="6"/>
  <c r="ET5" i="6"/>
  <c r="Z5" i="6"/>
  <c r="HW5" i="6"/>
  <c r="BY5" i="6"/>
  <c r="HN5" i="6"/>
  <c r="I5" i="6"/>
  <c r="AZ5" i="6"/>
  <c r="FQ5" i="6"/>
  <c r="BR5" i="6"/>
  <c r="PB5" i="6"/>
  <c r="DE5" i="6"/>
  <c r="OK5" i="6"/>
  <c r="OR5" i="6"/>
  <c r="JD5" i="6"/>
  <c r="MD5" i="6"/>
  <c r="CK5" i="6"/>
  <c r="OG5" i="6"/>
  <c r="JL5" i="6"/>
  <c r="QC5" i="6"/>
  <c r="LS5" i="6"/>
  <c r="IP5" i="6"/>
  <c r="IK5" i="6"/>
  <c r="IH5" i="6"/>
  <c r="HY5" i="6"/>
  <c r="BH5" i="6"/>
  <c r="OI5" i="6"/>
  <c r="AM5" i="6"/>
  <c r="MK5" i="6"/>
  <c r="EU5" i="6"/>
  <c r="O5" i="6"/>
  <c r="FJ5" i="6"/>
  <c r="QB5" i="6"/>
  <c r="IG5" i="6"/>
  <c r="BO5" i="6"/>
  <c r="DI5" i="6"/>
  <c r="MG5" i="6"/>
  <c r="HH5" i="6"/>
  <c r="JT5" i="6"/>
  <c r="QN5" i="6"/>
  <c r="GL5" i="6"/>
  <c r="JG5" i="6"/>
  <c r="IZ5" i="6"/>
  <c r="OM5" i="6"/>
  <c r="GQ5" i="6"/>
  <c r="QG5" i="6"/>
  <c r="QO5" i="6"/>
  <c r="HC5" i="6"/>
  <c r="BW5" i="6"/>
  <c r="OT5" i="6"/>
  <c r="JV5" i="6"/>
  <c r="BC5" i="6"/>
  <c r="AS5" i="6"/>
  <c r="S5" i="6"/>
  <c r="P5" i="6"/>
  <c r="MW5" i="6"/>
  <c r="NT5" i="6"/>
  <c r="E5" i="6"/>
  <c r="BZ5" i="6"/>
  <c r="M5" i="6"/>
  <c r="II5" i="6"/>
  <c r="MA5" i="6"/>
  <c r="DT5" i="6"/>
  <c r="LN5" i="6"/>
  <c r="NF5" i="6"/>
  <c r="NI5" i="6"/>
  <c r="CH5" i="6"/>
  <c r="CA5" i="6"/>
  <c r="EW5" i="6"/>
  <c r="CL5" i="6"/>
  <c r="GR5" i="6"/>
  <c r="GK5" i="6"/>
  <c r="OE5" i="6"/>
  <c r="PL5" i="6"/>
  <c r="LE5" i="6"/>
  <c r="ME5" i="6"/>
  <c r="QT5" i="6"/>
  <c r="KI5" i="6"/>
  <c r="GX5" i="6"/>
  <c r="JM5" i="6"/>
  <c r="NC5" i="6"/>
  <c r="EO5" i="6"/>
  <c r="U5" i="6"/>
  <c r="QJ5" i="6"/>
  <c r="IB5" i="6"/>
  <c r="OJ5" i="6"/>
  <c r="JE5" i="6"/>
  <c r="NV5" i="6"/>
  <c r="X5" i="6"/>
  <c r="KJ5" i="6"/>
  <c r="EC5" i="6"/>
  <c r="QS5" i="6"/>
  <c r="LF5" i="6"/>
  <c r="FC5" i="6"/>
  <c r="QI5" i="6"/>
  <c r="NU5" i="6"/>
  <c r="PV5" i="6"/>
  <c r="QV5" i="6"/>
  <c r="NB5" i="6"/>
  <c r="BJ5" i="6"/>
  <c r="CX5" i="6"/>
  <c r="OP5" i="6"/>
  <c r="NZ5" i="6"/>
  <c r="OD5" i="6"/>
  <c r="HV5" i="6"/>
  <c r="JP5" i="6"/>
  <c r="OS5" i="6"/>
  <c r="PK5" i="6"/>
  <c r="CC5" i="6"/>
  <c r="KE5" i="6"/>
  <c r="PY5" i="6"/>
  <c r="QM5" i="6"/>
  <c r="HX5" i="6"/>
  <c r="HO5" i="6"/>
  <c r="PU5" i="6"/>
  <c r="KQ5" i="6"/>
  <c r="EB5" i="6"/>
  <c r="BI5" i="6"/>
  <c r="HF5" i="6"/>
  <c r="PF5" i="6"/>
  <c r="NY5" i="6"/>
  <c r="KN5" i="6"/>
  <c r="CI5" i="6"/>
  <c r="MV5" i="6"/>
  <c r="AB5" i="6"/>
  <c r="IF5" i="6"/>
  <c r="JX5" i="6"/>
  <c r="AK5" i="6"/>
  <c r="DL5" i="6"/>
  <c r="LH5" i="6"/>
  <c r="NW5" i="6"/>
  <c r="KG5" i="6"/>
  <c r="AO5" i="6"/>
  <c r="CU5" i="6"/>
  <c r="LX5" i="6"/>
  <c r="KY5" i="6"/>
  <c r="DO5" i="6"/>
  <c r="PZ5" i="6"/>
  <c r="PM5" i="6"/>
  <c r="Y5" i="6"/>
  <c r="OH5" i="6"/>
  <c r="HR5" i="6"/>
  <c r="PA5" i="6"/>
  <c r="EZ5" i="6"/>
  <c r="EE5" i="6"/>
  <c r="AJ5" i="6"/>
  <c r="LC5" i="6"/>
  <c r="GD5" i="6"/>
  <c r="CW5" i="6"/>
  <c r="NS5" i="6"/>
  <c r="QK5" i="6"/>
  <c r="FV5" i="6"/>
  <c r="IQ5" i="6"/>
  <c r="KH5" i="6"/>
  <c r="HG5" i="6"/>
  <c r="PN5" i="6"/>
  <c r="KM5" i="6"/>
  <c r="EY5" i="6"/>
  <c r="PD5" i="6"/>
  <c r="AY5" i="6"/>
  <c r="JI5" i="6"/>
  <c r="BF5" i="6"/>
  <c r="PO5" i="6"/>
  <c r="LK5" i="6"/>
  <c r="MJ5" i="6"/>
  <c r="HD5" i="6"/>
  <c r="HM5" i="6"/>
  <c r="JU5" i="6"/>
  <c r="MU5" i="6"/>
  <c r="DG5" i="6"/>
  <c r="GI5" i="6"/>
  <c r="QE5" i="6"/>
  <c r="IY5" i="6"/>
  <c r="JC5" i="6"/>
  <c r="FE5" i="6"/>
  <c r="PP5" i="6"/>
  <c r="LM5" i="6"/>
  <c r="MO5" i="6"/>
  <c r="FX5" i="6"/>
  <c r="QR5" i="6"/>
  <c r="CG5" i="6"/>
  <c r="BA5" i="6"/>
  <c r="AE5" i="6"/>
  <c r="KA5" i="6"/>
  <c r="QH5" i="6"/>
  <c r="PH5" i="6"/>
  <c r="KC5" i="6"/>
  <c r="MT5" i="6"/>
  <c r="KF5" i="6"/>
  <c r="FG5" i="6"/>
  <c r="QD5" i="6"/>
  <c r="DH5" i="6"/>
  <c r="KV5" i="6"/>
  <c r="CT5" i="6"/>
  <c r="DY5" i="6"/>
  <c r="F5" i="6"/>
  <c r="QL5" i="6"/>
  <c r="NR5" i="6"/>
  <c r="G5" i="6"/>
  <c r="CR5" i="6"/>
  <c r="IR5" i="6"/>
  <c r="AV5" i="6"/>
  <c r="EX5" i="6"/>
  <c r="DV5" i="6"/>
  <c r="LR5" i="6"/>
  <c r="HJ5" i="6"/>
  <c r="KO5" i="6"/>
  <c r="FP5" i="6"/>
  <c r="AU5" i="6"/>
  <c r="HB5" i="6"/>
  <c r="BX5" i="6"/>
  <c r="N5" i="6"/>
  <c r="IV5" i="6"/>
  <c r="OZ5" i="6"/>
  <c r="EN5" i="6"/>
  <c r="FD5" i="6"/>
  <c r="HU5" i="6"/>
  <c r="OY5" i="6"/>
  <c r="EL5" i="6"/>
  <c r="BE5" i="6"/>
  <c r="LW5" i="6"/>
  <c r="PS5" i="6"/>
  <c r="JB5" i="6"/>
  <c r="LD5" i="6"/>
  <c r="PC5" i="6"/>
  <c r="DM5" i="6"/>
  <c r="IE5" i="6"/>
  <c r="GA5" i="6"/>
  <c r="EM5" i="6"/>
  <c r="OL5" i="6"/>
  <c r="IU5" i="6"/>
  <c r="C5" i="6"/>
  <c r="MH5" i="6"/>
  <c r="GC5" i="6"/>
  <c r="BL5" i="6"/>
  <c r="PW5" i="6"/>
  <c r="PI5" i="6"/>
  <c r="GG5" i="6"/>
  <c r="DA5" i="6"/>
  <c r="NG5" i="6"/>
  <c r="EG5" i="6"/>
  <c r="KB5" i="6"/>
  <c r="IL5" i="6"/>
  <c r="EJ5" i="6"/>
  <c r="KX5" i="6"/>
  <c r="JO5" i="6"/>
  <c r="FW5" i="6"/>
  <c r="QP5" i="6"/>
  <c r="ON5" i="6"/>
  <c r="EH5" i="6"/>
  <c r="GP5" i="6"/>
  <c r="LO5" i="6"/>
  <c r="GE5" i="6"/>
  <c r="AC5" i="6"/>
  <c r="H5" i="6"/>
  <c r="J5" i="6"/>
  <c r="DF5" i="6"/>
  <c r="CS5" i="6"/>
  <c r="FF5" i="6"/>
  <c r="CE5" i="6"/>
  <c r="LP5" i="6"/>
  <c r="AR5" i="6"/>
  <c r="HT5" i="6"/>
  <c r="IA5" i="6"/>
  <c r="PE5" i="6"/>
  <c r="MB5" i="6"/>
  <c r="AQ5" i="6"/>
  <c r="PJ5" i="6"/>
  <c r="FU5" i="6"/>
  <c r="LU5" i="6"/>
  <c r="W5" i="6"/>
  <c r="ID5" i="6"/>
  <c r="FK5" i="6"/>
  <c r="BS5" i="6"/>
  <c r="JA5" i="6"/>
  <c r="IJ5" i="6"/>
  <c r="AI5" i="6"/>
  <c r="BG5" i="6"/>
  <c r="OC5" i="6"/>
  <c r="CP5" i="6"/>
  <c r="IT5" i="6"/>
  <c r="FH5" i="6"/>
  <c r="OW5" i="6"/>
  <c r="CN5" i="6"/>
  <c r="NE5" i="6"/>
  <c r="MF5" i="6"/>
  <c r="LY5" i="6"/>
  <c r="DX5" i="6"/>
  <c r="GB5" i="6"/>
  <c r="PG5" i="6"/>
  <c r="BB5" i="6"/>
  <c r="KR5" i="6"/>
  <c r="CM5" i="6"/>
  <c r="FT5" i="6"/>
  <c r="ES5" i="6"/>
  <c r="GU5" i="6"/>
  <c r="FI5" i="6"/>
  <c r="EI5" i="6"/>
  <c r="HZ5" i="6"/>
  <c r="AP5" i="6"/>
  <c r="DC5" i="6"/>
</calcChain>
</file>

<file path=xl/sharedStrings.xml><?xml version="1.0" encoding="utf-8"?>
<sst xmlns="http://schemas.openxmlformats.org/spreadsheetml/2006/main" count="10153" uniqueCount="1331">
  <si>
    <t>Marker 1</t>
  </si>
  <si>
    <t>Marker 2</t>
  </si>
  <si>
    <t>Calculation double support time (sec):</t>
  </si>
  <si>
    <t>Distance</t>
  </si>
  <si>
    <t>Time</t>
  </si>
  <si>
    <t>Step 1</t>
  </si>
  <si>
    <t>Step 2</t>
  </si>
  <si>
    <t>Step 3</t>
  </si>
  <si>
    <t>Swing side: 0 = left ; 1 = right</t>
  </si>
  <si>
    <t>Stride length and swing in relation to stance time not possible due to large steps</t>
  </si>
  <si>
    <t>Stride 1</t>
  </si>
  <si>
    <t>Calculation stride time (sec):</t>
  </si>
  <si>
    <t>Stride 2</t>
  </si>
  <si>
    <t>Trial 1</t>
  </si>
  <si>
    <t>Trial 2</t>
  </si>
  <si>
    <t>Trial 3</t>
  </si>
  <si>
    <t>Trial 4</t>
  </si>
  <si>
    <t>Trial 5</t>
  </si>
  <si>
    <t>Trial 6</t>
  </si>
  <si>
    <t>Trial 7</t>
  </si>
  <si>
    <t>Trial 8</t>
  </si>
  <si>
    <t>Trial 9</t>
  </si>
  <si>
    <t>Trial 10</t>
  </si>
  <si>
    <t>Trial 11</t>
  </si>
  <si>
    <t>Trial 12</t>
  </si>
  <si>
    <t>Trial 13</t>
  </si>
  <si>
    <t>Trial 14</t>
  </si>
  <si>
    <t>Trial 15</t>
  </si>
  <si>
    <t>Trial 16</t>
  </si>
  <si>
    <t>Trial 17</t>
  </si>
  <si>
    <t>Trial 18</t>
  </si>
  <si>
    <t>Trial 19</t>
  </si>
  <si>
    <t>Trial 20</t>
  </si>
  <si>
    <t>PIN</t>
  </si>
  <si>
    <t>Marker1</t>
  </si>
  <si>
    <t>Marker2</t>
  </si>
  <si>
    <t>Co</t>
  </si>
  <si>
    <t>A$2</t>
  </si>
  <si>
    <t>C$2</t>
  </si>
  <si>
    <t>E$2</t>
  </si>
  <si>
    <t>B30</t>
  </si>
  <si>
    <t>E30</t>
  </si>
  <si>
    <t>J30</t>
  </si>
  <si>
    <t>O30</t>
  </si>
  <si>
    <t>B55</t>
  </si>
  <si>
    <t>E55</t>
  </si>
  <si>
    <t>J55</t>
  </si>
  <si>
    <t>O55</t>
  </si>
  <si>
    <t>B80</t>
  </si>
  <si>
    <t>E80</t>
  </si>
  <si>
    <t>J80</t>
  </si>
  <si>
    <t>O80</t>
  </si>
  <si>
    <t>B105</t>
  </si>
  <si>
    <t>E105</t>
  </si>
  <si>
    <t>J105</t>
  </si>
  <si>
    <t>O105</t>
  </si>
  <si>
    <t>B130</t>
  </si>
  <si>
    <t>E130</t>
  </si>
  <si>
    <t>J130</t>
  </si>
  <si>
    <t>O130</t>
  </si>
  <si>
    <t>Calculation step time (sec):</t>
  </si>
  <si>
    <t>Calculation distance step length (cm):</t>
  </si>
  <si>
    <t>Calculation stride length (cm):</t>
  </si>
  <si>
    <t>Stance time (sec):</t>
  </si>
  <si>
    <t>Swing time (sec):</t>
  </si>
  <si>
    <t>Patientnummer</t>
  </si>
  <si>
    <t>G$2</t>
  </si>
  <si>
    <t>T30</t>
  </si>
  <si>
    <t>StepLength</t>
  </si>
  <si>
    <t>Step</t>
  </si>
  <si>
    <t>Comf</t>
  </si>
  <si>
    <t>T</t>
  </si>
  <si>
    <t>B</t>
  </si>
  <si>
    <t>E</t>
  </si>
  <si>
    <t>J</t>
  </si>
  <si>
    <t>O</t>
  </si>
  <si>
    <t>T55</t>
  </si>
  <si>
    <t>T80</t>
  </si>
  <si>
    <t>CoStep1StepTimeT1</t>
  </si>
  <si>
    <t>CoStep1DoubleSupportTimeT1</t>
  </si>
  <si>
    <t>CoStep1StanceTimeT1</t>
  </si>
  <si>
    <t>CoStep2StepTimeT1</t>
  </si>
  <si>
    <t>CoStep2DoubleSupportTimeT1</t>
  </si>
  <si>
    <t>CoStep2StanceTimeT1</t>
  </si>
  <si>
    <t>CoStep3StepTimeT1</t>
  </si>
  <si>
    <t>CoStep3DoubleSupportTimeT1</t>
  </si>
  <si>
    <t>CoStep3StanceTimeT1</t>
  </si>
  <si>
    <t>CoStep1StepTimeT2</t>
  </si>
  <si>
    <t>CoStep1DoubleSupportTimeT2</t>
  </si>
  <si>
    <t>CoStep1StanceTimeT2</t>
  </si>
  <si>
    <t>CoStep2StepTimeT2</t>
  </si>
  <si>
    <t>CoStep2DoubleSupportTimeT2</t>
  </si>
  <si>
    <t>CoStep2StanceTimeT2</t>
  </si>
  <si>
    <t>CoStep3StepTimeT2</t>
  </si>
  <si>
    <t>CoStep3DoubleSupportTimeT2</t>
  </si>
  <si>
    <t>CoStep3StanceTimeT2</t>
  </si>
  <si>
    <t>CoStep1StepTimeT3</t>
  </si>
  <si>
    <t>CoStep1DoubleSupportTimeT3</t>
  </si>
  <si>
    <t>CoStep1StanceTimeT3</t>
  </si>
  <si>
    <t>CoStep2StepTimeT3</t>
  </si>
  <si>
    <t>CoStep2DoubleSupportTimeT3</t>
  </si>
  <si>
    <t>CoStep2StanceTimeT3</t>
  </si>
  <si>
    <t>CoStep3StepTimeT3</t>
  </si>
  <si>
    <t>CoStep3DoubleSupportTimeT3</t>
  </si>
  <si>
    <t>CoStep3StanceTimeT3</t>
  </si>
  <si>
    <t>CoStep1StepTimeT4</t>
  </si>
  <si>
    <t>CoStep1DoubleSupportTimeT4</t>
  </si>
  <si>
    <t>CoStep1StanceTimeT4</t>
  </si>
  <si>
    <t>CoStep2StepTimeT4</t>
  </si>
  <si>
    <t>CoStep2DoubleSupportTimeT4</t>
  </si>
  <si>
    <t>CoStep2StanceTimeT4</t>
  </si>
  <si>
    <t>CoStep3StepTimeT4</t>
  </si>
  <si>
    <t>CoStep3DoubleSupportTimeT4</t>
  </si>
  <si>
    <t>CoStep3StanceTimeT4</t>
  </si>
  <si>
    <t>CoStep1StepTimeT5</t>
  </si>
  <si>
    <t>CoStep1DoubleSupportTimeT5</t>
  </si>
  <si>
    <t>CoStep1StanceTimeT5</t>
  </si>
  <si>
    <t>CoStep2StepTimeT5</t>
  </si>
  <si>
    <t>CoStep2DoubleSupportTimeT5</t>
  </si>
  <si>
    <t>CoStep2StanceTimeT5</t>
  </si>
  <si>
    <t>CoStep3StepTimeT5</t>
  </si>
  <si>
    <t>CoStep3DoubleSupportTimeT5</t>
  </si>
  <si>
    <t>CoStep3StanceTimeT5</t>
  </si>
  <si>
    <t>CoStep1StepTimeT6</t>
  </si>
  <si>
    <t>CoStep1DoubleSupportTimeT6</t>
  </si>
  <si>
    <t>CoStep1StanceTimeT6</t>
  </si>
  <si>
    <t>CoStep2StepTimeT6</t>
  </si>
  <si>
    <t>CoStep2DoubleSupportTimeT6</t>
  </si>
  <si>
    <t>CoStep2StanceTimeT6</t>
  </si>
  <si>
    <t>CoStep3StepTimeT6</t>
  </si>
  <si>
    <t>CoStep3DoubleSupportTimeT6</t>
  </si>
  <si>
    <t>CoStep3StanceTimeT6</t>
  </si>
  <si>
    <t>CoStep1StepTimeT7</t>
  </si>
  <si>
    <t>CoStep1DoubleSupportTimeT7</t>
  </si>
  <si>
    <t>CoStep1StanceTimeT7</t>
  </si>
  <si>
    <t>CoStep2StepTimeT7</t>
  </si>
  <si>
    <t>CoStep2DoubleSupportTimeT7</t>
  </si>
  <si>
    <t>CoStep2StanceTimeT7</t>
  </si>
  <si>
    <t>CoStep3StepTimeT7</t>
  </si>
  <si>
    <t>CoStep3DoubleSupportTimeT7</t>
  </si>
  <si>
    <t>CoStep3StanceTimeT7</t>
  </si>
  <si>
    <t>CoStep1StepTimeT8</t>
  </si>
  <si>
    <t>CoStep1DoubleSupportTimeT8</t>
  </si>
  <si>
    <t>CoStep1StanceTimeT8</t>
  </si>
  <si>
    <t>CoStep2StepTimeT8</t>
  </si>
  <si>
    <t>CoStep2DoubleSupportTimeT8</t>
  </si>
  <si>
    <t>CoStep2StanceTimeT8</t>
  </si>
  <si>
    <t>CoStep3StepTimeT8</t>
  </si>
  <si>
    <t>CoStep3DoubleSupportTimeT8</t>
  </si>
  <si>
    <t>CoStep3StanceTimeT8</t>
  </si>
  <si>
    <t>CoStep1StepTimeT9</t>
  </si>
  <si>
    <t>CoStep1DoubleSupportTimeT9</t>
  </si>
  <si>
    <t>CoStep1StanceTimeT9</t>
  </si>
  <si>
    <t>CoStep2StepTimeT9</t>
  </si>
  <si>
    <t>CoStep2DoubleSupportTimeT9</t>
  </si>
  <si>
    <t>CoStep2StanceTimeT9</t>
  </si>
  <si>
    <t>CoStep3StepTimeT9</t>
  </si>
  <si>
    <t>CoStep3DoubleSupportTimeT9</t>
  </si>
  <si>
    <t>CoStep3StanceTimeT9</t>
  </si>
  <si>
    <t>CoStep1StepTimeT10</t>
  </si>
  <si>
    <t>CoStep1DoubleSupportTimeT10</t>
  </si>
  <si>
    <t>CoStep1StanceTimeT10</t>
  </si>
  <si>
    <t>CoStep2StepTimeT10</t>
  </si>
  <si>
    <t>CoStep2DoubleSupportTimeT10</t>
  </si>
  <si>
    <t>CoStep2StanceTimeT10</t>
  </si>
  <si>
    <t>CoStep3StepTimeT10</t>
  </si>
  <si>
    <t>CoStep3DoubleSupportTimeT10</t>
  </si>
  <si>
    <t>CoStep3StanceTimeT10</t>
  </si>
  <si>
    <t>CoStep1StepTimeT11</t>
  </si>
  <si>
    <t>CoStep1DoubleSupportTimeT11</t>
  </si>
  <si>
    <t>CoStep1StanceTimeT11</t>
  </si>
  <si>
    <t>CoStep2StepTimeT11</t>
  </si>
  <si>
    <t>CoStep2DoubleSupportTimeT11</t>
  </si>
  <si>
    <t>CoStep2StanceTimeT11</t>
  </si>
  <si>
    <t>CoStep3StepTimeT11</t>
  </si>
  <si>
    <t>CoStep3DoubleSupportTimeT11</t>
  </si>
  <si>
    <t>CoStep3StanceTimeT11</t>
  </si>
  <si>
    <t>CoStep1StepTimeT12</t>
  </si>
  <si>
    <t>CoStep1DoubleSupportTimeT12</t>
  </si>
  <si>
    <t>CoStep1StanceTimeT12</t>
  </si>
  <si>
    <t>CoStep2StepTimeT12</t>
  </si>
  <si>
    <t>CoStep2DoubleSupportTimeT12</t>
  </si>
  <si>
    <t>CoStep2StanceTimeT12</t>
  </si>
  <si>
    <t>CoStep3StepTimeT12</t>
  </si>
  <si>
    <t>CoStep3DoubleSupportTimeT12</t>
  </si>
  <si>
    <t>CoStep3StanceTimeT12</t>
  </si>
  <si>
    <t>CoStep1StepTimeT13</t>
  </si>
  <si>
    <t>CoStep1DoubleSupportTimeT13</t>
  </si>
  <si>
    <t>CoStep1StanceTimeT13</t>
  </si>
  <si>
    <t>CoStep2StepTimeT13</t>
  </si>
  <si>
    <t>CoStep2DoubleSupportTimeT13</t>
  </si>
  <si>
    <t>CoStep2StanceTimeT13</t>
  </si>
  <si>
    <t>CoStep3StepTimeT13</t>
  </si>
  <si>
    <t>CoStep3DoubleSupportTimeT13</t>
  </si>
  <si>
    <t>CoStep3StanceTimeT13</t>
  </si>
  <si>
    <t>CoStep1StepTimeT14</t>
  </si>
  <si>
    <t>CoStep1DoubleSupportTimeT14</t>
  </si>
  <si>
    <t>CoStep1StanceTimeT14</t>
  </si>
  <si>
    <t>CoStep2StepTimeT14</t>
  </si>
  <si>
    <t>CoStep2DoubleSupportTimeT14</t>
  </si>
  <si>
    <t>CoStep2StanceTimeT14</t>
  </si>
  <si>
    <t>CoStep3StepTimeT14</t>
  </si>
  <si>
    <t>CoStep3DoubleSupportTimeT14</t>
  </si>
  <si>
    <t>CoStep3StanceTimeT14</t>
  </si>
  <si>
    <t>CoStep1StepTimeT15</t>
  </si>
  <si>
    <t>CoStep1DoubleSupportTimeT15</t>
  </si>
  <si>
    <t>CoStep1StanceTimeT15</t>
  </si>
  <si>
    <t>CoStep2StepTimeT15</t>
  </si>
  <si>
    <t>CoStep2DoubleSupportTimeT15</t>
  </si>
  <si>
    <t>CoStep2StanceTimeT15</t>
  </si>
  <si>
    <t>CoStep3StepTimeT15</t>
  </si>
  <si>
    <t>CoStep3DoubleSupportTimeT15</t>
  </si>
  <si>
    <t>CoStep3StanceTimeT15</t>
  </si>
  <si>
    <t>CoStep1StepTimeT16</t>
  </si>
  <si>
    <t>CoStep1DoubleSupportTimeT16</t>
  </si>
  <si>
    <t>CoStep1StanceTimeT16</t>
  </si>
  <si>
    <t>CoStep2StepTimeT16</t>
  </si>
  <si>
    <t>CoStep2DoubleSupportTimeT16</t>
  </si>
  <si>
    <t>CoStep2StanceTimeT16</t>
  </si>
  <si>
    <t>CoStep3StepTimeT16</t>
  </si>
  <si>
    <t>CoStep3DoubleSupportTimeT16</t>
  </si>
  <si>
    <t>CoStep3StanceTimeT16</t>
  </si>
  <si>
    <t>CoStep1StepTimeT17</t>
  </si>
  <si>
    <t>CoStep1DoubleSupportTimeT17</t>
  </si>
  <si>
    <t>CoStep1StanceTimeT17</t>
  </si>
  <si>
    <t>CoStep2StepTimeT17</t>
  </si>
  <si>
    <t>CoStep2DoubleSupportTimeT17</t>
  </si>
  <si>
    <t>CoStep2StanceTimeT17</t>
  </si>
  <si>
    <t>CoStep3StepTimeT17</t>
  </si>
  <si>
    <t>CoStep3DoubleSupportTimeT17</t>
  </si>
  <si>
    <t>CoStep3StanceTimeT17</t>
  </si>
  <si>
    <t>CoStep1StepTimeT18</t>
  </si>
  <si>
    <t>CoStep1DoubleSupportTimeT18</t>
  </si>
  <si>
    <t>CoStep1StanceTimeT18</t>
  </si>
  <si>
    <t>CoStep2StepTimeT18</t>
  </si>
  <si>
    <t>CoStep2DoubleSupportTimeT18</t>
  </si>
  <si>
    <t>CoStep2StanceTimeT18</t>
  </si>
  <si>
    <t>CoStep3StepTimeT18</t>
  </si>
  <si>
    <t>CoStep3DoubleSupportTimeT18</t>
  </si>
  <si>
    <t>CoStep3StanceTimeT18</t>
  </si>
  <si>
    <t>CoStep1StepTimeT19</t>
  </si>
  <si>
    <t>CoStep1DoubleSupportTimeT19</t>
  </si>
  <si>
    <t>CoStep1StanceTimeT19</t>
  </si>
  <si>
    <t>CoStep2StepTimeT19</t>
  </si>
  <si>
    <t>CoStep2DoubleSupportTimeT19</t>
  </si>
  <si>
    <t>CoStep2StanceTimeT19</t>
  </si>
  <si>
    <t>CoStep3StepTimeT19</t>
  </si>
  <si>
    <t>CoStep3DoubleSupportTimeT19</t>
  </si>
  <si>
    <t>CoStep3StanceTimeT19</t>
  </si>
  <si>
    <t>CoStep1StepTimeT20</t>
  </si>
  <si>
    <t>CoStep1DoubleSupportTimeT20</t>
  </si>
  <si>
    <t>CoStep1StanceTimeT20</t>
  </si>
  <si>
    <t>CoStep2StepTimeT20</t>
  </si>
  <si>
    <t>CoStep2DoubleSupportTimeT20</t>
  </si>
  <si>
    <t>CoStep2StanceTimeT20</t>
  </si>
  <si>
    <t>CoStep3StepTimeT20</t>
  </si>
  <si>
    <t>CoStep3DoubleSupportTimeT20</t>
  </si>
  <si>
    <t>CoStep3StanceTimeT20</t>
  </si>
  <si>
    <t>CoStep1StepLengthT1</t>
  </si>
  <si>
    <t>CoStep2StepLengthT1</t>
  </si>
  <si>
    <t>CoStep3StepLengthT1</t>
  </si>
  <si>
    <t>CoStep1StepLengthT2</t>
  </si>
  <si>
    <t>CoStep2StepLengthT2</t>
  </si>
  <si>
    <t>CoStep3StepLengthT2</t>
  </si>
  <si>
    <t>CoStep1StepLengthT3</t>
  </si>
  <si>
    <t>CoStep2StepLengthT3</t>
  </si>
  <si>
    <t>CoStep3StepLengthT3</t>
  </si>
  <si>
    <t>CoStep1StepLengthT4</t>
  </si>
  <si>
    <t>CoStep2StepLengthT4</t>
  </si>
  <si>
    <t>CoStep3StepLengthT4</t>
  </si>
  <si>
    <t>CoStep1StepLengthT5</t>
  </si>
  <si>
    <t>CoStep2StepLengthT5</t>
  </si>
  <si>
    <t>CoStep3StepLengthT5</t>
  </si>
  <si>
    <t>CoStep1StepLengthT6</t>
  </si>
  <si>
    <t>CoStep2StepLengthT6</t>
  </si>
  <si>
    <t>CoStep3StepLengthT6</t>
  </si>
  <si>
    <t>CoStep1StepLengthT7</t>
  </si>
  <si>
    <t>CoStep2StepLengthT7</t>
  </si>
  <si>
    <t>CoStep3StepLengthT7</t>
  </si>
  <si>
    <t>CoStep1StepLengthT8</t>
  </si>
  <si>
    <t>CoStep2StepLengthT8</t>
  </si>
  <si>
    <t>CoStep3StepLengthT8</t>
  </si>
  <si>
    <t>CoStep1StepLengthT9</t>
  </si>
  <si>
    <t>CoStep2StepLengthT9</t>
  </si>
  <si>
    <t>CoStep3StepLengthT9</t>
  </si>
  <si>
    <t>CoStep1StepLengthT10</t>
  </si>
  <si>
    <t>CoStep2StepLengthT10</t>
  </si>
  <si>
    <t>CoStep3StepLengthT10</t>
  </si>
  <si>
    <t>CoStep1StepLengthT11</t>
  </si>
  <si>
    <t>CoStep2StepLengthT11</t>
  </si>
  <si>
    <t>CoStep3StepLengthT11</t>
  </si>
  <si>
    <t>CoStep1StepLengthT12</t>
  </si>
  <si>
    <t>CoStep2StepLengthT12</t>
  </si>
  <si>
    <t>CoStep3StepLengthT12</t>
  </si>
  <si>
    <t>CoStep1StepLengthT13</t>
  </si>
  <si>
    <t>CoStep2StepLengthT13</t>
  </si>
  <si>
    <t>CoStep3StepLengthT13</t>
  </si>
  <si>
    <t>CoStep1StepLengthT14</t>
  </si>
  <si>
    <t>CoStep2StepLengthT14</t>
  </si>
  <si>
    <t>CoStep3StepLengthT14</t>
  </si>
  <si>
    <t>CoStep1StepLengthT15</t>
  </si>
  <si>
    <t>CoStep2StepLengthT15</t>
  </si>
  <si>
    <t>CoStep3StepLengthT15</t>
  </si>
  <si>
    <t>CoStep1StepLengthT16</t>
  </si>
  <si>
    <t>CoStep2StepLengthT16</t>
  </si>
  <si>
    <t>CoStep3StepLengthT16</t>
  </si>
  <si>
    <t>CoStep1StepLengthT17</t>
  </si>
  <si>
    <t>CoStep2StepLengthT17</t>
  </si>
  <si>
    <t>CoStep3StepLengthT17</t>
  </si>
  <si>
    <t>CoStep1StepLengthT18</t>
  </si>
  <si>
    <t>CoStep2StepLengthT18</t>
  </si>
  <si>
    <t>CoStep3StepLengthT18</t>
  </si>
  <si>
    <t>CoStep1StepLengthT19</t>
  </si>
  <si>
    <t>CoStep2StepLengthT19</t>
  </si>
  <si>
    <t>CoStep3StepLengthT19</t>
  </si>
  <si>
    <t>CoStep1StepLengthT20</t>
  </si>
  <si>
    <t>CoStep2StepLengthT20</t>
  </si>
  <si>
    <t>CoStep3StepLengthT20</t>
  </si>
  <si>
    <t>Medewerkercode</t>
  </si>
  <si>
    <t>Walkway</t>
  </si>
  <si>
    <t>Walkway:</t>
  </si>
  <si>
    <t>CoStep1WalkwayT1</t>
  </si>
  <si>
    <t>CoStep1WalkwayT2</t>
  </si>
  <si>
    <t>CoStep1WalkwayT3</t>
  </si>
  <si>
    <t>CoStep1WalkwayT4</t>
  </si>
  <si>
    <t>CoStep1WalkwayT5</t>
  </si>
  <si>
    <t>CoStep1WalkwayT6</t>
  </si>
  <si>
    <t>CoStep1WalkwayT7</t>
  </si>
  <si>
    <t>CoStep1WalkwayT8</t>
  </si>
  <si>
    <t>CoStep1WalkwayT9</t>
  </si>
  <si>
    <t>CoStep1WalkwayT10</t>
  </si>
  <si>
    <t>CoStep1WalkwayT11</t>
  </si>
  <si>
    <t>CoStep1WalkwayT12</t>
  </si>
  <si>
    <t>CoStep1WalkwayT13</t>
  </si>
  <si>
    <t>CoStep1WalkwayT14</t>
  </si>
  <si>
    <t>CoStep1WalkwayT15</t>
  </si>
  <si>
    <t>CoStep1WalkwayT16</t>
  </si>
  <si>
    <t>CoStep1WalkwayT17</t>
  </si>
  <si>
    <t>CoStep1WalkwayT18</t>
  </si>
  <si>
    <t>CoStep1WalkwayT19</t>
  </si>
  <si>
    <t>CoStep1WalkwayT20</t>
  </si>
  <si>
    <t>CoStep2WalkwayT1</t>
  </si>
  <si>
    <t>CoStep2WalkwayT2</t>
  </si>
  <si>
    <t>CoStep2WalkwayT3</t>
  </si>
  <si>
    <t>CoStep2WalkwayT4</t>
  </si>
  <si>
    <t>CoStep2WalkwayT5</t>
  </si>
  <si>
    <t>CoStep2WalkwayT6</t>
  </si>
  <si>
    <t>CoStep2WalkwayT7</t>
  </si>
  <si>
    <t>CoStep2WalkwayT8</t>
  </si>
  <si>
    <t>CoStep2WalkwayT9</t>
  </si>
  <si>
    <t>CoStep2WalkwayT10</t>
  </si>
  <si>
    <t>CoStep2WalkwayT11</t>
  </si>
  <si>
    <t>CoStep2WalkwayT12</t>
  </si>
  <si>
    <t>CoStep2WalkwayT13</t>
  </si>
  <si>
    <t>CoStep2WalkwayT14</t>
  </si>
  <si>
    <t>CoStep2WalkwayT15</t>
  </si>
  <si>
    <t>CoStep2WalkwayT16</t>
  </si>
  <si>
    <t>CoStep2WalkwayT17</t>
  </si>
  <si>
    <t>CoStep2WalkwayT18</t>
  </si>
  <si>
    <t>CoStep2WalkwayT19</t>
  </si>
  <si>
    <t>CoStep2WalkwayT20</t>
  </si>
  <si>
    <t>CoStep3WalkwayT1</t>
  </si>
  <si>
    <t>CoStep3WalkwayT2</t>
  </si>
  <si>
    <t>CoStep3WalkwayT3</t>
  </si>
  <si>
    <t>CoStep3WalkwayT4</t>
  </si>
  <si>
    <t>CoStep3WalkwayT5</t>
  </si>
  <si>
    <t>CoStep3WalkwayT6</t>
  </si>
  <si>
    <t>CoStep3WalkwayT7</t>
  </si>
  <si>
    <t>CoStep3WalkwayT8</t>
  </si>
  <si>
    <t>CoStep3WalkwayT9</t>
  </si>
  <si>
    <t>CoStep3WalkwayT10</t>
  </si>
  <si>
    <t>CoStep3WalkwayT11</t>
  </si>
  <si>
    <t>CoStep3WalkwayT12</t>
  </si>
  <si>
    <t>CoStep3WalkwayT13</t>
  </si>
  <si>
    <t>CoStep3WalkwayT14</t>
  </si>
  <si>
    <t>CoStep3WalkwayT15</t>
  </si>
  <si>
    <t>CoStep3WalkwayT16</t>
  </si>
  <si>
    <t>CoStep3WalkwayT17</t>
  </si>
  <si>
    <t>CoStep3WalkwayT18</t>
  </si>
  <si>
    <t>CoStep3WalkwayT19</t>
  </si>
  <si>
    <t>CoStep3WalkwayT20</t>
  </si>
  <si>
    <t>W</t>
  </si>
  <si>
    <t>W30</t>
  </si>
  <si>
    <t>Moving</t>
  </si>
  <si>
    <t>Color</t>
  </si>
  <si>
    <t>Step 4</t>
  </si>
  <si>
    <t>Step 5</t>
  </si>
  <si>
    <t>Step 6</t>
  </si>
  <si>
    <t>Step 7</t>
  </si>
  <si>
    <t>Step 8</t>
  </si>
  <si>
    <t>Step 9</t>
  </si>
  <si>
    <t>Step 10</t>
  </si>
  <si>
    <t>Marker heenweg slecht te meten vanwege afstand tot matrixlijn.</t>
  </si>
  <si>
    <t>Stride 3</t>
  </si>
  <si>
    <t>Stride 4</t>
  </si>
  <si>
    <t>Stride 5</t>
  </si>
  <si>
    <t>Stride 6</t>
  </si>
  <si>
    <t>Stride 7</t>
  </si>
  <si>
    <t>Stride 8</t>
  </si>
  <si>
    <t>Stride 9</t>
  </si>
  <si>
    <t>StepTime</t>
  </si>
  <si>
    <t>DoubleSupportTime</t>
  </si>
  <si>
    <t>StanceTime</t>
  </si>
  <si>
    <t>CoStep1ColorT1</t>
  </si>
  <si>
    <t>CoStep2ColorT1</t>
  </si>
  <si>
    <t>CoStep3ColorT1</t>
  </si>
  <si>
    <t>CoStep4ColorT1</t>
  </si>
  <si>
    <t>CoStep4StepLengthT1</t>
  </si>
  <si>
    <t>CoStep4StepTimeT1</t>
  </si>
  <si>
    <t>CoStep4DoubleSupportTimeT1</t>
  </si>
  <si>
    <t>CoStep4StanceTimeT1</t>
  </si>
  <si>
    <t>CoStep5ColorT1</t>
  </si>
  <si>
    <t>CoStep5StepLengthT1</t>
  </si>
  <si>
    <t>CoStep5StepTimeT1</t>
  </si>
  <si>
    <t>CoStep5DoubleSupportTimeT1</t>
  </si>
  <si>
    <t>CoStep5StanceTimeT1</t>
  </si>
  <si>
    <t>CoStep6ColorT1</t>
  </si>
  <si>
    <t>CoStep6StepLengthT1</t>
  </si>
  <si>
    <t>CoStep6StepTimeT1</t>
  </si>
  <si>
    <t>CoStep6DoubleSupportTimeT1</t>
  </si>
  <si>
    <t>CoStep6StanceTimeT1</t>
  </si>
  <si>
    <t>CoStep7ColorT1</t>
  </si>
  <si>
    <t>CoStep7StepLengthT1</t>
  </si>
  <si>
    <t>CoStep7StepTimeT1</t>
  </si>
  <si>
    <t>CoStep7DoubleSupportTimeT1</t>
  </si>
  <si>
    <t>CoStep7StanceTimeT1</t>
  </si>
  <si>
    <t>CoStep8ColorT1</t>
  </si>
  <si>
    <t>CoStep8StepLengthT1</t>
  </si>
  <si>
    <t>CoStep8StepTimeT1</t>
  </si>
  <si>
    <t>CoStep8DoubleSupportTimeT1</t>
  </si>
  <si>
    <t>CoStep8StanceTimeT1</t>
  </si>
  <si>
    <t>CoStep9ColorT1</t>
  </si>
  <si>
    <t>CoStep9StepLengthT1</t>
  </si>
  <si>
    <t>CoStep9StepTimeT1</t>
  </si>
  <si>
    <t>CoStep9DoubleSupportTimeT1</t>
  </si>
  <si>
    <t>CoStep9StanceTimeT1</t>
  </si>
  <si>
    <t>CoStep10ColorT1</t>
  </si>
  <si>
    <t>CoStep10StepLengthT1</t>
  </si>
  <si>
    <t>CoStep10StepTimeT1</t>
  </si>
  <si>
    <t>CoStep10DoubleSupportTimeT1</t>
  </si>
  <si>
    <t>CoStep10StanceTimeT1</t>
  </si>
  <si>
    <t>CoStep1ColorT2</t>
  </si>
  <si>
    <t>CoStep2ColorT2</t>
  </si>
  <si>
    <t>CoStep3ColorT2</t>
  </si>
  <si>
    <t>CoStep4ColorT2</t>
  </si>
  <si>
    <t>CoStep4StepLengthT2</t>
  </si>
  <si>
    <t>CoStep4StepTimeT2</t>
  </si>
  <si>
    <t>CoStep4DoubleSupportTimeT2</t>
  </si>
  <si>
    <t>CoStep4StanceTimeT2</t>
  </si>
  <si>
    <t>CoStep5ColorT2</t>
  </si>
  <si>
    <t>CoStep5StepLengthT2</t>
  </si>
  <si>
    <t>CoStep5StepTimeT2</t>
  </si>
  <si>
    <t>CoStep5DoubleSupportTimeT2</t>
  </si>
  <si>
    <t>CoStep5StanceTimeT2</t>
  </si>
  <si>
    <t>CoStep6ColorT2</t>
  </si>
  <si>
    <t>CoStep6StepLengthT2</t>
  </si>
  <si>
    <t>CoStep6StepTimeT2</t>
  </si>
  <si>
    <t>CoStep6DoubleSupportTimeT2</t>
  </si>
  <si>
    <t>CoStep6StanceTimeT2</t>
  </si>
  <si>
    <t>CoStep7ColorT2</t>
  </si>
  <si>
    <t>CoStep7StepLengthT2</t>
  </si>
  <si>
    <t>CoStep7StepTimeT2</t>
  </si>
  <si>
    <t>CoStep7DoubleSupportTimeT2</t>
  </si>
  <si>
    <t>CoStep7StanceTimeT2</t>
  </si>
  <si>
    <t>CoStep8ColorT2</t>
  </si>
  <si>
    <t>CoStep8StepLengthT2</t>
  </si>
  <si>
    <t>CoStep8StepTimeT2</t>
  </si>
  <si>
    <t>CoStep8DoubleSupportTimeT2</t>
  </si>
  <si>
    <t>CoStep8StanceTimeT2</t>
  </si>
  <si>
    <t>CoStep9ColorT2</t>
  </si>
  <si>
    <t>CoStep9StepLengthT2</t>
  </si>
  <si>
    <t>CoStep9StepTimeT2</t>
  </si>
  <si>
    <t>CoStep9DoubleSupportTimeT2</t>
  </si>
  <si>
    <t>CoStep9StanceTimeT2</t>
  </si>
  <si>
    <t>CoStep10ColorT2</t>
  </si>
  <si>
    <t>CoStep10StepLengthT2</t>
  </si>
  <si>
    <t>CoStep10StepTimeT2</t>
  </si>
  <si>
    <t>CoStep10DoubleSupportTimeT2</t>
  </si>
  <si>
    <t>CoStep10StanceTimeT2</t>
  </si>
  <si>
    <t>CoStep1ColorT3</t>
  </si>
  <si>
    <t>CoStep2ColorT3</t>
  </si>
  <si>
    <t>CoStep3ColorT3</t>
  </si>
  <si>
    <t>CoStep4ColorT3</t>
  </si>
  <si>
    <t>CoStep4StepLengthT3</t>
  </si>
  <si>
    <t>CoStep4StepTimeT3</t>
  </si>
  <si>
    <t>CoStep4DoubleSupportTimeT3</t>
  </si>
  <si>
    <t>CoStep4StanceTimeT3</t>
  </si>
  <si>
    <t>CoStep5ColorT3</t>
  </si>
  <si>
    <t>CoStep5StepLengthT3</t>
  </si>
  <si>
    <t>CoStep5StepTimeT3</t>
  </si>
  <si>
    <t>CoStep5DoubleSupportTimeT3</t>
  </si>
  <si>
    <t>CoStep5StanceTimeT3</t>
  </si>
  <si>
    <t>CoStep6ColorT3</t>
  </si>
  <si>
    <t>CoStep6StepLengthT3</t>
  </si>
  <si>
    <t>CoStep6StepTimeT3</t>
  </si>
  <si>
    <t>CoStep6DoubleSupportTimeT3</t>
  </si>
  <si>
    <t>CoStep6StanceTimeT3</t>
  </si>
  <si>
    <t>CoStep7ColorT3</t>
  </si>
  <si>
    <t>CoStep7StepLengthT3</t>
  </si>
  <si>
    <t>CoStep7StepTimeT3</t>
  </si>
  <si>
    <t>CoStep7DoubleSupportTimeT3</t>
  </si>
  <si>
    <t>CoStep7StanceTimeT3</t>
  </si>
  <si>
    <t>CoStep8ColorT3</t>
  </si>
  <si>
    <t>CoStep8StepLengthT3</t>
  </si>
  <si>
    <t>CoStep8StepTimeT3</t>
  </si>
  <si>
    <t>CoStep8DoubleSupportTimeT3</t>
  </si>
  <si>
    <t>CoStep8StanceTimeT3</t>
  </si>
  <si>
    <t>CoStep9ColorT3</t>
  </si>
  <si>
    <t>CoStep9StepLengthT3</t>
  </si>
  <si>
    <t>CoStep9StepTimeT3</t>
  </si>
  <si>
    <t>CoStep9DoubleSupportTimeT3</t>
  </si>
  <si>
    <t>CoStep9StanceTimeT3</t>
  </si>
  <si>
    <t>CoStep10ColorT3</t>
  </si>
  <si>
    <t>CoStep10StepLengthT3</t>
  </si>
  <si>
    <t>CoStep10StepTimeT3</t>
  </si>
  <si>
    <t>CoStep10DoubleSupportTimeT3</t>
  </si>
  <si>
    <t>CoStep10StanceTimeT3</t>
  </si>
  <si>
    <t>CoStep1ColorT4</t>
  </si>
  <si>
    <t>CoStep2ColorT4</t>
  </si>
  <si>
    <t>CoStep3ColorT4</t>
  </si>
  <si>
    <t>CoStep4ColorT4</t>
  </si>
  <si>
    <t>CoStep4StepLengthT4</t>
  </si>
  <si>
    <t>CoStep4StepTimeT4</t>
  </si>
  <si>
    <t>CoStep4DoubleSupportTimeT4</t>
  </si>
  <si>
    <t>CoStep4StanceTimeT4</t>
  </si>
  <si>
    <t>CoStep5ColorT4</t>
  </si>
  <si>
    <t>CoStep5StepLengthT4</t>
  </si>
  <si>
    <t>CoStep5StepTimeT4</t>
  </si>
  <si>
    <t>CoStep5DoubleSupportTimeT4</t>
  </si>
  <si>
    <t>CoStep5StanceTimeT4</t>
  </si>
  <si>
    <t>CoStep6ColorT4</t>
  </si>
  <si>
    <t>CoStep6StepLengthT4</t>
  </si>
  <si>
    <t>CoStep6StepTimeT4</t>
  </si>
  <si>
    <t>CoStep6DoubleSupportTimeT4</t>
  </si>
  <si>
    <t>CoStep6StanceTimeT4</t>
  </si>
  <si>
    <t>CoStep7ColorT4</t>
  </si>
  <si>
    <t>CoStep7StepLengthT4</t>
  </si>
  <si>
    <t>CoStep7StepTimeT4</t>
  </si>
  <si>
    <t>CoStep7DoubleSupportTimeT4</t>
  </si>
  <si>
    <t>CoStep7StanceTimeT4</t>
  </si>
  <si>
    <t>CoStep8ColorT4</t>
  </si>
  <si>
    <t>CoStep8StepLengthT4</t>
  </si>
  <si>
    <t>CoStep8StepTimeT4</t>
  </si>
  <si>
    <t>CoStep8DoubleSupportTimeT4</t>
  </si>
  <si>
    <t>CoStep8StanceTimeT4</t>
  </si>
  <si>
    <t>CoStep9ColorT4</t>
  </si>
  <si>
    <t>CoStep9StepLengthT4</t>
  </si>
  <si>
    <t>CoStep9StepTimeT4</t>
  </si>
  <si>
    <t>CoStep9DoubleSupportTimeT4</t>
  </si>
  <si>
    <t>CoStep9StanceTimeT4</t>
  </si>
  <si>
    <t>CoStep10ColorT4</t>
  </si>
  <si>
    <t>CoStep10StepLengthT4</t>
  </si>
  <si>
    <t>CoStep10StepTimeT4</t>
  </si>
  <si>
    <t>CoStep10DoubleSupportTimeT4</t>
  </si>
  <si>
    <t>CoStep10StanceTimeT4</t>
  </si>
  <si>
    <t>CoStep1ColorT5</t>
  </si>
  <si>
    <t>CoStep2ColorT5</t>
  </si>
  <si>
    <t>CoStep3ColorT5</t>
  </si>
  <si>
    <t>CoStep4ColorT5</t>
  </si>
  <si>
    <t>CoStep4StepLengthT5</t>
  </si>
  <si>
    <t>CoStep4StepTimeT5</t>
  </si>
  <si>
    <t>CoStep4DoubleSupportTimeT5</t>
  </si>
  <si>
    <t>CoStep4StanceTimeT5</t>
  </si>
  <si>
    <t>CoStep5ColorT5</t>
  </si>
  <si>
    <t>CoStep5StepLengthT5</t>
  </si>
  <si>
    <t>CoStep5StepTimeT5</t>
  </si>
  <si>
    <t>CoStep5DoubleSupportTimeT5</t>
  </si>
  <si>
    <t>CoStep5StanceTimeT5</t>
  </si>
  <si>
    <t>CoStep6ColorT5</t>
  </si>
  <si>
    <t>CoStep6StepLengthT5</t>
  </si>
  <si>
    <t>CoStep6StepTimeT5</t>
  </si>
  <si>
    <t>CoStep6DoubleSupportTimeT5</t>
  </si>
  <si>
    <t>CoStep6StanceTimeT5</t>
  </si>
  <si>
    <t>CoStep7ColorT5</t>
  </si>
  <si>
    <t>CoStep7StepLengthT5</t>
  </si>
  <si>
    <t>CoStep7StepTimeT5</t>
  </si>
  <si>
    <t>CoStep7DoubleSupportTimeT5</t>
  </si>
  <si>
    <t>CoStep7StanceTimeT5</t>
  </si>
  <si>
    <t>CoStep8ColorT5</t>
  </si>
  <si>
    <t>CoStep8StepLengthT5</t>
  </si>
  <si>
    <t>CoStep8StepTimeT5</t>
  </si>
  <si>
    <t>CoStep8DoubleSupportTimeT5</t>
  </si>
  <si>
    <t>CoStep8StanceTimeT5</t>
  </si>
  <si>
    <t>CoStep9ColorT5</t>
  </si>
  <si>
    <t>CoStep9StepLengthT5</t>
  </si>
  <si>
    <t>CoStep9StepTimeT5</t>
  </si>
  <si>
    <t>CoStep9DoubleSupportTimeT5</t>
  </si>
  <si>
    <t>CoStep9StanceTimeT5</t>
  </si>
  <si>
    <t>CoStep10ColorT5</t>
  </si>
  <si>
    <t>CoStep10StepLengthT5</t>
  </si>
  <si>
    <t>CoStep10StepTimeT5</t>
  </si>
  <si>
    <t>CoStep10DoubleSupportTimeT5</t>
  </si>
  <si>
    <t>CoStep10StanceTimeT5</t>
  </si>
  <si>
    <t>CoStep1ColorT6</t>
  </si>
  <si>
    <t>CoStep2ColorT6</t>
  </si>
  <si>
    <t>CoStep3ColorT6</t>
  </si>
  <si>
    <t>CoStep4ColorT6</t>
  </si>
  <si>
    <t>CoStep4StepLengthT6</t>
  </si>
  <si>
    <t>CoStep4StepTimeT6</t>
  </si>
  <si>
    <t>CoStep4DoubleSupportTimeT6</t>
  </si>
  <si>
    <t>CoStep4StanceTimeT6</t>
  </si>
  <si>
    <t>CoStep5ColorT6</t>
  </si>
  <si>
    <t>CoStep5StepLengthT6</t>
  </si>
  <si>
    <t>CoStep5StepTimeT6</t>
  </si>
  <si>
    <t>CoStep5DoubleSupportTimeT6</t>
  </si>
  <si>
    <t>CoStep5StanceTimeT6</t>
  </si>
  <si>
    <t>CoStep6ColorT6</t>
  </si>
  <si>
    <t>CoStep6StepLengthT6</t>
  </si>
  <si>
    <t>CoStep6StepTimeT6</t>
  </si>
  <si>
    <t>CoStep6DoubleSupportTimeT6</t>
  </si>
  <si>
    <t>CoStep6StanceTimeT6</t>
  </si>
  <si>
    <t>CoStep7ColorT6</t>
  </si>
  <si>
    <t>CoStep7StepLengthT6</t>
  </si>
  <si>
    <t>CoStep7StepTimeT6</t>
  </si>
  <si>
    <t>CoStep7DoubleSupportTimeT6</t>
  </si>
  <si>
    <t>CoStep7StanceTimeT6</t>
  </si>
  <si>
    <t>CoStep8ColorT6</t>
  </si>
  <si>
    <t>CoStep8StepLengthT6</t>
  </si>
  <si>
    <t>CoStep8StepTimeT6</t>
  </si>
  <si>
    <t>CoStep8DoubleSupportTimeT6</t>
  </si>
  <si>
    <t>CoStep8StanceTimeT6</t>
  </si>
  <si>
    <t>CoStep9ColorT6</t>
  </si>
  <si>
    <t>CoStep9StepLengthT6</t>
  </si>
  <si>
    <t>CoStep9StepTimeT6</t>
  </si>
  <si>
    <t>CoStep9DoubleSupportTimeT6</t>
  </si>
  <si>
    <t>CoStep9StanceTimeT6</t>
  </si>
  <si>
    <t>CoStep10ColorT6</t>
  </si>
  <si>
    <t>CoStep10StepLengthT6</t>
  </si>
  <si>
    <t>CoStep10StepTimeT6</t>
  </si>
  <si>
    <t>CoStep10DoubleSupportTimeT6</t>
  </si>
  <si>
    <t>CoStep10StanceTimeT6</t>
  </si>
  <si>
    <t>CoStep1ColorT7</t>
  </si>
  <si>
    <t>CoStep2ColorT7</t>
  </si>
  <si>
    <t>CoStep3ColorT7</t>
  </si>
  <si>
    <t>CoStep4ColorT7</t>
  </si>
  <si>
    <t>CoStep4StepLengthT7</t>
  </si>
  <si>
    <t>CoStep4StepTimeT7</t>
  </si>
  <si>
    <t>CoStep4DoubleSupportTimeT7</t>
  </si>
  <si>
    <t>CoStep4StanceTimeT7</t>
  </si>
  <si>
    <t>CoStep5ColorT7</t>
  </si>
  <si>
    <t>CoStep5StepLengthT7</t>
  </si>
  <si>
    <t>CoStep5StepTimeT7</t>
  </si>
  <si>
    <t>CoStep5DoubleSupportTimeT7</t>
  </si>
  <si>
    <t>CoStep5StanceTimeT7</t>
  </si>
  <si>
    <t>CoStep6ColorT7</t>
  </si>
  <si>
    <t>CoStep6StepLengthT7</t>
  </si>
  <si>
    <t>CoStep6StepTimeT7</t>
  </si>
  <si>
    <t>CoStep6DoubleSupportTimeT7</t>
  </si>
  <si>
    <t>CoStep6StanceTimeT7</t>
  </si>
  <si>
    <t>CoStep7ColorT7</t>
  </si>
  <si>
    <t>CoStep7StepLengthT7</t>
  </si>
  <si>
    <t>CoStep7StepTimeT7</t>
  </si>
  <si>
    <t>CoStep7DoubleSupportTimeT7</t>
  </si>
  <si>
    <t>CoStep7StanceTimeT7</t>
  </si>
  <si>
    <t>CoStep8ColorT7</t>
  </si>
  <si>
    <t>CoStep8StepLengthT7</t>
  </si>
  <si>
    <t>CoStep8StepTimeT7</t>
  </si>
  <si>
    <t>CoStep8DoubleSupportTimeT7</t>
  </si>
  <si>
    <t>CoStep8StanceTimeT7</t>
  </si>
  <si>
    <t>CoStep9ColorT7</t>
  </si>
  <si>
    <t>CoStep9StepLengthT7</t>
  </si>
  <si>
    <t>CoStep9StepTimeT7</t>
  </si>
  <si>
    <t>CoStep9DoubleSupportTimeT7</t>
  </si>
  <si>
    <t>CoStep9StanceTimeT7</t>
  </si>
  <si>
    <t>CoStep10ColorT7</t>
  </si>
  <si>
    <t>CoStep10StepLengthT7</t>
  </si>
  <si>
    <t>CoStep10StepTimeT7</t>
  </si>
  <si>
    <t>CoStep10DoubleSupportTimeT7</t>
  </si>
  <si>
    <t>CoStep10StanceTimeT7</t>
  </si>
  <si>
    <t>CoStep1ColorT8</t>
  </si>
  <si>
    <t>CoStep2ColorT8</t>
  </si>
  <si>
    <t>CoStep3ColorT8</t>
  </si>
  <si>
    <t>CoStep4ColorT8</t>
  </si>
  <si>
    <t>CoStep4StepLengthT8</t>
  </si>
  <si>
    <t>CoStep4StepTimeT8</t>
  </si>
  <si>
    <t>CoStep4DoubleSupportTimeT8</t>
  </si>
  <si>
    <t>CoStep4StanceTimeT8</t>
  </si>
  <si>
    <t>CoStep5ColorT8</t>
  </si>
  <si>
    <t>CoStep5StepLengthT8</t>
  </si>
  <si>
    <t>CoStep5StepTimeT8</t>
  </si>
  <si>
    <t>CoStep5DoubleSupportTimeT8</t>
  </si>
  <si>
    <t>CoStep5StanceTimeT8</t>
  </si>
  <si>
    <t>CoStep6ColorT8</t>
  </si>
  <si>
    <t>CoStep6StepLengthT8</t>
  </si>
  <si>
    <t>CoStep6StepTimeT8</t>
  </si>
  <si>
    <t>CoStep6DoubleSupportTimeT8</t>
  </si>
  <si>
    <t>CoStep6StanceTimeT8</t>
  </si>
  <si>
    <t>CoStep7ColorT8</t>
  </si>
  <si>
    <t>CoStep7StepLengthT8</t>
  </si>
  <si>
    <t>CoStep7StepTimeT8</t>
  </si>
  <si>
    <t>CoStep7DoubleSupportTimeT8</t>
  </si>
  <si>
    <t>CoStep7StanceTimeT8</t>
  </si>
  <si>
    <t>CoStep8ColorT8</t>
  </si>
  <si>
    <t>CoStep8StepLengthT8</t>
  </si>
  <si>
    <t>CoStep8StepTimeT8</t>
  </si>
  <si>
    <t>CoStep8DoubleSupportTimeT8</t>
  </si>
  <si>
    <t>CoStep8StanceTimeT8</t>
  </si>
  <si>
    <t>CoStep9ColorT8</t>
  </si>
  <si>
    <t>CoStep9StepLengthT8</t>
  </si>
  <si>
    <t>CoStep9StepTimeT8</t>
  </si>
  <si>
    <t>CoStep9DoubleSupportTimeT8</t>
  </si>
  <si>
    <t>CoStep9StanceTimeT8</t>
  </si>
  <si>
    <t>CoStep10ColorT8</t>
  </si>
  <si>
    <t>CoStep10StepLengthT8</t>
  </si>
  <si>
    <t>CoStep10StepTimeT8</t>
  </si>
  <si>
    <t>CoStep10DoubleSupportTimeT8</t>
  </si>
  <si>
    <t>CoStep10StanceTimeT8</t>
  </si>
  <si>
    <t>CoStep1ColorT9</t>
  </si>
  <si>
    <t>CoStep2ColorT9</t>
  </si>
  <si>
    <t>CoStep3ColorT9</t>
  </si>
  <si>
    <t>CoStep4ColorT9</t>
  </si>
  <si>
    <t>CoStep4StepLengthT9</t>
  </si>
  <si>
    <t>CoStep4StepTimeT9</t>
  </si>
  <si>
    <t>CoStep4DoubleSupportTimeT9</t>
  </si>
  <si>
    <t>CoStep4StanceTimeT9</t>
  </si>
  <si>
    <t>CoStep5ColorT9</t>
  </si>
  <si>
    <t>CoStep5StepLengthT9</t>
  </si>
  <si>
    <t>CoStep5StepTimeT9</t>
  </si>
  <si>
    <t>CoStep5DoubleSupportTimeT9</t>
  </si>
  <si>
    <t>CoStep5StanceTimeT9</t>
  </si>
  <si>
    <t>CoStep6ColorT9</t>
  </si>
  <si>
    <t>CoStep6StepLengthT9</t>
  </si>
  <si>
    <t>CoStep6StepTimeT9</t>
  </si>
  <si>
    <t>CoStep6DoubleSupportTimeT9</t>
  </si>
  <si>
    <t>CoStep6StanceTimeT9</t>
  </si>
  <si>
    <t>CoStep7ColorT9</t>
  </si>
  <si>
    <t>CoStep7StepLengthT9</t>
  </si>
  <si>
    <t>CoStep7StepTimeT9</t>
  </si>
  <si>
    <t>CoStep7DoubleSupportTimeT9</t>
  </si>
  <si>
    <t>CoStep7StanceTimeT9</t>
  </si>
  <si>
    <t>CoStep8ColorT9</t>
  </si>
  <si>
    <t>CoStep8StepLengthT9</t>
  </si>
  <si>
    <t>CoStep8StepTimeT9</t>
  </si>
  <si>
    <t>CoStep8DoubleSupportTimeT9</t>
  </si>
  <si>
    <t>CoStep8StanceTimeT9</t>
  </si>
  <si>
    <t>CoStep9ColorT9</t>
  </si>
  <si>
    <t>CoStep9StepLengthT9</t>
  </si>
  <si>
    <t>CoStep9StepTimeT9</t>
  </si>
  <si>
    <t>CoStep9DoubleSupportTimeT9</t>
  </si>
  <si>
    <t>CoStep9StanceTimeT9</t>
  </si>
  <si>
    <t>CoStep10ColorT9</t>
  </si>
  <si>
    <t>CoStep10StepLengthT9</t>
  </si>
  <si>
    <t>CoStep10StepTimeT9</t>
  </si>
  <si>
    <t>CoStep10DoubleSupportTimeT9</t>
  </si>
  <si>
    <t>CoStep10StanceTimeT9</t>
  </si>
  <si>
    <t>CoStep1ColorT10</t>
  </si>
  <si>
    <t>CoStep2ColorT10</t>
  </si>
  <si>
    <t>CoStep3ColorT10</t>
  </si>
  <si>
    <t>CoStep4ColorT10</t>
  </si>
  <si>
    <t>CoStep4StepLengthT10</t>
  </si>
  <si>
    <t>CoStep4StepTimeT10</t>
  </si>
  <si>
    <t>CoStep4DoubleSupportTimeT10</t>
  </si>
  <si>
    <t>CoStep4StanceTimeT10</t>
  </si>
  <si>
    <t>CoStep5ColorT10</t>
  </si>
  <si>
    <t>CoStep5StepLengthT10</t>
  </si>
  <si>
    <t>CoStep5StepTimeT10</t>
  </si>
  <si>
    <t>CoStep5DoubleSupportTimeT10</t>
  </si>
  <si>
    <t>CoStep5StanceTimeT10</t>
  </si>
  <si>
    <t>CoStep6ColorT10</t>
  </si>
  <si>
    <t>CoStep6StepLengthT10</t>
  </si>
  <si>
    <t>CoStep6StepTimeT10</t>
  </si>
  <si>
    <t>CoStep6DoubleSupportTimeT10</t>
  </si>
  <si>
    <t>CoStep6StanceTimeT10</t>
  </si>
  <si>
    <t>CoStep7ColorT10</t>
  </si>
  <si>
    <t>CoStep7StepLengthT10</t>
  </si>
  <si>
    <t>CoStep7StepTimeT10</t>
  </si>
  <si>
    <t>CoStep7DoubleSupportTimeT10</t>
  </si>
  <si>
    <t>CoStep7StanceTimeT10</t>
  </si>
  <si>
    <t>CoStep8ColorT10</t>
  </si>
  <si>
    <t>CoStep8StepLengthT10</t>
  </si>
  <si>
    <t>CoStep8StepTimeT10</t>
  </si>
  <si>
    <t>CoStep8DoubleSupportTimeT10</t>
  </si>
  <si>
    <t>CoStep8StanceTimeT10</t>
  </si>
  <si>
    <t>CoStep9ColorT10</t>
  </si>
  <si>
    <t>CoStep9StepLengthT10</t>
  </si>
  <si>
    <t>CoStep9StepTimeT10</t>
  </si>
  <si>
    <t>CoStep9DoubleSupportTimeT10</t>
  </si>
  <si>
    <t>CoStep9StanceTimeT10</t>
  </si>
  <si>
    <t>CoStep10ColorT10</t>
  </si>
  <si>
    <t>CoStep10StepLengthT10</t>
  </si>
  <si>
    <t>CoStep10StepTimeT10</t>
  </si>
  <si>
    <t>CoStep10DoubleSupportTimeT10</t>
  </si>
  <si>
    <t>CoStep10StanceTimeT10</t>
  </si>
  <si>
    <t>CoStep1ColorT11</t>
  </si>
  <si>
    <t>CoStep2ColorT11</t>
  </si>
  <si>
    <t>CoStep3ColorT11</t>
  </si>
  <si>
    <t>CoStep4ColorT11</t>
  </si>
  <si>
    <t>CoStep4StepLengthT11</t>
  </si>
  <si>
    <t>CoStep4StepTimeT11</t>
  </si>
  <si>
    <t>CoStep4DoubleSupportTimeT11</t>
  </si>
  <si>
    <t>CoStep4StanceTimeT11</t>
  </si>
  <si>
    <t>CoStep5ColorT11</t>
  </si>
  <si>
    <t>CoStep5StepLengthT11</t>
  </si>
  <si>
    <t>CoStep5StepTimeT11</t>
  </si>
  <si>
    <t>CoStep5DoubleSupportTimeT11</t>
  </si>
  <si>
    <t>CoStep5StanceTimeT11</t>
  </si>
  <si>
    <t>CoStep6ColorT11</t>
  </si>
  <si>
    <t>CoStep6StepLengthT11</t>
  </si>
  <si>
    <t>CoStep6StepTimeT11</t>
  </si>
  <si>
    <t>CoStep6DoubleSupportTimeT11</t>
  </si>
  <si>
    <t>CoStep6StanceTimeT11</t>
  </si>
  <si>
    <t>CoStep7ColorT11</t>
  </si>
  <si>
    <t>CoStep7StepLengthT11</t>
  </si>
  <si>
    <t>CoStep7StepTimeT11</t>
  </si>
  <si>
    <t>CoStep7DoubleSupportTimeT11</t>
  </si>
  <si>
    <t>CoStep7StanceTimeT11</t>
  </si>
  <si>
    <t>CoStep8ColorT11</t>
  </si>
  <si>
    <t>CoStep8StepLengthT11</t>
  </si>
  <si>
    <t>CoStep8StepTimeT11</t>
  </si>
  <si>
    <t>CoStep8DoubleSupportTimeT11</t>
  </si>
  <si>
    <t>CoStep8StanceTimeT11</t>
  </si>
  <si>
    <t>CoStep9ColorT11</t>
  </si>
  <si>
    <t>CoStep9StepLengthT11</t>
  </si>
  <si>
    <t>CoStep9StepTimeT11</t>
  </si>
  <si>
    <t>CoStep9DoubleSupportTimeT11</t>
  </si>
  <si>
    <t>CoStep9StanceTimeT11</t>
  </si>
  <si>
    <t>CoStep10ColorT11</t>
  </si>
  <si>
    <t>CoStep10StepLengthT11</t>
  </si>
  <si>
    <t>CoStep10StepTimeT11</t>
  </si>
  <si>
    <t>CoStep10DoubleSupportTimeT11</t>
  </si>
  <si>
    <t>CoStep10StanceTimeT11</t>
  </si>
  <si>
    <t>CoStep1ColorT12</t>
  </si>
  <si>
    <t>CoStep2ColorT12</t>
  </si>
  <si>
    <t>CoStep3ColorT12</t>
  </si>
  <si>
    <t>CoStep4ColorT12</t>
  </si>
  <si>
    <t>CoStep4StepLengthT12</t>
  </si>
  <si>
    <t>CoStep4StepTimeT12</t>
  </si>
  <si>
    <t>CoStep4DoubleSupportTimeT12</t>
  </si>
  <si>
    <t>CoStep4StanceTimeT12</t>
  </si>
  <si>
    <t>CoStep5ColorT12</t>
  </si>
  <si>
    <t>CoStep5StepLengthT12</t>
  </si>
  <si>
    <t>CoStep5StepTimeT12</t>
  </si>
  <si>
    <t>CoStep5DoubleSupportTimeT12</t>
  </si>
  <si>
    <t>CoStep5StanceTimeT12</t>
  </si>
  <si>
    <t>CoStep6ColorT12</t>
  </si>
  <si>
    <t>CoStep6StepLengthT12</t>
  </si>
  <si>
    <t>CoStep6StepTimeT12</t>
  </si>
  <si>
    <t>CoStep6DoubleSupportTimeT12</t>
  </si>
  <si>
    <t>CoStep6StanceTimeT12</t>
  </si>
  <si>
    <t>CoStep7ColorT12</t>
  </si>
  <si>
    <t>CoStep7StepLengthT12</t>
  </si>
  <si>
    <t>CoStep7StepTimeT12</t>
  </si>
  <si>
    <t>CoStep7DoubleSupportTimeT12</t>
  </si>
  <si>
    <t>CoStep7StanceTimeT12</t>
  </si>
  <si>
    <t>CoStep8ColorT12</t>
  </si>
  <si>
    <t>CoStep8StepLengthT12</t>
  </si>
  <si>
    <t>CoStep8StepTimeT12</t>
  </si>
  <si>
    <t>CoStep8DoubleSupportTimeT12</t>
  </si>
  <si>
    <t>CoStep8StanceTimeT12</t>
  </si>
  <si>
    <t>CoStep9ColorT12</t>
  </si>
  <si>
    <t>CoStep9StepLengthT12</t>
  </si>
  <si>
    <t>CoStep9StepTimeT12</t>
  </si>
  <si>
    <t>CoStep9DoubleSupportTimeT12</t>
  </si>
  <si>
    <t>CoStep9StanceTimeT12</t>
  </si>
  <si>
    <t>CoStep10ColorT12</t>
  </si>
  <si>
    <t>CoStep10StepLengthT12</t>
  </si>
  <si>
    <t>CoStep10StepTimeT12</t>
  </si>
  <si>
    <t>CoStep10DoubleSupportTimeT12</t>
  </si>
  <si>
    <t>CoStep10StanceTimeT12</t>
  </si>
  <si>
    <t>CoStep1ColorT13</t>
  </si>
  <si>
    <t>CoStep2ColorT13</t>
  </si>
  <si>
    <t>CoStep3ColorT13</t>
  </si>
  <si>
    <t>CoStep4ColorT13</t>
  </si>
  <si>
    <t>CoStep4StepLengthT13</t>
  </si>
  <si>
    <t>CoStep4StepTimeT13</t>
  </si>
  <si>
    <t>CoStep4DoubleSupportTimeT13</t>
  </si>
  <si>
    <t>CoStep4StanceTimeT13</t>
  </si>
  <si>
    <t>CoStep5ColorT13</t>
  </si>
  <si>
    <t>CoStep5StepLengthT13</t>
  </si>
  <si>
    <t>CoStep5StepTimeT13</t>
  </si>
  <si>
    <t>CoStep5DoubleSupportTimeT13</t>
  </si>
  <si>
    <t>CoStep5StanceTimeT13</t>
  </si>
  <si>
    <t>CoStep6ColorT13</t>
  </si>
  <si>
    <t>CoStep6StepLengthT13</t>
  </si>
  <si>
    <t>CoStep6StepTimeT13</t>
  </si>
  <si>
    <t>CoStep6DoubleSupportTimeT13</t>
  </si>
  <si>
    <t>CoStep6StanceTimeT13</t>
  </si>
  <si>
    <t>CoStep7ColorT13</t>
  </si>
  <si>
    <t>CoStep7StepLengthT13</t>
  </si>
  <si>
    <t>CoStep7StepTimeT13</t>
  </si>
  <si>
    <t>CoStep7DoubleSupportTimeT13</t>
  </si>
  <si>
    <t>CoStep7StanceTimeT13</t>
  </si>
  <si>
    <t>CoStep8ColorT13</t>
  </si>
  <si>
    <t>CoStep8StepLengthT13</t>
  </si>
  <si>
    <t>CoStep8StepTimeT13</t>
  </si>
  <si>
    <t>CoStep8DoubleSupportTimeT13</t>
  </si>
  <si>
    <t>CoStep8StanceTimeT13</t>
  </si>
  <si>
    <t>CoStep9ColorT13</t>
  </si>
  <si>
    <t>CoStep9StepLengthT13</t>
  </si>
  <si>
    <t>CoStep9StepTimeT13</t>
  </si>
  <si>
    <t>CoStep9DoubleSupportTimeT13</t>
  </si>
  <si>
    <t>CoStep9StanceTimeT13</t>
  </si>
  <si>
    <t>CoStep10ColorT13</t>
  </si>
  <si>
    <t>CoStep10StepLengthT13</t>
  </si>
  <si>
    <t>CoStep10StepTimeT13</t>
  </si>
  <si>
    <t>CoStep10DoubleSupportTimeT13</t>
  </si>
  <si>
    <t>CoStep10StanceTimeT13</t>
  </si>
  <si>
    <t>CoStep1ColorT14</t>
  </si>
  <si>
    <t>CoStep2ColorT14</t>
  </si>
  <si>
    <t>CoStep3ColorT14</t>
  </si>
  <si>
    <t>CoStep4ColorT14</t>
  </si>
  <si>
    <t>CoStep4StepLengthT14</t>
  </si>
  <si>
    <t>CoStep4StepTimeT14</t>
  </si>
  <si>
    <t>CoStep4DoubleSupportTimeT14</t>
  </si>
  <si>
    <t>CoStep4StanceTimeT14</t>
  </si>
  <si>
    <t>CoStep5ColorT14</t>
  </si>
  <si>
    <t>CoStep5StepLengthT14</t>
  </si>
  <si>
    <t>CoStep5StepTimeT14</t>
  </si>
  <si>
    <t>CoStep5DoubleSupportTimeT14</t>
  </si>
  <si>
    <t>CoStep5StanceTimeT14</t>
  </si>
  <si>
    <t>CoStep6ColorT14</t>
  </si>
  <si>
    <t>CoStep6StepLengthT14</t>
  </si>
  <si>
    <t>CoStep6StepTimeT14</t>
  </si>
  <si>
    <t>CoStep6DoubleSupportTimeT14</t>
  </si>
  <si>
    <t>CoStep6StanceTimeT14</t>
  </si>
  <si>
    <t>CoStep7ColorT14</t>
  </si>
  <si>
    <t>CoStep7StepLengthT14</t>
  </si>
  <si>
    <t>CoStep7StepTimeT14</t>
  </si>
  <si>
    <t>CoStep7DoubleSupportTimeT14</t>
  </si>
  <si>
    <t>CoStep7StanceTimeT14</t>
  </si>
  <si>
    <t>CoStep8ColorT14</t>
  </si>
  <si>
    <t>CoStep8StepLengthT14</t>
  </si>
  <si>
    <t>CoStep8StepTimeT14</t>
  </si>
  <si>
    <t>CoStep8DoubleSupportTimeT14</t>
  </si>
  <si>
    <t>CoStep8StanceTimeT14</t>
  </si>
  <si>
    <t>CoStep9ColorT14</t>
  </si>
  <si>
    <t>CoStep9StepLengthT14</t>
  </si>
  <si>
    <t>CoStep9StepTimeT14</t>
  </si>
  <si>
    <t>CoStep9DoubleSupportTimeT14</t>
  </si>
  <si>
    <t>CoStep9StanceTimeT14</t>
  </si>
  <si>
    <t>CoStep10ColorT14</t>
  </si>
  <si>
    <t>CoStep10StepLengthT14</t>
  </si>
  <si>
    <t>CoStep10StepTimeT14</t>
  </si>
  <si>
    <t>CoStep10DoubleSupportTimeT14</t>
  </si>
  <si>
    <t>CoStep10StanceTimeT14</t>
  </si>
  <si>
    <t>CoStep1ColorT15</t>
  </si>
  <si>
    <t>CoStep2ColorT15</t>
  </si>
  <si>
    <t>CoStep3ColorT15</t>
  </si>
  <si>
    <t>CoStep4ColorT15</t>
  </si>
  <si>
    <t>CoStep4StepLengthT15</t>
  </si>
  <si>
    <t>CoStep4StepTimeT15</t>
  </si>
  <si>
    <t>CoStep4DoubleSupportTimeT15</t>
  </si>
  <si>
    <t>CoStep4StanceTimeT15</t>
  </si>
  <si>
    <t>CoStep5ColorT15</t>
  </si>
  <si>
    <t>CoStep5StepLengthT15</t>
  </si>
  <si>
    <t>CoStep5StepTimeT15</t>
  </si>
  <si>
    <t>CoStep5DoubleSupportTimeT15</t>
  </si>
  <si>
    <t>CoStep5StanceTimeT15</t>
  </si>
  <si>
    <t>CoStep6ColorT15</t>
  </si>
  <si>
    <t>CoStep6StepLengthT15</t>
  </si>
  <si>
    <t>CoStep6StepTimeT15</t>
  </si>
  <si>
    <t>CoStep6DoubleSupportTimeT15</t>
  </si>
  <si>
    <t>CoStep6StanceTimeT15</t>
  </si>
  <si>
    <t>CoStep7ColorT15</t>
  </si>
  <si>
    <t>CoStep7StepLengthT15</t>
  </si>
  <si>
    <t>CoStep7StepTimeT15</t>
  </si>
  <si>
    <t>CoStep7DoubleSupportTimeT15</t>
  </si>
  <si>
    <t>CoStep7StanceTimeT15</t>
  </si>
  <si>
    <t>CoStep8ColorT15</t>
  </si>
  <si>
    <t>CoStep8StepLengthT15</t>
  </si>
  <si>
    <t>CoStep8StepTimeT15</t>
  </si>
  <si>
    <t>CoStep8DoubleSupportTimeT15</t>
  </si>
  <si>
    <t>CoStep8StanceTimeT15</t>
  </si>
  <si>
    <t>CoStep9ColorT15</t>
  </si>
  <si>
    <t>CoStep9StepLengthT15</t>
  </si>
  <si>
    <t>CoStep9StepTimeT15</t>
  </si>
  <si>
    <t>CoStep9DoubleSupportTimeT15</t>
  </si>
  <si>
    <t>CoStep9StanceTimeT15</t>
  </si>
  <si>
    <t>CoStep10ColorT15</t>
  </si>
  <si>
    <t>CoStep10StepLengthT15</t>
  </si>
  <si>
    <t>CoStep10StepTimeT15</t>
  </si>
  <si>
    <t>CoStep10DoubleSupportTimeT15</t>
  </si>
  <si>
    <t>CoStep10StanceTimeT15</t>
  </si>
  <si>
    <t>CoStep1ColorT16</t>
  </si>
  <si>
    <t>CoStep2ColorT16</t>
  </si>
  <si>
    <t>CoStep3ColorT16</t>
  </si>
  <si>
    <t>CoStep4ColorT16</t>
  </si>
  <si>
    <t>CoStep4StepLengthT16</t>
  </si>
  <si>
    <t>CoStep4StepTimeT16</t>
  </si>
  <si>
    <t>CoStep4DoubleSupportTimeT16</t>
  </si>
  <si>
    <t>CoStep4StanceTimeT16</t>
  </si>
  <si>
    <t>CoStep5ColorT16</t>
  </si>
  <si>
    <t>CoStep5StepLengthT16</t>
  </si>
  <si>
    <t>CoStep5StepTimeT16</t>
  </si>
  <si>
    <t>CoStep5DoubleSupportTimeT16</t>
  </si>
  <si>
    <t>CoStep5StanceTimeT16</t>
  </si>
  <si>
    <t>CoStep6ColorT16</t>
  </si>
  <si>
    <t>CoStep6StepLengthT16</t>
  </si>
  <si>
    <t>CoStep6StepTimeT16</t>
  </si>
  <si>
    <t>CoStep6DoubleSupportTimeT16</t>
  </si>
  <si>
    <t>CoStep6StanceTimeT16</t>
  </si>
  <si>
    <t>CoStep7ColorT16</t>
  </si>
  <si>
    <t>CoStep7StepLengthT16</t>
  </si>
  <si>
    <t>CoStep7StepTimeT16</t>
  </si>
  <si>
    <t>CoStep7DoubleSupportTimeT16</t>
  </si>
  <si>
    <t>CoStep7StanceTimeT16</t>
  </si>
  <si>
    <t>CoStep8ColorT16</t>
  </si>
  <si>
    <t>CoStep8StepLengthT16</t>
  </si>
  <si>
    <t>CoStep8StepTimeT16</t>
  </si>
  <si>
    <t>CoStep8DoubleSupportTimeT16</t>
  </si>
  <si>
    <t>CoStep8StanceTimeT16</t>
  </si>
  <si>
    <t>CoStep9ColorT16</t>
  </si>
  <si>
    <t>CoStep9StepLengthT16</t>
  </si>
  <si>
    <t>CoStep9StepTimeT16</t>
  </si>
  <si>
    <t>CoStep9DoubleSupportTimeT16</t>
  </si>
  <si>
    <t>CoStep9StanceTimeT16</t>
  </si>
  <si>
    <t>CoStep10ColorT16</t>
  </si>
  <si>
    <t>CoStep10StepLengthT16</t>
  </si>
  <si>
    <t>CoStep10StepTimeT16</t>
  </si>
  <si>
    <t>CoStep10DoubleSupportTimeT16</t>
  </si>
  <si>
    <t>CoStep10StanceTimeT16</t>
  </si>
  <si>
    <t>CoStep1ColorT17</t>
  </si>
  <si>
    <t>CoStep2ColorT17</t>
  </si>
  <si>
    <t>CoStep3ColorT17</t>
  </si>
  <si>
    <t>CoStep4ColorT17</t>
  </si>
  <si>
    <t>CoStep4StepLengthT17</t>
  </si>
  <si>
    <t>CoStep4StepTimeT17</t>
  </si>
  <si>
    <t>CoStep4DoubleSupportTimeT17</t>
  </si>
  <si>
    <t>CoStep4StanceTimeT17</t>
  </si>
  <si>
    <t>CoStep5ColorT17</t>
  </si>
  <si>
    <t>CoStep5StepLengthT17</t>
  </si>
  <si>
    <t>CoStep5StepTimeT17</t>
  </si>
  <si>
    <t>CoStep5DoubleSupportTimeT17</t>
  </si>
  <si>
    <t>CoStep5StanceTimeT17</t>
  </si>
  <si>
    <t>CoStep6ColorT17</t>
  </si>
  <si>
    <t>CoStep6StepLengthT17</t>
  </si>
  <si>
    <t>CoStep6StepTimeT17</t>
  </si>
  <si>
    <t>CoStep6DoubleSupportTimeT17</t>
  </si>
  <si>
    <t>CoStep6StanceTimeT17</t>
  </si>
  <si>
    <t>CoStep7ColorT17</t>
  </si>
  <si>
    <t>CoStep7StepLengthT17</t>
  </si>
  <si>
    <t>CoStep7StepTimeT17</t>
  </si>
  <si>
    <t>CoStep7DoubleSupportTimeT17</t>
  </si>
  <si>
    <t>CoStep7StanceTimeT17</t>
  </si>
  <si>
    <t>CoStep8ColorT17</t>
  </si>
  <si>
    <t>CoStep8StepLengthT17</t>
  </si>
  <si>
    <t>CoStep8StepTimeT17</t>
  </si>
  <si>
    <t>CoStep8DoubleSupportTimeT17</t>
  </si>
  <si>
    <t>CoStep8StanceTimeT17</t>
  </si>
  <si>
    <t>CoStep9ColorT17</t>
  </si>
  <si>
    <t>CoStep9StepLengthT17</t>
  </si>
  <si>
    <t>CoStep9StepTimeT17</t>
  </si>
  <si>
    <t>CoStep9DoubleSupportTimeT17</t>
  </si>
  <si>
    <t>CoStep9StanceTimeT17</t>
  </si>
  <si>
    <t>CoStep10ColorT17</t>
  </si>
  <si>
    <t>CoStep10StepLengthT17</t>
  </si>
  <si>
    <t>CoStep10StepTimeT17</t>
  </si>
  <si>
    <t>CoStep10DoubleSupportTimeT17</t>
  </si>
  <si>
    <t>CoStep10StanceTimeT17</t>
  </si>
  <si>
    <t>CoStep1ColorT18</t>
  </si>
  <si>
    <t>CoStep2ColorT18</t>
  </si>
  <si>
    <t>CoStep3ColorT18</t>
  </si>
  <si>
    <t>CoStep4ColorT18</t>
  </si>
  <si>
    <t>CoStep4StepLengthT18</t>
  </si>
  <si>
    <t>CoStep4StepTimeT18</t>
  </si>
  <si>
    <t>CoStep4DoubleSupportTimeT18</t>
  </si>
  <si>
    <t>CoStep4StanceTimeT18</t>
  </si>
  <si>
    <t>CoStep5ColorT18</t>
  </si>
  <si>
    <t>CoStep5StepLengthT18</t>
  </si>
  <si>
    <t>CoStep5StepTimeT18</t>
  </si>
  <si>
    <t>CoStep5DoubleSupportTimeT18</t>
  </si>
  <si>
    <t>CoStep5StanceTimeT18</t>
  </si>
  <si>
    <t>CoStep6ColorT18</t>
  </si>
  <si>
    <t>CoStep6StepLengthT18</t>
  </si>
  <si>
    <t>CoStep6StepTimeT18</t>
  </si>
  <si>
    <t>CoStep6DoubleSupportTimeT18</t>
  </si>
  <si>
    <t>CoStep6StanceTimeT18</t>
  </si>
  <si>
    <t>CoStep7ColorT18</t>
  </si>
  <si>
    <t>CoStep7StepLengthT18</t>
  </si>
  <si>
    <t>CoStep7StepTimeT18</t>
  </si>
  <si>
    <t>CoStep7DoubleSupportTimeT18</t>
  </si>
  <si>
    <t>CoStep7StanceTimeT18</t>
  </si>
  <si>
    <t>CoStep8ColorT18</t>
  </si>
  <si>
    <t>CoStep8StepLengthT18</t>
  </si>
  <si>
    <t>CoStep8StepTimeT18</t>
  </si>
  <si>
    <t>CoStep8DoubleSupportTimeT18</t>
  </si>
  <si>
    <t>CoStep8StanceTimeT18</t>
  </si>
  <si>
    <t>CoStep9ColorT18</t>
  </si>
  <si>
    <t>CoStep9StepLengthT18</t>
  </si>
  <si>
    <t>CoStep9StepTimeT18</t>
  </si>
  <si>
    <t>CoStep9DoubleSupportTimeT18</t>
  </si>
  <si>
    <t>CoStep9StanceTimeT18</t>
  </si>
  <si>
    <t>CoStep10ColorT18</t>
  </si>
  <si>
    <t>CoStep10StepLengthT18</t>
  </si>
  <si>
    <t>CoStep10StepTimeT18</t>
  </si>
  <si>
    <t>CoStep10DoubleSupportTimeT18</t>
  </si>
  <si>
    <t>CoStep10StanceTimeT18</t>
  </si>
  <si>
    <t>CoStep1ColorT19</t>
  </si>
  <si>
    <t>CoStep2ColorT19</t>
  </si>
  <si>
    <t>CoStep3ColorT19</t>
  </si>
  <si>
    <t>CoStep4ColorT19</t>
  </si>
  <si>
    <t>CoStep4StepLengthT19</t>
  </si>
  <si>
    <t>CoStep4StepTimeT19</t>
  </si>
  <si>
    <t>CoStep4DoubleSupportTimeT19</t>
  </si>
  <si>
    <t>CoStep4StanceTimeT19</t>
  </si>
  <si>
    <t>CoStep5ColorT19</t>
  </si>
  <si>
    <t>CoStep5StepLengthT19</t>
  </si>
  <si>
    <t>CoStep5StepTimeT19</t>
  </si>
  <si>
    <t>CoStep5DoubleSupportTimeT19</t>
  </si>
  <si>
    <t>CoStep5StanceTimeT19</t>
  </si>
  <si>
    <t>CoStep6ColorT19</t>
  </si>
  <si>
    <t>CoStep6StepLengthT19</t>
  </si>
  <si>
    <t>CoStep6StepTimeT19</t>
  </si>
  <si>
    <t>CoStep6DoubleSupportTimeT19</t>
  </si>
  <si>
    <t>CoStep6StanceTimeT19</t>
  </si>
  <si>
    <t>CoStep7ColorT19</t>
  </si>
  <si>
    <t>CoStep7StepLengthT19</t>
  </si>
  <si>
    <t>CoStep7StepTimeT19</t>
  </si>
  <si>
    <t>CoStep7DoubleSupportTimeT19</t>
  </si>
  <si>
    <t>CoStep7StanceTimeT19</t>
  </si>
  <si>
    <t>CoStep8ColorT19</t>
  </si>
  <si>
    <t>CoStep8StepLengthT19</t>
  </si>
  <si>
    <t>CoStep8StepTimeT19</t>
  </si>
  <si>
    <t>CoStep8DoubleSupportTimeT19</t>
  </si>
  <si>
    <t>CoStep8StanceTimeT19</t>
  </si>
  <si>
    <t>CoStep9ColorT19</t>
  </si>
  <si>
    <t>CoStep9StepLengthT19</t>
  </si>
  <si>
    <t>CoStep9StepTimeT19</t>
  </si>
  <si>
    <t>CoStep9DoubleSupportTimeT19</t>
  </si>
  <si>
    <t>CoStep9StanceTimeT19</t>
  </si>
  <si>
    <t>CoStep10ColorT19</t>
  </si>
  <si>
    <t>CoStep10StepLengthT19</t>
  </si>
  <si>
    <t>CoStep10StepTimeT19</t>
  </si>
  <si>
    <t>CoStep10DoubleSupportTimeT19</t>
  </si>
  <si>
    <t>CoStep10StanceTimeT19</t>
  </si>
  <si>
    <t>CoStep1ColorT20</t>
  </si>
  <si>
    <t>CoStep2ColorT20</t>
  </si>
  <si>
    <t>CoStep3ColorT20</t>
  </si>
  <si>
    <t>CoStep4ColorT20</t>
  </si>
  <si>
    <t>CoStep4StepLengthT20</t>
  </si>
  <si>
    <t>CoStep4StepTimeT20</t>
  </si>
  <si>
    <t>CoStep4DoubleSupportTimeT20</t>
  </si>
  <si>
    <t>CoStep4StanceTimeT20</t>
  </si>
  <si>
    <t>CoStep5ColorT20</t>
  </si>
  <si>
    <t>CoStep5StepLengthT20</t>
  </si>
  <si>
    <t>CoStep5StepTimeT20</t>
  </si>
  <si>
    <t>CoStep5DoubleSupportTimeT20</t>
  </si>
  <si>
    <t>CoStep5StanceTimeT20</t>
  </si>
  <si>
    <t>CoStep6ColorT20</t>
  </si>
  <si>
    <t>CoStep6StepLengthT20</t>
  </si>
  <si>
    <t>CoStep6StepTimeT20</t>
  </si>
  <si>
    <t>CoStep6DoubleSupportTimeT20</t>
  </si>
  <si>
    <t>CoStep6StanceTimeT20</t>
  </si>
  <si>
    <t>CoStep7ColorT20</t>
  </si>
  <si>
    <t>CoStep7StepLengthT20</t>
  </si>
  <si>
    <t>CoStep7StepTimeT20</t>
  </si>
  <si>
    <t>CoStep7DoubleSupportTimeT20</t>
  </si>
  <si>
    <t>CoStep7StanceTimeT20</t>
  </si>
  <si>
    <t>CoStep8ColorT20</t>
  </si>
  <si>
    <t>CoStep8StepLengthT20</t>
  </si>
  <si>
    <t>CoStep8StepTimeT20</t>
  </si>
  <si>
    <t>CoStep8DoubleSupportTimeT20</t>
  </si>
  <si>
    <t>CoStep8StanceTimeT20</t>
  </si>
  <si>
    <t>CoStep9ColorT20</t>
  </si>
  <si>
    <t>CoStep9StepLengthT20</t>
  </si>
  <si>
    <t>CoStep9StepTimeT20</t>
  </si>
  <si>
    <t>CoStep9DoubleSupportTimeT20</t>
  </si>
  <si>
    <t>CoStep9StanceTimeT20</t>
  </si>
  <si>
    <t>CoStep10ColorT20</t>
  </si>
  <si>
    <t>CoStep10StepLengthT20</t>
  </si>
  <si>
    <t>CoStep10StepTimeT20</t>
  </si>
  <si>
    <t>CoStep10DoubleSupportTimeT20</t>
  </si>
  <si>
    <t>CoStep10StanceTimeT20</t>
  </si>
  <si>
    <t>CoStep4WalkwayT1</t>
  </si>
  <si>
    <t>CoStep4WalkwayT2</t>
  </si>
  <si>
    <t>CoStep4WalkwayT3</t>
  </si>
  <si>
    <t>CoStep4WalkwayT4</t>
  </si>
  <si>
    <t>CoStep4WalkwayT5</t>
  </si>
  <si>
    <t>CoStep4WalkwayT6</t>
  </si>
  <si>
    <t>CoStep4WalkwayT7</t>
  </si>
  <si>
    <t>CoStep4WalkwayT8</t>
  </si>
  <si>
    <t>CoStep4WalkwayT9</t>
  </si>
  <si>
    <t>CoStep4WalkwayT10</t>
  </si>
  <si>
    <t>CoStep4WalkwayT11</t>
  </si>
  <si>
    <t>CoStep4WalkwayT12</t>
  </si>
  <si>
    <t>CoStep4WalkwayT13</t>
  </si>
  <si>
    <t>CoStep4WalkwayT14</t>
  </si>
  <si>
    <t>CoStep4WalkwayT15</t>
  </si>
  <si>
    <t>CoStep4WalkwayT16</t>
  </si>
  <si>
    <t>CoStep4WalkwayT17</t>
  </si>
  <si>
    <t>CoStep4WalkwayT18</t>
  </si>
  <si>
    <t>CoStep4WalkwayT19</t>
  </si>
  <si>
    <t>CoStep4WalkwayT20</t>
  </si>
  <si>
    <t>CoStep5WalkwayT1</t>
  </si>
  <si>
    <t>CoStep5WalkwayT2</t>
  </si>
  <si>
    <t>CoStep5WalkwayT3</t>
  </si>
  <si>
    <t>CoStep5WalkwayT4</t>
  </si>
  <si>
    <t>CoStep5WalkwayT5</t>
  </si>
  <si>
    <t>CoStep5WalkwayT6</t>
  </si>
  <si>
    <t>CoStep5WalkwayT7</t>
  </si>
  <si>
    <t>CoStep5WalkwayT8</t>
  </si>
  <si>
    <t>CoStep5WalkwayT9</t>
  </si>
  <si>
    <t>CoStep5WalkwayT10</t>
  </si>
  <si>
    <t>CoStep5WalkwayT11</t>
  </si>
  <si>
    <t>CoStep5WalkwayT12</t>
  </si>
  <si>
    <t>CoStep5WalkwayT13</t>
  </si>
  <si>
    <t>CoStep5WalkwayT14</t>
  </si>
  <si>
    <t>CoStep5WalkwayT15</t>
  </si>
  <si>
    <t>CoStep5WalkwayT16</t>
  </si>
  <si>
    <t>CoStep5WalkwayT17</t>
  </si>
  <si>
    <t>CoStep5WalkwayT18</t>
  </si>
  <si>
    <t>CoStep5WalkwayT19</t>
  </si>
  <si>
    <t>CoStep5WalkwayT20</t>
  </si>
  <si>
    <t>CoStep6WalkwayT1</t>
  </si>
  <si>
    <t>CoStep6WalkwayT2</t>
  </si>
  <si>
    <t>CoStep6WalkwayT3</t>
  </si>
  <si>
    <t>CoStep6WalkwayT4</t>
  </si>
  <si>
    <t>CoStep6WalkwayT5</t>
  </si>
  <si>
    <t>CoStep6WalkwayT6</t>
  </si>
  <si>
    <t>CoStep6WalkwayT7</t>
  </si>
  <si>
    <t>CoStep6WalkwayT8</t>
  </si>
  <si>
    <t>CoStep6WalkwayT9</t>
  </si>
  <si>
    <t>CoStep6WalkwayT10</t>
  </si>
  <si>
    <t>CoStep6WalkwayT11</t>
  </si>
  <si>
    <t>CoStep6WalkwayT12</t>
  </si>
  <si>
    <t>CoStep6WalkwayT13</t>
  </si>
  <si>
    <t>CoStep6WalkwayT14</t>
  </si>
  <si>
    <t>CoStep6WalkwayT15</t>
  </si>
  <si>
    <t>CoStep6WalkwayT16</t>
  </si>
  <si>
    <t>CoStep6WalkwayT17</t>
  </si>
  <si>
    <t>CoStep6WalkwayT18</t>
  </si>
  <si>
    <t>CoStep6WalkwayT19</t>
  </si>
  <si>
    <t>CoStep6WalkwayT20</t>
  </si>
  <si>
    <t>CoStep7WalkwayT1</t>
  </si>
  <si>
    <t>CoStep7WalkwayT2</t>
  </si>
  <si>
    <t>CoStep7WalkwayT3</t>
  </si>
  <si>
    <t>CoStep7WalkwayT4</t>
  </si>
  <si>
    <t>CoStep7WalkwayT5</t>
  </si>
  <si>
    <t>CoStep7WalkwayT6</t>
  </si>
  <si>
    <t>CoStep7WalkwayT7</t>
  </si>
  <si>
    <t>CoStep7WalkwayT8</t>
  </si>
  <si>
    <t>CoStep7WalkwayT9</t>
  </si>
  <si>
    <t>CoStep7WalkwayT10</t>
  </si>
  <si>
    <t>CoStep7WalkwayT11</t>
  </si>
  <si>
    <t>CoStep7WalkwayT12</t>
  </si>
  <si>
    <t>CoStep7WalkwayT13</t>
  </si>
  <si>
    <t>CoStep7WalkwayT14</t>
  </si>
  <si>
    <t>CoStep7WalkwayT15</t>
  </si>
  <si>
    <t>CoStep7WalkwayT16</t>
  </si>
  <si>
    <t>CoStep7WalkwayT17</t>
  </si>
  <si>
    <t>CoStep7WalkwayT18</t>
  </si>
  <si>
    <t>CoStep7WalkwayT19</t>
  </si>
  <si>
    <t>CoStep7WalkwayT20</t>
  </si>
  <si>
    <t>CoStep8WalkwayT1</t>
  </si>
  <si>
    <t>CoStep8WalkwayT2</t>
  </si>
  <si>
    <t>CoStep8WalkwayT3</t>
  </si>
  <si>
    <t>CoStep8WalkwayT4</t>
  </si>
  <si>
    <t>CoStep8WalkwayT5</t>
  </si>
  <si>
    <t>CoStep8WalkwayT6</t>
  </si>
  <si>
    <t>CoStep8WalkwayT7</t>
  </si>
  <si>
    <t>CoStep8WalkwayT8</t>
  </si>
  <si>
    <t>CoStep8WalkwayT9</t>
  </si>
  <si>
    <t>CoStep8WalkwayT10</t>
  </si>
  <si>
    <t>CoStep8WalkwayT11</t>
  </si>
  <si>
    <t>CoStep8WalkwayT12</t>
  </si>
  <si>
    <t>CoStep8WalkwayT13</t>
  </si>
  <si>
    <t>CoStep8WalkwayT14</t>
  </si>
  <si>
    <t>CoStep8WalkwayT15</t>
  </si>
  <si>
    <t>CoStep8WalkwayT16</t>
  </si>
  <si>
    <t>CoStep8WalkwayT17</t>
  </si>
  <si>
    <t>CoStep8WalkwayT18</t>
  </si>
  <si>
    <t>CoStep8WalkwayT19</t>
  </si>
  <si>
    <t>CoStep8WalkwayT20</t>
  </si>
  <si>
    <t>CoStep9WalkwayT1</t>
  </si>
  <si>
    <t>CoStep9WalkwayT2</t>
  </si>
  <si>
    <t>CoStep9WalkwayT3</t>
  </si>
  <si>
    <t>CoStep9WalkwayT4</t>
  </si>
  <si>
    <t>CoStep9WalkwayT5</t>
  </si>
  <si>
    <t>CoStep9WalkwayT6</t>
  </si>
  <si>
    <t>CoStep9WalkwayT7</t>
  </si>
  <si>
    <t>CoStep9WalkwayT8</t>
  </si>
  <si>
    <t>CoStep9WalkwayT9</t>
  </si>
  <si>
    <t>CoStep9WalkwayT10</t>
  </si>
  <si>
    <t>CoStep9WalkwayT11</t>
  </si>
  <si>
    <t>CoStep9WalkwayT12</t>
  </si>
  <si>
    <t>CoStep9WalkwayT13</t>
  </si>
  <si>
    <t>CoStep9WalkwayT14</t>
  </si>
  <si>
    <t>CoStep9WalkwayT15</t>
  </si>
  <si>
    <t>CoStep9WalkwayT16</t>
  </si>
  <si>
    <t>CoStep9WalkwayT17</t>
  </si>
  <si>
    <t>CoStep9WalkwayT18</t>
  </si>
  <si>
    <t>CoStep9WalkwayT19</t>
  </si>
  <si>
    <t>CoStep9WalkwayT20</t>
  </si>
  <si>
    <t>CoStep10WalkwayT1</t>
  </si>
  <si>
    <t>CoStep10WalkwayT2</t>
  </si>
  <si>
    <t>CoStep10WalkwayT3</t>
  </si>
  <si>
    <t>CoStep10WalkwayT4</t>
  </si>
  <si>
    <t>CoStep10WalkwayT5</t>
  </si>
  <si>
    <t>CoStep10WalkwayT6</t>
  </si>
  <si>
    <t>CoStep10WalkwayT7</t>
  </si>
  <si>
    <t>CoStep10WalkwayT8</t>
  </si>
  <si>
    <t>CoStep10WalkwayT9</t>
  </si>
  <si>
    <t>CoStep10WalkwayT10</t>
  </si>
  <si>
    <t>CoStep10WalkwayT11</t>
  </si>
  <si>
    <t>CoStep10WalkwayT12</t>
  </si>
  <si>
    <t>CoStep10WalkwayT13</t>
  </si>
  <si>
    <t>CoStep10WalkwayT14</t>
  </si>
  <si>
    <t>CoStep10WalkwayT15</t>
  </si>
  <si>
    <t>CoStep10WalkwayT16</t>
  </si>
  <si>
    <t>CoStep10WalkwayT17</t>
  </si>
  <si>
    <t>CoStep10WalkwayT18</t>
  </si>
  <si>
    <t>CoStep10WalkwayT19</t>
  </si>
  <si>
    <t>CoStep10WalkwayT20</t>
  </si>
  <si>
    <t>T105</t>
  </si>
  <si>
    <t>T130</t>
  </si>
  <si>
    <t>B155</t>
  </si>
  <si>
    <t>E155</t>
  </si>
  <si>
    <t>J155</t>
  </si>
  <si>
    <t>O155</t>
  </si>
  <si>
    <t>T155</t>
  </si>
  <si>
    <t>B188</t>
  </si>
  <si>
    <t>E188</t>
  </si>
  <si>
    <t>J188</t>
  </si>
  <si>
    <t>O188</t>
  </si>
  <si>
    <t>T188</t>
  </si>
  <si>
    <t>B205</t>
  </si>
  <si>
    <t>E205</t>
  </si>
  <si>
    <t>J205</t>
  </si>
  <si>
    <t>O205</t>
  </si>
  <si>
    <t>T205</t>
  </si>
  <si>
    <t>B230</t>
  </si>
  <si>
    <t>E230</t>
  </si>
  <si>
    <t>J230</t>
  </si>
  <si>
    <t>O230</t>
  </si>
  <si>
    <t>T230</t>
  </si>
  <si>
    <t>B255</t>
  </si>
  <si>
    <t>E255</t>
  </si>
  <si>
    <t>J255</t>
  </si>
  <si>
    <t>O255</t>
  </si>
  <si>
    <t>T255</t>
  </si>
  <si>
    <t>Stap: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</si>
</sst>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&quot;€&quot;\ * #,##0.00_);_(&quot;€&quot;\ * \(#,##0.00\);_(&quot;€&quot;\ * &quot;-&quot;??_);_(@_)"/>
  </numFmts>
  <fonts count="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0"/>
      <color theme="0" tint="-0.34998626667073579"/>
      <name val="Arial"/>
      <family val="2"/>
    </font>
    <font>
      <sz val="10"/>
      <color theme="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1" fillId="0" borderId="0"/>
  </cellStyleXfs>
  <cellXfs count="4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4" fillId="0" borderId="0" xfId="0" applyFont="1"/>
    <xf numFmtId="0" fontId="0" fillId="0" borderId="6" xfId="0" applyBorder="1"/>
    <xf numFmtId="0" fontId="0" fillId="0" borderId="4" xfId="0" applyFill="1" applyBorder="1"/>
    <xf numFmtId="0" fontId="0" fillId="0" borderId="7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0" xfId="0" applyFill="1"/>
    <xf numFmtId="0" fontId="5" fillId="0" borderId="0" xfId="0" applyFont="1"/>
    <xf numFmtId="0" fontId="0" fillId="2" borderId="0" xfId="0" applyFill="1" applyBorder="1" applyAlignment="1">
      <alignment horizontal="center"/>
    </xf>
    <xf numFmtId="0" fontId="0" fillId="2" borderId="5" xfId="0" applyFill="1" applyBorder="1"/>
    <xf numFmtId="0" fontId="0" fillId="2" borderId="6" xfId="0" applyFill="1" applyBorder="1" applyAlignment="1">
      <alignment horizontal="center"/>
    </xf>
    <xf numFmtId="0" fontId="0" fillId="2" borderId="8" xfId="0" applyFill="1" applyBorder="1"/>
    <xf numFmtId="0" fontId="0" fillId="3" borderId="0" xfId="0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0" xfId="0" applyFill="1" applyProtection="1">
      <protection locked="0"/>
    </xf>
    <xf numFmtId="0" fontId="0" fillId="0" borderId="0" xfId="0" applyProtection="1">
      <protection locked="0"/>
    </xf>
    <xf numFmtId="0" fontId="6" fillId="0" borderId="0" xfId="0" applyFont="1"/>
    <xf numFmtId="0" fontId="2" fillId="0" borderId="0" xfId="0" applyFont="1"/>
    <xf numFmtId="0" fontId="2" fillId="0" borderId="1" xfId="0" applyFont="1" applyFill="1" applyBorder="1"/>
    <xf numFmtId="0" fontId="2" fillId="0" borderId="1" xfId="0" applyFont="1" applyBorder="1"/>
    <xf numFmtId="0" fontId="2" fillId="0" borderId="0" xfId="0" applyFont="1" applyFill="1"/>
    <xf numFmtId="0" fontId="2" fillId="2" borderId="5" xfId="0" applyFont="1" applyFill="1" applyBorder="1"/>
    <xf numFmtId="0" fontId="0" fillId="4" borderId="0" xfId="0" applyFill="1" applyAlignment="1">
      <alignment wrapText="1"/>
    </xf>
    <xf numFmtId="0" fontId="0" fillId="0" borderId="0" xfId="0" applyAlignment="1">
      <alignment vertical="top"/>
    </xf>
    <xf numFmtId="0" fontId="7" fillId="0" borderId="0" xfId="0" applyFont="1"/>
    <xf numFmtId="0" fontId="2" fillId="0" borderId="0" xfId="0" applyFont="1" applyBorder="1"/>
    <xf numFmtId="0" fontId="2" fillId="3" borderId="0" xfId="0" applyFont="1" applyFill="1" applyProtection="1">
      <protection locked="0"/>
    </xf>
    <xf numFmtId="0" fontId="2" fillId="0" borderId="3" xfId="0" applyFont="1" applyBorder="1"/>
    <xf numFmtId="0" fontId="2" fillId="0" borderId="2" xfId="0" applyFont="1" applyBorder="1"/>
    <xf numFmtId="0" fontId="2" fillId="0" borderId="3" xfId="0" applyFont="1" applyFill="1" applyBorder="1"/>
    <xf numFmtId="0" fontId="0" fillId="3" borderId="5" xfId="0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7" fillId="0" borderId="6" xfId="0" applyFont="1" applyBorder="1"/>
    <xf numFmtId="0" fontId="2" fillId="2" borderId="0" xfId="0" applyFont="1" applyFill="1" applyBorder="1" applyAlignment="1">
      <alignment horizontal="center"/>
    </xf>
    <xf numFmtId="0" fontId="0" fillId="0" borderId="7" xfId="0" applyBorder="1"/>
    <xf numFmtId="0" fontId="2" fillId="0" borderId="0" xfId="0" applyFont="1" applyBorder="1" applyAlignment="1"/>
    <xf numFmtId="0" fontId="0" fillId="0" borderId="0" xfId="0" applyFill="1" applyAlignment="1"/>
    <xf numFmtId="0" fontId="2" fillId="0" borderId="0" xfId="0" applyFont="1" applyFill="1" applyAlignment="1">
      <alignment wrapText="1"/>
    </xf>
    <xf numFmtId="0" fontId="2" fillId="3" borderId="0" xfId="0" applyFont="1" applyFill="1" applyBorder="1" applyProtection="1">
      <protection locked="0"/>
    </xf>
    <xf numFmtId="0" fontId="0" fillId="4" borderId="0" xfId="0" applyFill="1" applyBorder="1" applyAlignment="1"/>
  </cellXfs>
  <cellStyles count="3">
    <cellStyle name="Euro" xfId="1"/>
    <cellStyle name="Standaard" xfId="0" builtinId="0"/>
    <cellStyle name="Standaard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609600</xdr:colOff>
          <xdr:row>0</xdr:row>
          <xdr:rowOff>66675</xdr:rowOff>
        </xdr:from>
        <xdr:to>
          <xdr:col>11</xdr:col>
          <xdr:colOff>466725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Opslaan</a:t>
              </a:r>
            </a:p>
          </xdr:txBody>
        </xdr:sp>
        <xdr:clientData fLocksWithSheet="0"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BF499"/>
  <sheetViews>
    <sheetView tabSelected="1" zoomScale="90" zoomScaleNormal="90" workbookViewId="0">
      <pane ySplit="24" topLeftCell="A25" activePane="bottomLeft" state="frozen"/>
      <selection pane="bottomLeft" activeCell="C2" sqref="C2"/>
    </sheetView>
  </sheetViews>
  <sheetFormatPr defaultRowHeight="12.75" x14ac:dyDescent="0.2"/>
  <cols>
    <col min="2" max="2" width="9.140625" customWidth="1"/>
    <col min="3" max="3" width="10.85546875" bestFit="1" customWidth="1"/>
    <col min="6" max="6" width="9.140625" customWidth="1"/>
    <col min="10" max="10" width="9.140625" customWidth="1"/>
    <col min="15" max="18" width="9.140625" customWidth="1"/>
  </cols>
  <sheetData>
    <row r="1" spans="1:58" x14ac:dyDescent="0.2">
      <c r="A1" s="7" t="s">
        <v>383</v>
      </c>
      <c r="C1" t="s">
        <v>0</v>
      </c>
      <c r="E1" t="s">
        <v>1</v>
      </c>
      <c r="G1" s="26" t="s">
        <v>65</v>
      </c>
      <c r="I1" s="26" t="s">
        <v>318</v>
      </c>
    </row>
    <row r="2" spans="1:58" x14ac:dyDescent="0.2">
      <c r="A2" s="7" t="s">
        <v>36</v>
      </c>
      <c r="C2" s="23"/>
      <c r="E2" s="23"/>
      <c r="G2" s="23"/>
      <c r="I2" s="35"/>
    </row>
    <row r="3" spans="1:58" s="33" customFormat="1" x14ac:dyDescent="0.2">
      <c r="B3" s="33">
        <v>1</v>
      </c>
      <c r="E3" s="41"/>
      <c r="F3" s="33">
        <v>2</v>
      </c>
      <c r="I3" s="41"/>
      <c r="J3" s="41"/>
      <c r="K3" s="33">
        <v>3</v>
      </c>
      <c r="N3" s="41"/>
      <c r="O3" s="41"/>
      <c r="P3" s="33">
        <v>4</v>
      </c>
      <c r="S3" s="41"/>
      <c r="T3" s="41"/>
      <c r="U3" s="33">
        <v>5</v>
      </c>
      <c r="X3" s="41"/>
      <c r="Y3" s="41"/>
      <c r="Z3" s="33">
        <v>6</v>
      </c>
      <c r="AC3" s="41"/>
      <c r="AD3" s="41"/>
      <c r="AE3" s="33">
        <v>7</v>
      </c>
      <c r="AH3" s="41"/>
      <c r="AI3" s="41"/>
      <c r="AJ3" s="33">
        <v>8</v>
      </c>
      <c r="AM3" s="41"/>
      <c r="AN3" s="41"/>
      <c r="AO3" s="33">
        <v>9</v>
      </c>
      <c r="AR3" s="41"/>
      <c r="AS3" s="41"/>
      <c r="AT3" s="33">
        <v>10</v>
      </c>
      <c r="AW3" s="41"/>
      <c r="AX3" s="41"/>
      <c r="AY3" s="33">
        <v>11</v>
      </c>
      <c r="BB3" s="41"/>
      <c r="BC3" s="41"/>
    </row>
    <row r="4" spans="1:58" x14ac:dyDescent="0.2">
      <c r="A4" s="1"/>
      <c r="B4" s="37" t="str">
        <f>"Tijd"&amp;B3</f>
        <v>Tijd1</v>
      </c>
      <c r="C4" s="37" t="str">
        <f>"Voet"&amp;B3</f>
        <v>Voet1</v>
      </c>
      <c r="D4" s="37" t="str">
        <f>"Marker"&amp;B3</f>
        <v>Marker1</v>
      </c>
      <c r="E4" s="36" t="str">
        <f>"Kleur"&amp;B3</f>
        <v>Kleur1</v>
      </c>
      <c r="F4" s="37" t="str">
        <f>"Tijd"&amp;F3</f>
        <v>Tijd2</v>
      </c>
      <c r="G4" s="37" t="str">
        <f>"Voet"&amp;F3</f>
        <v>Voet2</v>
      </c>
      <c r="H4" s="37" t="str">
        <f>"Marker"&amp;F3</f>
        <v>Marker2</v>
      </c>
      <c r="I4" s="34" t="str">
        <f>"Kleur"&amp;F3</f>
        <v>Kleur2</v>
      </c>
      <c r="J4" s="38" t="str">
        <f>"Tijd DST"&amp;F3</f>
        <v>Tijd DST2</v>
      </c>
      <c r="K4" s="37" t="str">
        <f>"Tijd"&amp;K3</f>
        <v>Tijd3</v>
      </c>
      <c r="L4" s="37" t="str">
        <f>"Voet"&amp;K3</f>
        <v>Voet3</v>
      </c>
      <c r="M4" s="37" t="str">
        <f>"Marker"&amp;K3</f>
        <v>Marker3</v>
      </c>
      <c r="N4" s="34" t="str">
        <f>"Kleur"&amp;K3</f>
        <v>Kleur3</v>
      </c>
      <c r="O4" s="38" t="str">
        <f>"Tijd DST"&amp;K3</f>
        <v>Tijd DST3</v>
      </c>
      <c r="P4" s="37" t="str">
        <f>"Tijd"&amp;P3</f>
        <v>Tijd4</v>
      </c>
      <c r="Q4" s="37" t="str">
        <f>"Voet"&amp;P3</f>
        <v>Voet4</v>
      </c>
      <c r="R4" s="37" t="str">
        <f>"Marker"&amp;P3</f>
        <v>Marker4</v>
      </c>
      <c r="S4" s="34" t="str">
        <f>"Kleur"&amp;P3</f>
        <v>Kleur4</v>
      </c>
      <c r="T4" s="38" t="str">
        <f>"Tijd DST"&amp;P3</f>
        <v>Tijd DST4</v>
      </c>
      <c r="U4" s="37" t="str">
        <f>"Tijd"&amp;U3</f>
        <v>Tijd5</v>
      </c>
      <c r="V4" s="37" t="str">
        <f>"Voet"&amp;U3</f>
        <v>Voet5</v>
      </c>
      <c r="W4" s="37" t="str">
        <f>"Marker"&amp;U3</f>
        <v>Marker5</v>
      </c>
      <c r="X4" s="34" t="str">
        <f>"Kleur"&amp;U3</f>
        <v>Kleur5</v>
      </c>
      <c r="Y4" s="38" t="str">
        <f>"Tijd DST"&amp;U3</f>
        <v>Tijd DST5</v>
      </c>
      <c r="Z4" s="37" t="str">
        <f>"Tijd"&amp;Z3</f>
        <v>Tijd6</v>
      </c>
      <c r="AA4" s="37" t="str">
        <f>"Voet"&amp;Z3</f>
        <v>Voet6</v>
      </c>
      <c r="AB4" s="37" t="str">
        <f>"Marker"&amp;Z3</f>
        <v>Marker6</v>
      </c>
      <c r="AC4" s="34" t="str">
        <f>"Kleur"&amp;Z3</f>
        <v>Kleur6</v>
      </c>
      <c r="AD4" s="38" t="str">
        <f>"Tijd DST"&amp;Z3</f>
        <v>Tijd DST6</v>
      </c>
      <c r="AE4" s="37" t="str">
        <f>"Tijd"&amp;AE3</f>
        <v>Tijd7</v>
      </c>
      <c r="AF4" s="37" t="str">
        <f>"Voet"&amp;AE3</f>
        <v>Voet7</v>
      </c>
      <c r="AG4" s="37" t="str">
        <f>"Marker"&amp;AE3</f>
        <v>Marker7</v>
      </c>
      <c r="AH4" s="34" t="str">
        <f>"Kleur"&amp;AE3</f>
        <v>Kleur7</v>
      </c>
      <c r="AI4" s="38" t="str">
        <f>"Tijd DST"&amp;AE3</f>
        <v>Tijd DST7</v>
      </c>
      <c r="AJ4" s="37" t="str">
        <f>"Tijd"&amp;AJ3</f>
        <v>Tijd8</v>
      </c>
      <c r="AK4" s="37" t="str">
        <f>"Voet"&amp;AJ3</f>
        <v>Voet8</v>
      </c>
      <c r="AL4" s="37" t="str">
        <f>"Marker"&amp;AJ3</f>
        <v>Marker8</v>
      </c>
      <c r="AM4" s="34" t="str">
        <f>"Kleur"&amp;AJ3</f>
        <v>Kleur8</v>
      </c>
      <c r="AN4" s="38" t="str">
        <f>"Tijd DST"&amp;AJ3</f>
        <v>Tijd DST8</v>
      </c>
      <c r="AO4" s="37" t="str">
        <f>"Tijd"&amp;AO3</f>
        <v>Tijd9</v>
      </c>
      <c r="AP4" s="37" t="str">
        <f>"Voet"&amp;AO3</f>
        <v>Voet9</v>
      </c>
      <c r="AQ4" s="37" t="str">
        <f>"Marker"&amp;AO3</f>
        <v>Marker9</v>
      </c>
      <c r="AR4" s="34" t="str">
        <f>"Kleur"&amp;AO3</f>
        <v>Kleur9</v>
      </c>
      <c r="AS4" s="38" t="str">
        <f>"Tijd DST"&amp;AO3</f>
        <v>Tijd DST9</v>
      </c>
      <c r="AT4" s="37" t="str">
        <f>"Tijd"&amp;AT3</f>
        <v>Tijd10</v>
      </c>
      <c r="AU4" s="37" t="str">
        <f>"Voet"&amp;AT3</f>
        <v>Voet10</v>
      </c>
      <c r="AV4" s="37" t="str">
        <f>"Marker"&amp;AT3</f>
        <v>Marker10</v>
      </c>
      <c r="AW4" s="34" t="str">
        <f>"Kleur"&amp;AT3</f>
        <v>Kleur10</v>
      </c>
      <c r="AX4" s="38" t="str">
        <f>"Tijd DST"&amp;AT3</f>
        <v>Tijd DST10</v>
      </c>
      <c r="AY4" s="37" t="str">
        <f>"Tijd"&amp;AY3</f>
        <v>Tijd11</v>
      </c>
      <c r="AZ4" s="37" t="str">
        <f>"Voet"&amp;AY3</f>
        <v>Voet11</v>
      </c>
      <c r="BA4" s="37" t="str">
        <f>"Marker"&amp;AY3</f>
        <v>Marker11</v>
      </c>
      <c r="BB4" s="34" t="str">
        <f>"Kleur"&amp;AY3</f>
        <v>Kleur11</v>
      </c>
      <c r="BC4" s="38" t="str">
        <f>"Tijd DST"&amp;AY3</f>
        <v>Tijd DST11</v>
      </c>
      <c r="BD4" s="38" t="s">
        <v>319</v>
      </c>
      <c r="BF4" t="s">
        <v>8</v>
      </c>
    </row>
    <row r="5" spans="1:58" x14ac:dyDescent="0.2">
      <c r="A5" s="4" t="s">
        <v>13</v>
      </c>
      <c r="B5" s="19"/>
      <c r="C5" s="19"/>
      <c r="D5" s="19"/>
      <c r="E5" s="20"/>
      <c r="F5" s="19"/>
      <c r="G5" s="19"/>
      <c r="H5" s="19"/>
      <c r="I5" s="19"/>
      <c r="J5" s="39"/>
      <c r="K5" s="19"/>
      <c r="L5" s="19"/>
      <c r="M5" s="19"/>
      <c r="N5" s="19"/>
      <c r="O5" s="39"/>
      <c r="P5" s="19"/>
      <c r="Q5" s="19"/>
      <c r="R5" s="19"/>
      <c r="S5" s="19"/>
      <c r="T5" s="39"/>
      <c r="U5" s="19"/>
      <c r="V5" s="19"/>
      <c r="W5" s="19"/>
      <c r="X5" s="19"/>
      <c r="Y5" s="39"/>
      <c r="Z5" s="19"/>
      <c r="AA5" s="19"/>
      <c r="AB5" s="19"/>
      <c r="AC5" s="19"/>
      <c r="AD5" s="39"/>
      <c r="AE5" s="19"/>
      <c r="AF5" s="19"/>
      <c r="AG5" s="19"/>
      <c r="AH5" s="19"/>
      <c r="AI5" s="39"/>
      <c r="AJ5" s="19"/>
      <c r="AK5" s="19"/>
      <c r="AL5" s="19"/>
      <c r="AM5" s="19"/>
      <c r="AN5" s="39"/>
      <c r="AO5" s="19"/>
      <c r="AP5" s="19"/>
      <c r="AQ5" s="19"/>
      <c r="AR5" s="19"/>
      <c r="AS5" s="39"/>
      <c r="AT5" s="19"/>
      <c r="AU5" s="19"/>
      <c r="AV5" s="19"/>
      <c r="AW5" s="19"/>
      <c r="AX5" s="39"/>
      <c r="AY5" s="19"/>
      <c r="AZ5" s="19"/>
      <c r="BA5" s="19"/>
      <c r="BB5" s="19"/>
      <c r="BC5" s="39"/>
      <c r="BD5" s="39"/>
    </row>
    <row r="6" spans="1:58" x14ac:dyDescent="0.2">
      <c r="A6" s="4" t="s">
        <v>14</v>
      </c>
      <c r="B6" s="19"/>
      <c r="C6" s="19"/>
      <c r="D6" s="19"/>
      <c r="E6" s="20"/>
      <c r="F6" s="19"/>
      <c r="G6" s="19"/>
      <c r="H6" s="19"/>
      <c r="I6" s="19"/>
      <c r="J6" s="39"/>
      <c r="K6" s="19"/>
      <c r="L6" s="19"/>
      <c r="M6" s="19"/>
      <c r="N6" s="19"/>
      <c r="O6" s="39"/>
      <c r="P6" s="19"/>
      <c r="Q6" s="19"/>
      <c r="R6" s="19"/>
      <c r="S6" s="19"/>
      <c r="T6" s="39"/>
      <c r="U6" s="19"/>
      <c r="V6" s="19"/>
      <c r="W6" s="19"/>
      <c r="X6" s="19"/>
      <c r="Y6" s="39"/>
      <c r="Z6" s="19"/>
      <c r="AA6" s="19"/>
      <c r="AB6" s="19"/>
      <c r="AC6" s="19"/>
      <c r="AD6" s="39"/>
      <c r="AE6" s="19"/>
      <c r="AF6" s="19"/>
      <c r="AG6" s="19"/>
      <c r="AH6" s="19"/>
      <c r="AI6" s="39"/>
      <c r="AJ6" s="19"/>
      <c r="AK6" s="19"/>
      <c r="AL6" s="19"/>
      <c r="AM6" s="19"/>
      <c r="AN6" s="39"/>
      <c r="AO6" s="19"/>
      <c r="AP6" s="19"/>
      <c r="AQ6" s="19"/>
      <c r="AR6" s="19"/>
      <c r="AS6" s="39"/>
      <c r="AT6" s="19"/>
      <c r="AU6" s="19"/>
      <c r="AV6" s="19"/>
      <c r="AW6" s="19"/>
      <c r="AX6" s="39"/>
      <c r="AY6" s="19"/>
      <c r="AZ6" s="19"/>
      <c r="BA6" s="19"/>
      <c r="BB6" s="19"/>
      <c r="BC6" s="39"/>
      <c r="BD6" s="39"/>
    </row>
    <row r="7" spans="1:58" x14ac:dyDescent="0.2">
      <c r="A7" s="4" t="s">
        <v>15</v>
      </c>
      <c r="B7" s="19"/>
      <c r="C7" s="19"/>
      <c r="D7" s="19"/>
      <c r="E7" s="20"/>
      <c r="F7" s="19"/>
      <c r="G7" s="19"/>
      <c r="H7" s="19"/>
      <c r="I7" s="19"/>
      <c r="J7" s="39"/>
      <c r="K7" s="19"/>
      <c r="L7" s="19"/>
      <c r="M7" s="19"/>
      <c r="N7" s="19"/>
      <c r="O7" s="39"/>
      <c r="P7" s="19"/>
      <c r="Q7" s="19"/>
      <c r="R7" s="19"/>
      <c r="S7" s="19"/>
      <c r="T7" s="39"/>
      <c r="U7" s="19"/>
      <c r="V7" s="19"/>
      <c r="W7" s="19"/>
      <c r="X7" s="19"/>
      <c r="Y7" s="39"/>
      <c r="Z7" s="19"/>
      <c r="AA7" s="19"/>
      <c r="AB7" s="19"/>
      <c r="AC7" s="19"/>
      <c r="AD7" s="39"/>
      <c r="AE7" s="19"/>
      <c r="AF7" s="19"/>
      <c r="AG7" s="19"/>
      <c r="AH7" s="19"/>
      <c r="AI7" s="39"/>
      <c r="AJ7" s="19"/>
      <c r="AK7" s="19"/>
      <c r="AL7" s="19"/>
      <c r="AM7" s="19"/>
      <c r="AN7" s="39"/>
      <c r="AO7" s="19"/>
      <c r="AP7" s="19"/>
      <c r="AQ7" s="19"/>
      <c r="AR7" s="19"/>
      <c r="AS7" s="39"/>
      <c r="AT7" s="19"/>
      <c r="AU7" s="19"/>
      <c r="AV7" s="19"/>
      <c r="AW7" s="19"/>
      <c r="AX7" s="39"/>
      <c r="AY7" s="19"/>
      <c r="AZ7" s="19"/>
      <c r="BA7" s="19"/>
      <c r="BB7" s="19"/>
      <c r="BC7" s="39"/>
      <c r="BD7" s="39"/>
    </row>
    <row r="8" spans="1:58" x14ac:dyDescent="0.2">
      <c r="A8" s="4" t="s">
        <v>16</v>
      </c>
      <c r="B8" s="19"/>
      <c r="C8" s="19"/>
      <c r="D8" s="19"/>
      <c r="E8" s="20"/>
      <c r="F8" s="19"/>
      <c r="G8" s="19"/>
      <c r="H8" s="19"/>
      <c r="I8" s="19"/>
      <c r="J8" s="39"/>
      <c r="K8" s="19"/>
      <c r="L8" s="19"/>
      <c r="M8" s="19"/>
      <c r="N8" s="19"/>
      <c r="O8" s="39"/>
      <c r="P8" s="19"/>
      <c r="Q8" s="19"/>
      <c r="R8" s="19"/>
      <c r="S8" s="19"/>
      <c r="T8" s="39"/>
      <c r="U8" s="19"/>
      <c r="V8" s="19"/>
      <c r="W8" s="19"/>
      <c r="X8" s="19"/>
      <c r="Y8" s="39"/>
      <c r="Z8" s="19"/>
      <c r="AA8" s="19"/>
      <c r="AB8" s="19"/>
      <c r="AC8" s="19"/>
      <c r="AD8" s="39"/>
      <c r="AE8" s="19"/>
      <c r="AF8" s="19"/>
      <c r="AG8" s="19"/>
      <c r="AH8" s="19"/>
      <c r="AI8" s="39"/>
      <c r="AJ8" s="19"/>
      <c r="AK8" s="19"/>
      <c r="AL8" s="19"/>
      <c r="AM8" s="19"/>
      <c r="AN8" s="39"/>
      <c r="AO8" s="19"/>
      <c r="AP8" s="19"/>
      <c r="AQ8" s="19"/>
      <c r="AR8" s="19"/>
      <c r="AS8" s="39"/>
      <c r="AT8" s="19"/>
      <c r="AU8" s="19"/>
      <c r="AV8" s="19"/>
      <c r="AW8" s="19"/>
      <c r="AX8" s="39"/>
      <c r="AY8" s="19"/>
      <c r="AZ8" s="19"/>
      <c r="BA8" s="19"/>
      <c r="BB8" s="19"/>
      <c r="BC8" s="39"/>
      <c r="BD8" s="39"/>
    </row>
    <row r="9" spans="1:58" x14ac:dyDescent="0.2">
      <c r="A9" s="4" t="s">
        <v>17</v>
      </c>
      <c r="B9" s="19"/>
      <c r="C9" s="19"/>
      <c r="D9" s="19"/>
      <c r="E9" s="20"/>
      <c r="F9" s="19"/>
      <c r="G9" s="19"/>
      <c r="H9" s="19"/>
      <c r="I9" s="19"/>
      <c r="J9" s="39"/>
      <c r="K9" s="19"/>
      <c r="L9" s="19"/>
      <c r="M9" s="19"/>
      <c r="N9" s="19"/>
      <c r="O9" s="39"/>
      <c r="P9" s="19"/>
      <c r="Q9" s="19"/>
      <c r="R9" s="19"/>
      <c r="S9" s="19"/>
      <c r="T9" s="39"/>
      <c r="U9" s="19"/>
      <c r="V9" s="19"/>
      <c r="W9" s="19"/>
      <c r="X9" s="19"/>
      <c r="Y9" s="39"/>
      <c r="Z9" s="19"/>
      <c r="AA9" s="19"/>
      <c r="AB9" s="19"/>
      <c r="AC9" s="19"/>
      <c r="AD9" s="39"/>
      <c r="AE9" s="19"/>
      <c r="AF9" s="19"/>
      <c r="AG9" s="19"/>
      <c r="AH9" s="19"/>
      <c r="AI9" s="39"/>
      <c r="AJ9" s="19"/>
      <c r="AK9" s="19"/>
      <c r="AL9" s="19"/>
      <c r="AM9" s="19"/>
      <c r="AN9" s="39"/>
      <c r="AO9" s="19"/>
      <c r="AP9" s="19"/>
      <c r="AQ9" s="19"/>
      <c r="AR9" s="19"/>
      <c r="AS9" s="39"/>
      <c r="AT9" s="19"/>
      <c r="AU9" s="19"/>
      <c r="AV9" s="19"/>
      <c r="AW9" s="19"/>
      <c r="AX9" s="39"/>
      <c r="AY9" s="19"/>
      <c r="AZ9" s="19"/>
      <c r="BA9" s="19"/>
      <c r="BB9" s="19"/>
      <c r="BC9" s="39"/>
      <c r="BD9" s="39"/>
    </row>
    <row r="10" spans="1:58" x14ac:dyDescent="0.2">
      <c r="A10" s="4" t="s">
        <v>18</v>
      </c>
      <c r="B10" s="19"/>
      <c r="C10" s="19"/>
      <c r="D10" s="19"/>
      <c r="E10" s="20"/>
      <c r="F10" s="19"/>
      <c r="G10" s="19"/>
      <c r="H10" s="19"/>
      <c r="I10" s="19"/>
      <c r="J10" s="39"/>
      <c r="K10" s="19"/>
      <c r="L10" s="19"/>
      <c r="M10" s="19"/>
      <c r="N10" s="19"/>
      <c r="O10" s="39"/>
      <c r="P10" s="19"/>
      <c r="Q10" s="19"/>
      <c r="R10" s="19"/>
      <c r="S10" s="19"/>
      <c r="T10" s="39"/>
      <c r="U10" s="19"/>
      <c r="V10" s="19"/>
      <c r="W10" s="19"/>
      <c r="X10" s="19"/>
      <c r="Y10" s="39"/>
      <c r="Z10" s="19"/>
      <c r="AA10" s="19"/>
      <c r="AB10" s="19"/>
      <c r="AC10" s="19"/>
      <c r="AD10" s="39"/>
      <c r="AE10" s="19"/>
      <c r="AF10" s="19"/>
      <c r="AG10" s="19"/>
      <c r="AH10" s="19"/>
      <c r="AI10" s="39"/>
      <c r="AJ10" s="19"/>
      <c r="AK10" s="19"/>
      <c r="AL10" s="19"/>
      <c r="AM10" s="19"/>
      <c r="AN10" s="39"/>
      <c r="AO10" s="19"/>
      <c r="AP10" s="19"/>
      <c r="AQ10" s="19"/>
      <c r="AR10" s="19"/>
      <c r="AS10" s="39"/>
      <c r="AT10" s="19"/>
      <c r="AU10" s="19"/>
      <c r="AV10" s="19"/>
      <c r="AW10" s="19"/>
      <c r="AX10" s="39"/>
      <c r="AY10" s="19"/>
      <c r="AZ10" s="19"/>
      <c r="BA10" s="19"/>
      <c r="BB10" s="19"/>
      <c r="BC10" s="39"/>
      <c r="BD10" s="39"/>
    </row>
    <row r="11" spans="1:58" x14ac:dyDescent="0.2">
      <c r="A11" s="4" t="s">
        <v>19</v>
      </c>
      <c r="B11" s="19"/>
      <c r="C11" s="19"/>
      <c r="D11" s="19"/>
      <c r="E11" s="20"/>
      <c r="F11" s="19"/>
      <c r="G11" s="19"/>
      <c r="H11" s="19"/>
      <c r="I11" s="19"/>
      <c r="J11" s="39"/>
      <c r="K11" s="19"/>
      <c r="L11" s="19"/>
      <c r="M11" s="19"/>
      <c r="N11" s="19"/>
      <c r="O11" s="39"/>
      <c r="P11" s="19"/>
      <c r="Q11" s="19"/>
      <c r="R11" s="19"/>
      <c r="S11" s="19"/>
      <c r="T11" s="39"/>
      <c r="U11" s="19"/>
      <c r="V11" s="19"/>
      <c r="W11" s="19"/>
      <c r="X11" s="19"/>
      <c r="Y11" s="39"/>
      <c r="Z11" s="19"/>
      <c r="AA11" s="19"/>
      <c r="AB11" s="19"/>
      <c r="AC11" s="19"/>
      <c r="AD11" s="39"/>
      <c r="AE11" s="19"/>
      <c r="AF11" s="19"/>
      <c r="AG11" s="19"/>
      <c r="AH11" s="19"/>
      <c r="AI11" s="39"/>
      <c r="AJ11" s="19"/>
      <c r="AK11" s="19"/>
      <c r="AL11" s="19"/>
      <c r="AM11" s="19"/>
      <c r="AN11" s="39"/>
      <c r="AO11" s="19"/>
      <c r="AP11" s="19"/>
      <c r="AQ11" s="19"/>
      <c r="AR11" s="19"/>
      <c r="AS11" s="39"/>
      <c r="AT11" s="19"/>
      <c r="AU11" s="19"/>
      <c r="AV11" s="19"/>
      <c r="AW11" s="19"/>
      <c r="AX11" s="39"/>
      <c r="AY11" s="19"/>
      <c r="AZ11" s="19"/>
      <c r="BA11" s="19"/>
      <c r="BB11" s="19"/>
      <c r="BC11" s="39"/>
      <c r="BD11" s="39"/>
    </row>
    <row r="12" spans="1:58" x14ac:dyDescent="0.2">
      <c r="A12" s="9" t="s">
        <v>20</v>
      </c>
      <c r="B12" s="19"/>
      <c r="C12" s="19"/>
      <c r="D12" s="19"/>
      <c r="E12" s="20"/>
      <c r="F12" s="19"/>
      <c r="G12" s="19"/>
      <c r="H12" s="19"/>
      <c r="I12" s="19"/>
      <c r="J12" s="39"/>
      <c r="K12" s="19"/>
      <c r="L12" s="19"/>
      <c r="M12" s="19"/>
      <c r="N12" s="19"/>
      <c r="O12" s="39"/>
      <c r="P12" s="19"/>
      <c r="Q12" s="19"/>
      <c r="R12" s="19"/>
      <c r="S12" s="19"/>
      <c r="T12" s="39"/>
      <c r="U12" s="19"/>
      <c r="V12" s="19"/>
      <c r="W12" s="19"/>
      <c r="X12" s="19"/>
      <c r="Y12" s="39"/>
      <c r="Z12" s="19"/>
      <c r="AA12" s="19"/>
      <c r="AB12" s="19"/>
      <c r="AC12" s="19"/>
      <c r="AD12" s="39"/>
      <c r="AE12" s="19"/>
      <c r="AF12" s="19"/>
      <c r="AG12" s="19"/>
      <c r="AH12" s="19"/>
      <c r="AI12" s="39"/>
      <c r="AJ12" s="19"/>
      <c r="AK12" s="19"/>
      <c r="AL12" s="19"/>
      <c r="AM12" s="19"/>
      <c r="AN12" s="39"/>
      <c r="AO12" s="19"/>
      <c r="AP12" s="19"/>
      <c r="AQ12" s="19"/>
      <c r="AR12" s="19"/>
      <c r="AS12" s="39"/>
      <c r="AT12" s="19"/>
      <c r="AU12" s="19"/>
      <c r="AV12" s="19"/>
      <c r="AW12" s="19"/>
      <c r="AX12" s="39"/>
      <c r="AY12" s="19"/>
      <c r="AZ12" s="19"/>
      <c r="BA12" s="19"/>
      <c r="BB12" s="19"/>
      <c r="BC12" s="39"/>
      <c r="BD12" s="39"/>
    </row>
    <row r="13" spans="1:58" x14ac:dyDescent="0.2">
      <c r="A13" s="9" t="s">
        <v>21</v>
      </c>
      <c r="B13" s="19"/>
      <c r="C13" s="19"/>
      <c r="D13" s="19"/>
      <c r="E13" s="20"/>
      <c r="F13" s="19"/>
      <c r="G13" s="19"/>
      <c r="H13" s="19"/>
      <c r="I13" s="19"/>
      <c r="J13" s="39"/>
      <c r="K13" s="19"/>
      <c r="L13" s="19"/>
      <c r="M13" s="19"/>
      <c r="N13" s="19"/>
      <c r="O13" s="39"/>
      <c r="P13" s="19"/>
      <c r="Q13" s="19"/>
      <c r="R13" s="19"/>
      <c r="S13" s="19"/>
      <c r="T13" s="39"/>
      <c r="U13" s="19"/>
      <c r="V13" s="19"/>
      <c r="W13" s="19"/>
      <c r="X13" s="19"/>
      <c r="Y13" s="39"/>
      <c r="Z13" s="19"/>
      <c r="AA13" s="19"/>
      <c r="AB13" s="19"/>
      <c r="AC13" s="19"/>
      <c r="AD13" s="39"/>
      <c r="AE13" s="19"/>
      <c r="AF13" s="19"/>
      <c r="AG13" s="19"/>
      <c r="AH13" s="19"/>
      <c r="AI13" s="39"/>
      <c r="AJ13" s="19"/>
      <c r="AK13" s="19"/>
      <c r="AL13" s="19"/>
      <c r="AM13" s="19"/>
      <c r="AN13" s="39"/>
      <c r="AO13" s="19"/>
      <c r="AP13" s="19"/>
      <c r="AQ13" s="19"/>
      <c r="AR13" s="19"/>
      <c r="AS13" s="39"/>
      <c r="AT13" s="19"/>
      <c r="AU13" s="19"/>
      <c r="AV13" s="19"/>
      <c r="AW13" s="19"/>
      <c r="AX13" s="39"/>
      <c r="AY13" s="19"/>
      <c r="AZ13" s="19"/>
      <c r="BA13" s="19"/>
      <c r="BB13" s="19"/>
      <c r="BC13" s="39"/>
      <c r="BD13" s="39"/>
    </row>
    <row r="14" spans="1:58" x14ac:dyDescent="0.2">
      <c r="A14" s="9" t="s">
        <v>22</v>
      </c>
      <c r="B14" s="19"/>
      <c r="C14" s="19"/>
      <c r="D14" s="19"/>
      <c r="E14" s="20"/>
      <c r="F14" s="19"/>
      <c r="G14" s="19"/>
      <c r="H14" s="19"/>
      <c r="I14" s="19"/>
      <c r="J14" s="39"/>
      <c r="K14" s="19"/>
      <c r="L14" s="19"/>
      <c r="M14" s="19"/>
      <c r="N14" s="19"/>
      <c r="O14" s="39"/>
      <c r="P14" s="19"/>
      <c r="Q14" s="19"/>
      <c r="R14" s="19"/>
      <c r="S14" s="19"/>
      <c r="T14" s="39"/>
      <c r="U14" s="19"/>
      <c r="V14" s="19"/>
      <c r="W14" s="19"/>
      <c r="X14" s="19"/>
      <c r="Y14" s="39"/>
      <c r="Z14" s="19"/>
      <c r="AA14" s="19"/>
      <c r="AB14" s="19"/>
      <c r="AC14" s="19"/>
      <c r="AD14" s="39"/>
      <c r="AE14" s="19"/>
      <c r="AF14" s="19"/>
      <c r="AG14" s="19"/>
      <c r="AH14" s="19"/>
      <c r="AI14" s="39"/>
      <c r="AJ14" s="19"/>
      <c r="AK14" s="19"/>
      <c r="AL14" s="19"/>
      <c r="AM14" s="19"/>
      <c r="AN14" s="39"/>
      <c r="AO14" s="19"/>
      <c r="AP14" s="19"/>
      <c r="AQ14" s="19"/>
      <c r="AR14" s="19"/>
      <c r="AS14" s="39"/>
      <c r="AT14" s="19"/>
      <c r="AU14" s="19"/>
      <c r="AV14" s="19"/>
      <c r="AW14" s="19"/>
      <c r="AX14" s="39"/>
      <c r="AY14" s="19"/>
      <c r="AZ14" s="19"/>
      <c r="BA14" s="19"/>
      <c r="BB14" s="19"/>
      <c r="BC14" s="39"/>
      <c r="BD14" s="39"/>
    </row>
    <row r="15" spans="1:58" x14ac:dyDescent="0.2">
      <c r="A15" s="9" t="s">
        <v>23</v>
      </c>
      <c r="B15" s="19"/>
      <c r="C15" s="19"/>
      <c r="D15" s="19"/>
      <c r="E15" s="20"/>
      <c r="F15" s="19"/>
      <c r="G15" s="19"/>
      <c r="H15" s="19"/>
      <c r="I15" s="19"/>
      <c r="J15" s="39"/>
      <c r="K15" s="19"/>
      <c r="L15" s="19"/>
      <c r="M15" s="19"/>
      <c r="N15" s="19"/>
      <c r="O15" s="39"/>
      <c r="P15" s="19"/>
      <c r="Q15" s="19"/>
      <c r="R15" s="19"/>
      <c r="S15" s="19"/>
      <c r="T15" s="39"/>
      <c r="U15" s="19"/>
      <c r="V15" s="19"/>
      <c r="W15" s="19"/>
      <c r="X15" s="19"/>
      <c r="Y15" s="39"/>
      <c r="Z15" s="19"/>
      <c r="AA15" s="19"/>
      <c r="AB15" s="19"/>
      <c r="AC15" s="19"/>
      <c r="AD15" s="39"/>
      <c r="AE15" s="19"/>
      <c r="AF15" s="19"/>
      <c r="AG15" s="19"/>
      <c r="AH15" s="19"/>
      <c r="AI15" s="39"/>
      <c r="AJ15" s="19"/>
      <c r="AK15" s="19"/>
      <c r="AL15" s="19"/>
      <c r="AM15" s="19"/>
      <c r="AN15" s="39"/>
      <c r="AO15" s="19"/>
      <c r="AP15" s="19"/>
      <c r="AQ15" s="19"/>
      <c r="AR15" s="19"/>
      <c r="AS15" s="39"/>
      <c r="AT15" s="19"/>
      <c r="AU15" s="19"/>
      <c r="AV15" s="19"/>
      <c r="AW15" s="19"/>
      <c r="AX15" s="39"/>
      <c r="AY15" s="19"/>
      <c r="AZ15" s="19"/>
      <c r="BA15" s="19"/>
      <c r="BB15" s="19"/>
      <c r="BC15" s="39"/>
      <c r="BD15" s="39"/>
    </row>
    <row r="16" spans="1:58" x14ac:dyDescent="0.2">
      <c r="A16" s="9" t="s">
        <v>24</v>
      </c>
      <c r="B16" s="19"/>
      <c r="C16" s="19"/>
      <c r="D16" s="19"/>
      <c r="E16" s="20"/>
      <c r="F16" s="19"/>
      <c r="G16" s="19"/>
      <c r="H16" s="19"/>
      <c r="I16" s="19"/>
      <c r="J16" s="39"/>
      <c r="K16" s="19"/>
      <c r="L16" s="19"/>
      <c r="M16" s="19"/>
      <c r="N16" s="19"/>
      <c r="O16" s="39"/>
      <c r="P16" s="19"/>
      <c r="Q16" s="19"/>
      <c r="R16" s="19"/>
      <c r="S16" s="19"/>
      <c r="T16" s="39"/>
      <c r="U16" s="19"/>
      <c r="V16" s="19"/>
      <c r="W16" s="19"/>
      <c r="X16" s="19"/>
      <c r="Y16" s="39"/>
      <c r="Z16" s="19"/>
      <c r="AA16" s="19"/>
      <c r="AB16" s="19"/>
      <c r="AC16" s="19"/>
      <c r="AD16" s="39"/>
      <c r="AE16" s="19"/>
      <c r="AF16" s="19"/>
      <c r="AG16" s="19"/>
      <c r="AH16" s="19"/>
      <c r="AI16" s="39"/>
      <c r="AJ16" s="19"/>
      <c r="AK16" s="19"/>
      <c r="AL16" s="19"/>
      <c r="AM16" s="19"/>
      <c r="AN16" s="39"/>
      <c r="AO16" s="19"/>
      <c r="AP16" s="19"/>
      <c r="AQ16" s="19"/>
      <c r="AR16" s="19"/>
      <c r="AS16" s="39"/>
      <c r="AT16" s="19"/>
      <c r="AU16" s="19"/>
      <c r="AV16" s="19"/>
      <c r="AW16" s="19"/>
      <c r="AX16" s="39"/>
      <c r="AY16" s="19"/>
      <c r="AZ16" s="19"/>
      <c r="BA16" s="19"/>
      <c r="BB16" s="19"/>
      <c r="BC16" s="39"/>
      <c r="BD16" s="39"/>
    </row>
    <row r="17" spans="1:56" x14ac:dyDescent="0.2">
      <c r="A17" s="9" t="s">
        <v>25</v>
      </c>
      <c r="B17" s="19"/>
      <c r="C17" s="19"/>
      <c r="D17" s="19"/>
      <c r="E17" s="20"/>
      <c r="F17" s="19"/>
      <c r="G17" s="19"/>
      <c r="H17" s="19"/>
      <c r="I17" s="19"/>
      <c r="J17" s="39"/>
      <c r="K17" s="19"/>
      <c r="L17" s="19"/>
      <c r="M17" s="19"/>
      <c r="N17" s="19"/>
      <c r="O17" s="39"/>
      <c r="P17" s="19"/>
      <c r="Q17" s="19"/>
      <c r="R17" s="19"/>
      <c r="S17" s="19"/>
      <c r="T17" s="39"/>
      <c r="U17" s="19"/>
      <c r="V17" s="19"/>
      <c r="W17" s="19"/>
      <c r="X17" s="19"/>
      <c r="Y17" s="39"/>
      <c r="Z17" s="19"/>
      <c r="AA17" s="19"/>
      <c r="AB17" s="19"/>
      <c r="AC17" s="19"/>
      <c r="AD17" s="39"/>
      <c r="AE17" s="19"/>
      <c r="AF17" s="19"/>
      <c r="AG17" s="19"/>
      <c r="AH17" s="19"/>
      <c r="AI17" s="39"/>
      <c r="AJ17" s="19"/>
      <c r="AK17" s="19"/>
      <c r="AL17" s="19"/>
      <c r="AM17" s="19"/>
      <c r="AN17" s="39"/>
      <c r="AO17" s="19"/>
      <c r="AP17" s="19"/>
      <c r="AQ17" s="19"/>
      <c r="AR17" s="19"/>
      <c r="AS17" s="39"/>
      <c r="AT17" s="19"/>
      <c r="AU17" s="19"/>
      <c r="AV17" s="19"/>
      <c r="AW17" s="19"/>
      <c r="AX17" s="39"/>
      <c r="AY17" s="19"/>
      <c r="AZ17" s="19"/>
      <c r="BA17" s="19"/>
      <c r="BB17" s="19"/>
      <c r="BC17" s="39"/>
      <c r="BD17" s="39"/>
    </row>
    <row r="18" spans="1:56" x14ac:dyDescent="0.2">
      <c r="A18" s="9" t="s">
        <v>26</v>
      </c>
      <c r="B18" s="19"/>
      <c r="C18" s="19"/>
      <c r="D18" s="19"/>
      <c r="E18" s="20"/>
      <c r="F18" s="19"/>
      <c r="G18" s="19"/>
      <c r="H18" s="19"/>
      <c r="I18" s="19"/>
      <c r="J18" s="39"/>
      <c r="K18" s="19"/>
      <c r="L18" s="19"/>
      <c r="M18" s="19"/>
      <c r="N18" s="19"/>
      <c r="O18" s="39"/>
      <c r="P18" s="19"/>
      <c r="Q18" s="19"/>
      <c r="R18" s="47"/>
      <c r="S18" s="19"/>
      <c r="T18" s="39"/>
      <c r="U18" s="19"/>
      <c r="V18" s="19"/>
      <c r="W18" s="19"/>
      <c r="X18" s="19"/>
      <c r="Y18" s="39"/>
      <c r="Z18" s="19"/>
      <c r="AA18" s="19"/>
      <c r="AB18" s="19"/>
      <c r="AC18" s="19"/>
      <c r="AD18" s="39"/>
      <c r="AE18" s="19"/>
      <c r="AF18" s="19"/>
      <c r="AG18" s="19"/>
      <c r="AH18" s="19"/>
      <c r="AI18" s="39"/>
      <c r="AJ18" s="19"/>
      <c r="AK18" s="19"/>
      <c r="AL18" s="19"/>
      <c r="AM18" s="19"/>
      <c r="AN18" s="39"/>
      <c r="AO18" s="19"/>
      <c r="AP18" s="19"/>
      <c r="AQ18" s="19"/>
      <c r="AR18" s="19"/>
      <c r="AS18" s="39"/>
      <c r="AT18" s="19"/>
      <c r="AU18" s="19"/>
      <c r="AV18" s="19"/>
      <c r="AW18" s="19"/>
      <c r="AX18" s="39"/>
      <c r="AY18" s="19"/>
      <c r="AZ18" s="19"/>
      <c r="BA18" s="19"/>
      <c r="BB18" s="19"/>
      <c r="BC18" s="39"/>
      <c r="BD18" s="39"/>
    </row>
    <row r="19" spans="1:56" x14ac:dyDescent="0.2">
      <c r="A19" s="9" t="s">
        <v>27</v>
      </c>
      <c r="B19" s="19"/>
      <c r="C19" s="19"/>
      <c r="D19" s="19"/>
      <c r="E19" s="20"/>
      <c r="F19" s="19"/>
      <c r="G19" s="19"/>
      <c r="H19" s="19"/>
      <c r="I19" s="19"/>
      <c r="J19" s="39"/>
      <c r="K19" s="19"/>
      <c r="L19" s="19"/>
      <c r="M19" s="19"/>
      <c r="N19" s="19"/>
      <c r="O19" s="39"/>
      <c r="P19" s="19"/>
      <c r="Q19" s="19"/>
      <c r="R19" s="19"/>
      <c r="S19" s="19"/>
      <c r="T19" s="39"/>
      <c r="U19" s="19"/>
      <c r="V19" s="47"/>
      <c r="W19" s="19"/>
      <c r="X19" s="19"/>
      <c r="Y19" s="39"/>
      <c r="Z19" s="19"/>
      <c r="AA19" s="19"/>
      <c r="AB19" s="19"/>
      <c r="AC19" s="19"/>
      <c r="AD19" s="39"/>
      <c r="AE19" s="19"/>
      <c r="AF19" s="19"/>
      <c r="AG19" s="19"/>
      <c r="AH19" s="19"/>
      <c r="AI19" s="39"/>
      <c r="AJ19" s="19"/>
      <c r="AK19" s="19"/>
      <c r="AL19" s="19"/>
      <c r="AM19" s="19"/>
      <c r="AN19" s="39"/>
      <c r="AO19" s="19"/>
      <c r="AP19" s="19"/>
      <c r="AQ19" s="19"/>
      <c r="AR19" s="19"/>
      <c r="AS19" s="39"/>
      <c r="AT19" s="19"/>
      <c r="AU19" s="19"/>
      <c r="AV19" s="19"/>
      <c r="AW19" s="19"/>
      <c r="AX19" s="39"/>
      <c r="AY19" s="19"/>
      <c r="AZ19" s="19"/>
      <c r="BA19" s="19"/>
      <c r="BB19" s="19"/>
      <c r="BC19" s="39"/>
      <c r="BD19" s="39"/>
    </row>
    <row r="20" spans="1:56" x14ac:dyDescent="0.2">
      <c r="A20" s="9" t="s">
        <v>28</v>
      </c>
      <c r="B20" s="19"/>
      <c r="C20" s="19"/>
      <c r="D20" s="19"/>
      <c r="E20" s="20"/>
      <c r="F20" s="19"/>
      <c r="G20" s="19"/>
      <c r="H20" s="19"/>
      <c r="I20" s="19"/>
      <c r="J20" s="39"/>
      <c r="K20" s="19"/>
      <c r="L20" s="19"/>
      <c r="M20" s="19"/>
      <c r="N20" s="19"/>
      <c r="O20" s="39"/>
      <c r="P20" s="19"/>
      <c r="Q20" s="19"/>
      <c r="R20" s="19"/>
      <c r="S20" s="19"/>
      <c r="T20" s="39"/>
      <c r="U20" s="19"/>
      <c r="V20" s="19"/>
      <c r="W20" s="19"/>
      <c r="X20" s="19"/>
      <c r="Y20" s="39"/>
      <c r="Z20" s="19"/>
      <c r="AA20" s="19"/>
      <c r="AB20" s="19"/>
      <c r="AC20" s="19"/>
      <c r="AD20" s="39"/>
      <c r="AE20" s="19"/>
      <c r="AF20" s="19"/>
      <c r="AG20" s="19"/>
      <c r="AH20" s="19"/>
      <c r="AI20" s="39"/>
      <c r="AJ20" s="19"/>
      <c r="AK20" s="19"/>
      <c r="AL20" s="19"/>
      <c r="AM20" s="19"/>
      <c r="AN20" s="39"/>
      <c r="AO20" s="19"/>
      <c r="AP20" s="19"/>
      <c r="AQ20" s="19"/>
      <c r="AR20" s="19"/>
      <c r="AS20" s="39"/>
      <c r="AT20" s="19"/>
      <c r="AU20" s="19"/>
      <c r="AV20" s="19"/>
      <c r="AW20" s="19"/>
      <c r="AX20" s="39"/>
      <c r="AY20" s="19"/>
      <c r="AZ20" s="19"/>
      <c r="BA20" s="19"/>
      <c r="BB20" s="19"/>
      <c r="BC20" s="39"/>
      <c r="BD20" s="39"/>
    </row>
    <row r="21" spans="1:56" x14ac:dyDescent="0.2">
      <c r="A21" s="9" t="s">
        <v>29</v>
      </c>
      <c r="B21" s="19"/>
      <c r="C21" s="19"/>
      <c r="D21" s="19"/>
      <c r="E21" s="20"/>
      <c r="F21" s="19"/>
      <c r="G21" s="19"/>
      <c r="H21" s="19"/>
      <c r="I21" s="19"/>
      <c r="J21" s="39"/>
      <c r="K21" s="19"/>
      <c r="L21" s="19"/>
      <c r="M21" s="19"/>
      <c r="N21" s="19"/>
      <c r="O21" s="39"/>
      <c r="P21" s="19"/>
      <c r="Q21" s="19"/>
      <c r="R21" s="19"/>
      <c r="S21" s="19"/>
      <c r="T21" s="39"/>
      <c r="U21" s="19"/>
      <c r="V21" s="19"/>
      <c r="W21" s="19"/>
      <c r="X21" s="19"/>
      <c r="Y21" s="39"/>
      <c r="Z21" s="19"/>
      <c r="AA21" s="19"/>
      <c r="AB21" s="19"/>
      <c r="AC21" s="19"/>
      <c r="AD21" s="39"/>
      <c r="AE21" s="19"/>
      <c r="AF21" s="19"/>
      <c r="AG21" s="19"/>
      <c r="AH21" s="19"/>
      <c r="AI21" s="39"/>
      <c r="AJ21" s="19"/>
      <c r="AK21" s="19"/>
      <c r="AL21" s="19"/>
      <c r="AM21" s="19"/>
      <c r="AN21" s="39"/>
      <c r="AO21" s="19"/>
      <c r="AP21" s="19"/>
      <c r="AQ21" s="19"/>
      <c r="AR21" s="19"/>
      <c r="AS21" s="39"/>
      <c r="AT21" s="19"/>
      <c r="AU21" s="19"/>
      <c r="AV21" s="19"/>
      <c r="AW21" s="19"/>
      <c r="AX21" s="39"/>
      <c r="AY21" s="19"/>
      <c r="AZ21" s="19"/>
      <c r="BA21" s="19"/>
      <c r="BB21" s="19"/>
      <c r="BC21" s="39"/>
      <c r="BD21" s="39"/>
    </row>
    <row r="22" spans="1:56" x14ac:dyDescent="0.2">
      <c r="A22" s="9" t="s">
        <v>30</v>
      </c>
      <c r="B22" s="19"/>
      <c r="C22" s="19"/>
      <c r="D22" s="19"/>
      <c r="E22" s="20"/>
      <c r="F22" s="19"/>
      <c r="G22" s="19"/>
      <c r="H22" s="19"/>
      <c r="I22" s="19"/>
      <c r="J22" s="39"/>
      <c r="K22" s="19"/>
      <c r="L22" s="19"/>
      <c r="M22" s="19"/>
      <c r="N22" s="19"/>
      <c r="O22" s="39"/>
      <c r="P22" s="19"/>
      <c r="Q22" s="19"/>
      <c r="R22" s="19"/>
      <c r="S22" s="19"/>
      <c r="T22" s="39"/>
      <c r="U22" s="19"/>
      <c r="V22" s="19"/>
      <c r="W22" s="19"/>
      <c r="X22" s="19"/>
      <c r="Y22" s="39"/>
      <c r="Z22" s="19"/>
      <c r="AA22" s="19"/>
      <c r="AB22" s="19"/>
      <c r="AC22" s="19"/>
      <c r="AD22" s="39"/>
      <c r="AE22" s="19"/>
      <c r="AF22" s="19"/>
      <c r="AG22" s="19"/>
      <c r="AH22" s="19"/>
      <c r="AI22" s="39"/>
      <c r="AJ22" s="19"/>
      <c r="AK22" s="19"/>
      <c r="AL22" s="19"/>
      <c r="AM22" s="19"/>
      <c r="AN22" s="39"/>
      <c r="AO22" s="19"/>
      <c r="AP22" s="19"/>
      <c r="AQ22" s="19"/>
      <c r="AR22" s="19"/>
      <c r="AS22" s="39"/>
      <c r="AT22" s="19"/>
      <c r="AU22" s="19"/>
      <c r="AV22" s="19"/>
      <c r="AW22" s="19"/>
      <c r="AX22" s="39"/>
      <c r="AY22" s="19"/>
      <c r="AZ22" s="19"/>
      <c r="BA22" s="19"/>
      <c r="BB22" s="19"/>
      <c r="BC22" s="39"/>
      <c r="BD22" s="39"/>
    </row>
    <row r="23" spans="1:56" x14ac:dyDescent="0.2">
      <c r="A23" s="9" t="s">
        <v>31</v>
      </c>
      <c r="B23" s="19"/>
      <c r="C23" s="19"/>
      <c r="D23" s="19"/>
      <c r="E23" s="20"/>
      <c r="F23" s="19"/>
      <c r="G23" s="19"/>
      <c r="H23" s="19"/>
      <c r="I23" s="19"/>
      <c r="J23" s="39"/>
      <c r="K23" s="19"/>
      <c r="L23" s="19"/>
      <c r="M23" s="19"/>
      <c r="N23" s="19"/>
      <c r="O23" s="39"/>
      <c r="P23" s="19"/>
      <c r="Q23" s="19"/>
      <c r="R23" s="19"/>
      <c r="S23" s="19"/>
      <c r="T23" s="39"/>
      <c r="U23" s="19"/>
      <c r="V23" s="19"/>
      <c r="W23" s="19"/>
      <c r="X23" s="19"/>
      <c r="Y23" s="39"/>
      <c r="Z23" s="19"/>
      <c r="AA23" s="19"/>
      <c r="AB23" s="19"/>
      <c r="AC23" s="19"/>
      <c r="AD23" s="39"/>
      <c r="AE23" s="19"/>
      <c r="AF23" s="19"/>
      <c r="AG23" s="19"/>
      <c r="AH23" s="19"/>
      <c r="AI23" s="39"/>
      <c r="AJ23" s="19"/>
      <c r="AK23" s="19"/>
      <c r="AL23" s="19"/>
      <c r="AM23" s="19"/>
      <c r="AN23" s="39"/>
      <c r="AO23" s="19"/>
      <c r="AP23" s="19"/>
      <c r="AQ23" s="19"/>
      <c r="AR23" s="19"/>
      <c r="AS23" s="39"/>
      <c r="AT23" s="19"/>
      <c r="AU23" s="19"/>
      <c r="AV23" s="19"/>
      <c r="AW23" s="19"/>
      <c r="AX23" s="39"/>
      <c r="AY23" s="19"/>
      <c r="AZ23" s="19"/>
      <c r="BA23" s="19"/>
      <c r="BB23" s="19"/>
      <c r="BC23" s="39"/>
      <c r="BD23" s="39"/>
    </row>
    <row r="24" spans="1:56" x14ac:dyDescent="0.2">
      <c r="A24" s="10" t="s">
        <v>32</v>
      </c>
      <c r="B24" s="21"/>
      <c r="C24" s="21"/>
      <c r="D24" s="21"/>
      <c r="E24" s="22"/>
      <c r="F24" s="21"/>
      <c r="G24" s="21"/>
      <c r="H24" s="21"/>
      <c r="I24" s="21"/>
      <c r="J24" s="40"/>
      <c r="K24" s="21"/>
      <c r="L24" s="21"/>
      <c r="M24" s="21"/>
      <c r="N24" s="21"/>
      <c r="O24" s="40"/>
      <c r="P24" s="21"/>
      <c r="Q24" s="21"/>
      <c r="R24" s="21"/>
      <c r="S24" s="21"/>
      <c r="T24" s="40"/>
      <c r="U24" s="21"/>
      <c r="V24" s="21"/>
      <c r="W24" s="21"/>
      <c r="X24" s="21"/>
      <c r="Y24" s="40"/>
      <c r="Z24" s="21"/>
      <c r="AA24" s="21"/>
      <c r="AB24" s="21"/>
      <c r="AC24" s="21"/>
      <c r="AD24" s="40"/>
      <c r="AE24" s="21"/>
      <c r="AF24" s="21"/>
      <c r="AG24" s="21"/>
      <c r="AH24" s="21"/>
      <c r="AI24" s="40"/>
      <c r="AJ24" s="21"/>
      <c r="AK24" s="21"/>
      <c r="AL24" s="21"/>
      <c r="AM24" s="21"/>
      <c r="AN24" s="40"/>
      <c r="AO24" s="21"/>
      <c r="AP24" s="21"/>
      <c r="AQ24" s="21"/>
      <c r="AR24" s="21"/>
      <c r="AS24" s="40"/>
      <c r="AT24" s="21"/>
      <c r="AU24" s="21"/>
      <c r="AV24" s="21"/>
      <c r="AW24" s="21"/>
      <c r="AX24" s="40"/>
      <c r="AY24" s="21"/>
      <c r="AZ24" s="21"/>
      <c r="BA24" s="21"/>
      <c r="BB24" s="21"/>
      <c r="BC24" s="40"/>
      <c r="BD24" s="40"/>
    </row>
    <row r="26" spans="1:56" x14ac:dyDescent="0.2">
      <c r="A26" s="14" t="s">
        <v>5</v>
      </c>
      <c r="E26" s="8"/>
      <c r="G26" s="26"/>
    </row>
    <row r="27" spans="1:56" x14ac:dyDescent="0.2">
      <c r="A27" s="28" t="s">
        <v>61</v>
      </c>
      <c r="B27" s="2"/>
      <c r="C27" s="2"/>
      <c r="D27" s="2"/>
      <c r="E27" s="3"/>
      <c r="G27" s="27" t="s">
        <v>60</v>
      </c>
      <c r="H27" s="2"/>
      <c r="I27" s="2"/>
      <c r="J27" s="3"/>
      <c r="L27" s="1" t="s">
        <v>2</v>
      </c>
      <c r="M27" s="2"/>
      <c r="N27" s="2"/>
      <c r="O27" s="3"/>
      <c r="P27" s="5"/>
      <c r="Q27" s="28" t="s">
        <v>63</v>
      </c>
      <c r="R27" s="2"/>
      <c r="S27" s="2"/>
      <c r="T27" s="3"/>
      <c r="V27" s="28" t="s">
        <v>320</v>
      </c>
      <c r="W27" s="36"/>
      <c r="Y27" s="24" t="s">
        <v>9</v>
      </c>
    </row>
    <row r="28" spans="1:56" x14ac:dyDescent="0.2">
      <c r="A28" s="4"/>
      <c r="B28" s="5"/>
      <c r="C28" s="5"/>
      <c r="D28" s="5"/>
      <c r="E28" s="6"/>
      <c r="G28" s="4"/>
      <c r="H28" s="5"/>
      <c r="I28" s="5"/>
      <c r="J28" s="6"/>
      <c r="L28" s="4"/>
      <c r="M28" s="5"/>
      <c r="N28" s="5"/>
      <c r="O28" s="6"/>
      <c r="P28" s="5"/>
      <c r="Q28" s="4"/>
      <c r="R28" s="5"/>
      <c r="S28" s="5"/>
      <c r="T28" s="6"/>
      <c r="V28" s="4"/>
      <c r="W28" s="6"/>
      <c r="Y28" t="s">
        <v>392</v>
      </c>
    </row>
    <row r="29" spans="1:56" x14ac:dyDescent="0.2">
      <c r="A29" s="4"/>
      <c r="B29" s="42" t="s">
        <v>384</v>
      </c>
      <c r="C29" s="5"/>
      <c r="D29" s="5"/>
      <c r="E29" s="16" t="s">
        <v>3</v>
      </c>
      <c r="G29" s="4"/>
      <c r="H29" s="5"/>
      <c r="I29" s="5"/>
      <c r="J29" s="16" t="s">
        <v>4</v>
      </c>
      <c r="L29" s="4"/>
      <c r="M29" s="5"/>
      <c r="N29" s="5"/>
      <c r="O29" s="16" t="s">
        <v>4</v>
      </c>
      <c r="P29" s="11"/>
      <c r="Q29" s="4"/>
      <c r="R29" s="5"/>
      <c r="S29" s="5"/>
      <c r="T29" s="16" t="s">
        <v>4</v>
      </c>
      <c r="V29" s="4"/>
      <c r="W29" s="6"/>
    </row>
    <row r="30" spans="1:56" x14ac:dyDescent="0.2">
      <c r="A30" s="4" t="s">
        <v>13</v>
      </c>
      <c r="B30" s="15">
        <f>IF(OR(E5="",E30=9999),9999,IF(AND(E5&lt;&gt;"gz",E5&lt;&gt;"z"),9999,E5))</f>
        <v>9999</v>
      </c>
      <c r="C30" s="11">
        <f>C5-D5</f>
        <v>0</v>
      </c>
      <c r="D30" s="11">
        <f>H5-G5</f>
        <v>0</v>
      </c>
      <c r="E30" s="16">
        <f>IF(ISERROR(C30-D30),9999,IF(OR(C30=0,D30=0),9999,IF(E5=I5,(C30+D30)/10,(C30+D30+1000)/10)))</f>
        <v>9999</v>
      </c>
      <c r="G30" s="4" t="s">
        <v>13</v>
      </c>
      <c r="H30" s="11">
        <f>F5</f>
        <v>0</v>
      </c>
      <c r="I30" s="11">
        <f>B5</f>
        <v>0</v>
      </c>
      <c r="J30" s="16">
        <f>IF(ISERROR(I30-H30),9999,IF(OR(H30=0,I30=0),9999,H30-I30))</f>
        <v>9999</v>
      </c>
      <c r="L30" s="4" t="s">
        <v>13</v>
      </c>
      <c r="M30" s="11">
        <f>J5</f>
        <v>0</v>
      </c>
      <c r="N30" s="11">
        <f>F5</f>
        <v>0</v>
      </c>
      <c r="O30" s="16">
        <f>IF(ISERROR(M30-N30),9999,IF(OR(M30=0,N30=0),9999,IF(SUM(M30-N30)&lt;=0,9999,SUM(M30-N30))))</f>
        <v>9999</v>
      </c>
      <c r="P30" s="13"/>
      <c r="Q30" s="4" t="s">
        <v>13</v>
      </c>
      <c r="R30" s="11">
        <f>J5</f>
        <v>0</v>
      </c>
      <c r="S30" s="11">
        <f>B5</f>
        <v>0</v>
      </c>
      <c r="T30" s="16">
        <f>IF(ISERROR(R30-S30),9999,IF(OR(R30=0,S30=0),9999,IF(SUM(R30-S30)&lt;=0,9999,SUM(R30-S30))))</f>
        <v>9999</v>
      </c>
      <c r="V30" s="4" t="s">
        <v>13</v>
      </c>
      <c r="W30" s="16">
        <f>BD$5</f>
        <v>0</v>
      </c>
    </row>
    <row r="31" spans="1:56" x14ac:dyDescent="0.2">
      <c r="A31" s="4" t="s">
        <v>14</v>
      </c>
      <c r="B31" s="15">
        <f t="shared" ref="B31:B32" si="0">IF(OR(E6="",E31=9999),9999,IF(AND(E6&lt;&gt;"gz",E6&lt;&gt;"z"),9999,E6))</f>
        <v>9999</v>
      </c>
      <c r="C31" s="11">
        <f>D6-C6</f>
        <v>0</v>
      </c>
      <c r="D31" s="11">
        <f>G6-H6</f>
        <v>0</v>
      </c>
      <c r="E31" s="16">
        <f t="shared" ref="E31:E49" si="1">IF(ISERROR(C31-D31),9999,IF(OR(C31=0,D31=0),9999,IF(E6=I6,(C31+D31)/10,(C31+D31+1000)/10)))</f>
        <v>9999</v>
      </c>
      <c r="G31" s="4" t="s">
        <v>14</v>
      </c>
      <c r="H31" s="11">
        <f t="shared" ref="H31:H49" si="2">F6</f>
        <v>0</v>
      </c>
      <c r="I31" s="11">
        <f t="shared" ref="I31:I49" si="3">B6</f>
        <v>0</v>
      </c>
      <c r="J31" s="16">
        <f t="shared" ref="J31:J49" si="4">IF(ISERROR(I31-H31),9999,IF(OR(H31=0,I31=0),9999,H31-I31))</f>
        <v>9999</v>
      </c>
      <c r="L31" s="4" t="s">
        <v>14</v>
      </c>
      <c r="M31" s="11">
        <f t="shared" ref="M31:M49" si="5">J6</f>
        <v>0</v>
      </c>
      <c r="N31" s="11">
        <f t="shared" ref="N31:N49" si="6">F6</f>
        <v>0</v>
      </c>
      <c r="O31" s="16">
        <f t="shared" ref="O31:O49" si="7">IF(ISERROR(M31-N31),9999,IF(OR(M31=0,N31=0),9999,IF(SUM(M31-N31)&lt;=0,9999,SUM(M31-N31))))</f>
        <v>9999</v>
      </c>
      <c r="P31" s="13"/>
      <c r="Q31" s="4" t="s">
        <v>14</v>
      </c>
      <c r="R31" s="11">
        <f t="shared" ref="R31:R49" si="8">J6</f>
        <v>0</v>
      </c>
      <c r="S31" s="11">
        <f t="shared" ref="S31:S49" si="9">B6</f>
        <v>0</v>
      </c>
      <c r="T31" s="16">
        <f t="shared" ref="T31:T49" si="10">IF(ISERROR(R31-S31),9999,IF(OR(R31=0,S31=0),9999,IF(SUM(R31-S31)&lt;=0,9999,SUM(R31-S31))))</f>
        <v>9999</v>
      </c>
      <c r="V31" s="4" t="s">
        <v>14</v>
      </c>
      <c r="W31" s="16">
        <f>BD$6</f>
        <v>0</v>
      </c>
      <c r="Y31" s="29"/>
    </row>
    <row r="32" spans="1:56" x14ac:dyDescent="0.2">
      <c r="A32" s="4" t="s">
        <v>15</v>
      </c>
      <c r="B32" s="15">
        <f t="shared" si="0"/>
        <v>9999</v>
      </c>
      <c r="C32" s="11">
        <f t="shared" ref="C32" si="11">C7-D7</f>
        <v>0</v>
      </c>
      <c r="D32" s="11">
        <f t="shared" ref="D32" si="12">H7-G7</f>
        <v>0</v>
      </c>
      <c r="E32" s="16">
        <f t="shared" si="1"/>
        <v>9999</v>
      </c>
      <c r="G32" s="4" t="s">
        <v>15</v>
      </c>
      <c r="H32" s="11">
        <f t="shared" si="2"/>
        <v>0</v>
      </c>
      <c r="I32" s="11">
        <f t="shared" si="3"/>
        <v>0</v>
      </c>
      <c r="J32" s="16">
        <f t="shared" si="4"/>
        <v>9999</v>
      </c>
      <c r="L32" s="4" t="s">
        <v>15</v>
      </c>
      <c r="M32" s="11">
        <f t="shared" si="5"/>
        <v>0</v>
      </c>
      <c r="N32" s="11">
        <f t="shared" si="6"/>
        <v>0</v>
      </c>
      <c r="O32" s="16">
        <f t="shared" si="7"/>
        <v>9999</v>
      </c>
      <c r="P32" s="13"/>
      <c r="Q32" s="4" t="s">
        <v>15</v>
      </c>
      <c r="R32" s="11">
        <f t="shared" si="8"/>
        <v>0</v>
      </c>
      <c r="S32" s="11">
        <f t="shared" si="9"/>
        <v>0</v>
      </c>
      <c r="T32" s="16">
        <f t="shared" si="10"/>
        <v>9999</v>
      </c>
      <c r="V32" s="4" t="s">
        <v>15</v>
      </c>
      <c r="W32" s="16">
        <f>BD$7</f>
        <v>0</v>
      </c>
    </row>
    <row r="33" spans="1:23" x14ac:dyDescent="0.2">
      <c r="A33" s="4" t="s">
        <v>16</v>
      </c>
      <c r="B33" s="15">
        <f t="shared" ref="B33:B49" si="13">IF(OR(E8="",E33=9999),9999,IF(AND(E8&lt;&gt;"gz",E8&lt;&gt;"z"),9999,E8))</f>
        <v>9999</v>
      </c>
      <c r="C33" s="11">
        <f t="shared" ref="C33" si="14">D8-C8</f>
        <v>0</v>
      </c>
      <c r="D33" s="11">
        <f t="shared" ref="D33" si="15">G8-H8</f>
        <v>0</v>
      </c>
      <c r="E33" s="16">
        <f t="shared" si="1"/>
        <v>9999</v>
      </c>
      <c r="G33" s="4" t="s">
        <v>16</v>
      </c>
      <c r="H33" s="11">
        <f t="shared" si="2"/>
        <v>0</v>
      </c>
      <c r="I33" s="11">
        <f t="shared" si="3"/>
        <v>0</v>
      </c>
      <c r="J33" s="16">
        <f t="shared" si="4"/>
        <v>9999</v>
      </c>
      <c r="L33" s="4" t="s">
        <v>16</v>
      </c>
      <c r="M33" s="11">
        <f t="shared" si="5"/>
        <v>0</v>
      </c>
      <c r="N33" s="11">
        <f t="shared" si="6"/>
        <v>0</v>
      </c>
      <c r="O33" s="16">
        <f t="shared" si="7"/>
        <v>9999</v>
      </c>
      <c r="P33" s="13"/>
      <c r="Q33" s="4" t="s">
        <v>16</v>
      </c>
      <c r="R33" s="11">
        <f t="shared" si="8"/>
        <v>0</v>
      </c>
      <c r="S33" s="11">
        <f t="shared" si="9"/>
        <v>0</v>
      </c>
      <c r="T33" s="16">
        <f t="shared" si="10"/>
        <v>9999</v>
      </c>
      <c r="V33" s="4" t="s">
        <v>16</v>
      </c>
      <c r="W33" s="16">
        <f>BD$8</f>
        <v>0</v>
      </c>
    </row>
    <row r="34" spans="1:23" x14ac:dyDescent="0.2">
      <c r="A34" s="4" t="s">
        <v>17</v>
      </c>
      <c r="B34" s="15">
        <f t="shared" si="13"/>
        <v>9999</v>
      </c>
      <c r="C34" s="11">
        <f t="shared" ref="C34" si="16">C9-D9</f>
        <v>0</v>
      </c>
      <c r="D34" s="11">
        <f t="shared" ref="D34" si="17">H9-G9</f>
        <v>0</v>
      </c>
      <c r="E34" s="16">
        <f t="shared" si="1"/>
        <v>9999</v>
      </c>
      <c r="G34" s="4" t="s">
        <v>17</v>
      </c>
      <c r="H34" s="11">
        <f t="shared" si="2"/>
        <v>0</v>
      </c>
      <c r="I34" s="11">
        <f t="shared" si="3"/>
        <v>0</v>
      </c>
      <c r="J34" s="16">
        <f t="shared" si="4"/>
        <v>9999</v>
      </c>
      <c r="L34" s="4" t="s">
        <v>17</v>
      </c>
      <c r="M34" s="11">
        <f t="shared" si="5"/>
        <v>0</v>
      </c>
      <c r="N34" s="11">
        <f t="shared" si="6"/>
        <v>0</v>
      </c>
      <c r="O34" s="16">
        <f t="shared" si="7"/>
        <v>9999</v>
      </c>
      <c r="P34" s="13"/>
      <c r="Q34" s="4" t="s">
        <v>17</v>
      </c>
      <c r="R34" s="11">
        <f t="shared" si="8"/>
        <v>0</v>
      </c>
      <c r="S34" s="11">
        <f t="shared" si="9"/>
        <v>0</v>
      </c>
      <c r="T34" s="16">
        <f t="shared" si="10"/>
        <v>9999</v>
      </c>
      <c r="V34" s="4" t="s">
        <v>17</v>
      </c>
      <c r="W34" s="16">
        <f>BD$9</f>
        <v>0</v>
      </c>
    </row>
    <row r="35" spans="1:23" x14ac:dyDescent="0.2">
      <c r="A35" s="4" t="s">
        <v>18</v>
      </c>
      <c r="B35" s="15">
        <f t="shared" si="13"/>
        <v>9999</v>
      </c>
      <c r="C35" s="11">
        <f t="shared" ref="C35" si="18">D10-C10</f>
        <v>0</v>
      </c>
      <c r="D35" s="11">
        <f t="shared" ref="D35" si="19">G10-H10</f>
        <v>0</v>
      </c>
      <c r="E35" s="16">
        <f t="shared" si="1"/>
        <v>9999</v>
      </c>
      <c r="G35" s="4" t="s">
        <v>18</v>
      </c>
      <c r="H35" s="11">
        <f t="shared" si="2"/>
        <v>0</v>
      </c>
      <c r="I35" s="11">
        <f t="shared" si="3"/>
        <v>0</v>
      </c>
      <c r="J35" s="16">
        <f t="shared" si="4"/>
        <v>9999</v>
      </c>
      <c r="L35" s="4" t="s">
        <v>18</v>
      </c>
      <c r="M35" s="11">
        <f t="shared" si="5"/>
        <v>0</v>
      </c>
      <c r="N35" s="11">
        <f t="shared" si="6"/>
        <v>0</v>
      </c>
      <c r="O35" s="16">
        <f t="shared" si="7"/>
        <v>9999</v>
      </c>
      <c r="P35" s="13"/>
      <c r="Q35" s="4" t="s">
        <v>18</v>
      </c>
      <c r="R35" s="11">
        <f t="shared" si="8"/>
        <v>0</v>
      </c>
      <c r="S35" s="11">
        <f t="shared" si="9"/>
        <v>0</v>
      </c>
      <c r="T35" s="16">
        <f t="shared" si="10"/>
        <v>9999</v>
      </c>
      <c r="V35" s="4" t="s">
        <v>18</v>
      </c>
      <c r="W35" s="16">
        <f>BD$10</f>
        <v>0</v>
      </c>
    </row>
    <row r="36" spans="1:23" x14ac:dyDescent="0.2">
      <c r="A36" s="4" t="s">
        <v>19</v>
      </c>
      <c r="B36" s="15">
        <f t="shared" si="13"/>
        <v>9999</v>
      </c>
      <c r="C36" s="11">
        <f t="shared" ref="C36" si="20">C11-D11</f>
        <v>0</v>
      </c>
      <c r="D36" s="11">
        <f t="shared" ref="D36" si="21">H11-G11</f>
        <v>0</v>
      </c>
      <c r="E36" s="16">
        <f t="shared" si="1"/>
        <v>9999</v>
      </c>
      <c r="G36" s="4" t="s">
        <v>19</v>
      </c>
      <c r="H36" s="11">
        <f t="shared" si="2"/>
        <v>0</v>
      </c>
      <c r="I36" s="11">
        <f t="shared" si="3"/>
        <v>0</v>
      </c>
      <c r="J36" s="16">
        <f t="shared" si="4"/>
        <v>9999</v>
      </c>
      <c r="L36" s="4" t="s">
        <v>19</v>
      </c>
      <c r="M36" s="11">
        <f t="shared" si="5"/>
        <v>0</v>
      </c>
      <c r="N36" s="11">
        <f t="shared" si="6"/>
        <v>0</v>
      </c>
      <c r="O36" s="16">
        <f t="shared" si="7"/>
        <v>9999</v>
      </c>
      <c r="P36" s="13"/>
      <c r="Q36" s="4" t="s">
        <v>19</v>
      </c>
      <c r="R36" s="11">
        <f t="shared" si="8"/>
        <v>0</v>
      </c>
      <c r="S36" s="11">
        <f t="shared" si="9"/>
        <v>0</v>
      </c>
      <c r="T36" s="16">
        <f t="shared" si="10"/>
        <v>9999</v>
      </c>
      <c r="V36" s="4" t="s">
        <v>19</v>
      </c>
      <c r="W36" s="16">
        <f>BD$11</f>
        <v>0</v>
      </c>
    </row>
    <row r="37" spans="1:23" x14ac:dyDescent="0.2">
      <c r="A37" s="9" t="s">
        <v>20</v>
      </c>
      <c r="B37" s="15">
        <f t="shared" si="13"/>
        <v>9999</v>
      </c>
      <c r="C37" s="11">
        <f t="shared" ref="C37" si="22">D12-C12</f>
        <v>0</v>
      </c>
      <c r="D37" s="11">
        <f t="shared" ref="D37" si="23">G12-H12</f>
        <v>0</v>
      </c>
      <c r="E37" s="16">
        <f t="shared" si="1"/>
        <v>9999</v>
      </c>
      <c r="G37" s="9" t="s">
        <v>20</v>
      </c>
      <c r="H37" s="11">
        <f t="shared" si="2"/>
        <v>0</v>
      </c>
      <c r="I37" s="11">
        <f t="shared" si="3"/>
        <v>0</v>
      </c>
      <c r="J37" s="16">
        <f t="shared" si="4"/>
        <v>9999</v>
      </c>
      <c r="L37" s="9" t="s">
        <v>20</v>
      </c>
      <c r="M37" s="11">
        <f t="shared" si="5"/>
        <v>0</v>
      </c>
      <c r="N37" s="11">
        <f t="shared" si="6"/>
        <v>0</v>
      </c>
      <c r="O37" s="16">
        <f t="shared" si="7"/>
        <v>9999</v>
      </c>
      <c r="P37" s="13"/>
      <c r="Q37" s="9" t="s">
        <v>20</v>
      </c>
      <c r="R37" s="11">
        <f t="shared" si="8"/>
        <v>0</v>
      </c>
      <c r="S37" s="11">
        <f t="shared" si="9"/>
        <v>0</v>
      </c>
      <c r="T37" s="16">
        <f t="shared" si="10"/>
        <v>9999</v>
      </c>
      <c r="V37" s="9" t="s">
        <v>20</v>
      </c>
      <c r="W37" s="16">
        <f>BD$12</f>
        <v>0</v>
      </c>
    </row>
    <row r="38" spans="1:23" x14ac:dyDescent="0.2">
      <c r="A38" s="9" t="s">
        <v>21</v>
      </c>
      <c r="B38" s="15">
        <f t="shared" si="13"/>
        <v>9999</v>
      </c>
      <c r="C38" s="11">
        <f t="shared" ref="C38" si="24">C13-D13</f>
        <v>0</v>
      </c>
      <c r="D38" s="11">
        <f t="shared" ref="D38" si="25">H13-G13</f>
        <v>0</v>
      </c>
      <c r="E38" s="16">
        <f t="shared" si="1"/>
        <v>9999</v>
      </c>
      <c r="G38" s="9" t="s">
        <v>21</v>
      </c>
      <c r="H38" s="11">
        <f t="shared" si="2"/>
        <v>0</v>
      </c>
      <c r="I38" s="11">
        <f t="shared" si="3"/>
        <v>0</v>
      </c>
      <c r="J38" s="16">
        <f t="shared" si="4"/>
        <v>9999</v>
      </c>
      <c r="L38" s="9" t="s">
        <v>21</v>
      </c>
      <c r="M38" s="11">
        <f t="shared" si="5"/>
        <v>0</v>
      </c>
      <c r="N38" s="11">
        <f t="shared" si="6"/>
        <v>0</v>
      </c>
      <c r="O38" s="16">
        <f t="shared" si="7"/>
        <v>9999</v>
      </c>
      <c r="P38" s="13"/>
      <c r="Q38" s="9" t="s">
        <v>21</v>
      </c>
      <c r="R38" s="11">
        <f t="shared" si="8"/>
        <v>0</v>
      </c>
      <c r="S38" s="11">
        <f t="shared" si="9"/>
        <v>0</v>
      </c>
      <c r="T38" s="16">
        <f t="shared" si="10"/>
        <v>9999</v>
      </c>
      <c r="V38" s="9" t="s">
        <v>21</v>
      </c>
      <c r="W38" s="16">
        <f>BD$13</f>
        <v>0</v>
      </c>
    </row>
    <row r="39" spans="1:23" x14ac:dyDescent="0.2">
      <c r="A39" s="9" t="s">
        <v>22</v>
      </c>
      <c r="B39" s="15">
        <f t="shared" si="13"/>
        <v>9999</v>
      </c>
      <c r="C39" s="11">
        <f t="shared" ref="C39" si="26">D14-C14</f>
        <v>0</v>
      </c>
      <c r="D39" s="11">
        <f t="shared" ref="D39" si="27">G14-H14</f>
        <v>0</v>
      </c>
      <c r="E39" s="16">
        <f t="shared" si="1"/>
        <v>9999</v>
      </c>
      <c r="G39" s="9" t="s">
        <v>22</v>
      </c>
      <c r="H39" s="11">
        <f t="shared" si="2"/>
        <v>0</v>
      </c>
      <c r="I39" s="11">
        <f t="shared" si="3"/>
        <v>0</v>
      </c>
      <c r="J39" s="16">
        <f t="shared" si="4"/>
        <v>9999</v>
      </c>
      <c r="L39" s="9" t="s">
        <v>22</v>
      </c>
      <c r="M39" s="11">
        <f t="shared" si="5"/>
        <v>0</v>
      </c>
      <c r="N39" s="11">
        <f t="shared" si="6"/>
        <v>0</v>
      </c>
      <c r="O39" s="16">
        <f t="shared" si="7"/>
        <v>9999</v>
      </c>
      <c r="P39" s="13"/>
      <c r="Q39" s="9" t="s">
        <v>22</v>
      </c>
      <c r="R39" s="11">
        <f t="shared" si="8"/>
        <v>0</v>
      </c>
      <c r="S39" s="11">
        <f t="shared" si="9"/>
        <v>0</v>
      </c>
      <c r="T39" s="16">
        <f t="shared" si="10"/>
        <v>9999</v>
      </c>
      <c r="V39" s="9" t="s">
        <v>22</v>
      </c>
      <c r="W39" s="16">
        <f>BD$14</f>
        <v>0</v>
      </c>
    </row>
    <row r="40" spans="1:23" x14ac:dyDescent="0.2">
      <c r="A40" s="9" t="s">
        <v>23</v>
      </c>
      <c r="B40" s="15">
        <f t="shared" si="13"/>
        <v>9999</v>
      </c>
      <c r="C40" s="11">
        <f t="shared" ref="C40" si="28">C15-D15</f>
        <v>0</v>
      </c>
      <c r="D40" s="11">
        <f t="shared" ref="D40" si="29">H15-G15</f>
        <v>0</v>
      </c>
      <c r="E40" s="16">
        <f t="shared" si="1"/>
        <v>9999</v>
      </c>
      <c r="G40" s="9" t="s">
        <v>23</v>
      </c>
      <c r="H40" s="11">
        <f t="shared" si="2"/>
        <v>0</v>
      </c>
      <c r="I40" s="11">
        <f t="shared" si="3"/>
        <v>0</v>
      </c>
      <c r="J40" s="16">
        <f t="shared" si="4"/>
        <v>9999</v>
      </c>
      <c r="L40" s="9" t="s">
        <v>23</v>
      </c>
      <c r="M40" s="11">
        <f t="shared" si="5"/>
        <v>0</v>
      </c>
      <c r="N40" s="11">
        <f t="shared" si="6"/>
        <v>0</v>
      </c>
      <c r="O40" s="16">
        <f t="shared" si="7"/>
        <v>9999</v>
      </c>
      <c r="P40" s="13"/>
      <c r="Q40" s="9" t="s">
        <v>23</v>
      </c>
      <c r="R40" s="11">
        <f t="shared" si="8"/>
        <v>0</v>
      </c>
      <c r="S40" s="11">
        <f t="shared" si="9"/>
        <v>0</v>
      </c>
      <c r="T40" s="16">
        <f t="shared" si="10"/>
        <v>9999</v>
      </c>
      <c r="V40" s="9" t="s">
        <v>23</v>
      </c>
      <c r="W40" s="16">
        <f>BD$15</f>
        <v>0</v>
      </c>
    </row>
    <row r="41" spans="1:23" x14ac:dyDescent="0.2">
      <c r="A41" s="9" t="s">
        <v>24</v>
      </c>
      <c r="B41" s="15">
        <f t="shared" si="13"/>
        <v>9999</v>
      </c>
      <c r="C41" s="11">
        <f t="shared" ref="C41" si="30">D16-C16</f>
        <v>0</v>
      </c>
      <c r="D41" s="11">
        <f t="shared" ref="D41" si="31">G16-H16</f>
        <v>0</v>
      </c>
      <c r="E41" s="16">
        <f t="shared" si="1"/>
        <v>9999</v>
      </c>
      <c r="G41" s="9" t="s">
        <v>24</v>
      </c>
      <c r="H41" s="11">
        <f t="shared" si="2"/>
        <v>0</v>
      </c>
      <c r="I41" s="11">
        <f t="shared" si="3"/>
        <v>0</v>
      </c>
      <c r="J41" s="16">
        <f t="shared" si="4"/>
        <v>9999</v>
      </c>
      <c r="L41" s="9" t="s">
        <v>24</v>
      </c>
      <c r="M41" s="11">
        <f t="shared" si="5"/>
        <v>0</v>
      </c>
      <c r="N41" s="11">
        <f t="shared" si="6"/>
        <v>0</v>
      </c>
      <c r="O41" s="16">
        <f t="shared" si="7"/>
        <v>9999</v>
      </c>
      <c r="P41" s="13"/>
      <c r="Q41" s="9" t="s">
        <v>24</v>
      </c>
      <c r="R41" s="11">
        <f t="shared" si="8"/>
        <v>0</v>
      </c>
      <c r="S41" s="11">
        <f t="shared" si="9"/>
        <v>0</v>
      </c>
      <c r="T41" s="16">
        <f t="shared" si="10"/>
        <v>9999</v>
      </c>
      <c r="V41" s="9" t="s">
        <v>24</v>
      </c>
      <c r="W41" s="16">
        <f>BD$16</f>
        <v>0</v>
      </c>
    </row>
    <row r="42" spans="1:23" x14ac:dyDescent="0.2">
      <c r="A42" s="4" t="s">
        <v>25</v>
      </c>
      <c r="B42" s="15">
        <f t="shared" si="13"/>
        <v>9999</v>
      </c>
      <c r="C42" s="11">
        <f t="shared" ref="C42" si="32">C17-D17</f>
        <v>0</v>
      </c>
      <c r="D42" s="11">
        <f t="shared" ref="D42" si="33">H17-G17</f>
        <v>0</v>
      </c>
      <c r="E42" s="16">
        <f t="shared" si="1"/>
        <v>9999</v>
      </c>
      <c r="G42" s="4" t="s">
        <v>25</v>
      </c>
      <c r="H42" s="11">
        <f t="shared" si="2"/>
        <v>0</v>
      </c>
      <c r="I42" s="11">
        <f t="shared" si="3"/>
        <v>0</v>
      </c>
      <c r="J42" s="16">
        <f t="shared" si="4"/>
        <v>9999</v>
      </c>
      <c r="L42" s="4" t="s">
        <v>25</v>
      </c>
      <c r="M42" s="11">
        <f t="shared" si="5"/>
        <v>0</v>
      </c>
      <c r="N42" s="11">
        <f t="shared" si="6"/>
        <v>0</v>
      </c>
      <c r="O42" s="16">
        <f t="shared" si="7"/>
        <v>9999</v>
      </c>
      <c r="P42" s="13"/>
      <c r="Q42" s="4" t="s">
        <v>25</v>
      </c>
      <c r="R42" s="11">
        <f t="shared" si="8"/>
        <v>0</v>
      </c>
      <c r="S42" s="11">
        <f t="shared" si="9"/>
        <v>0</v>
      </c>
      <c r="T42" s="16">
        <f t="shared" si="10"/>
        <v>9999</v>
      </c>
      <c r="V42" s="4" t="s">
        <v>25</v>
      </c>
      <c r="W42" s="16">
        <f>BD$17</f>
        <v>0</v>
      </c>
    </row>
    <row r="43" spans="1:23" x14ac:dyDescent="0.2">
      <c r="A43" s="4" t="s">
        <v>26</v>
      </c>
      <c r="B43" s="15">
        <f t="shared" si="13"/>
        <v>9999</v>
      </c>
      <c r="C43" s="11">
        <f t="shared" ref="C43" si="34">D18-C18</f>
        <v>0</v>
      </c>
      <c r="D43" s="11">
        <f t="shared" ref="D43" si="35">G18-H18</f>
        <v>0</v>
      </c>
      <c r="E43" s="16">
        <f t="shared" si="1"/>
        <v>9999</v>
      </c>
      <c r="G43" s="4" t="s">
        <v>26</v>
      </c>
      <c r="H43" s="11">
        <f t="shared" si="2"/>
        <v>0</v>
      </c>
      <c r="I43" s="11">
        <f t="shared" si="3"/>
        <v>0</v>
      </c>
      <c r="J43" s="16">
        <f t="shared" si="4"/>
        <v>9999</v>
      </c>
      <c r="L43" s="4" t="s">
        <v>26</v>
      </c>
      <c r="M43" s="11">
        <f t="shared" si="5"/>
        <v>0</v>
      </c>
      <c r="N43" s="11">
        <f t="shared" si="6"/>
        <v>0</v>
      </c>
      <c r="O43" s="16">
        <f t="shared" si="7"/>
        <v>9999</v>
      </c>
      <c r="P43" s="13"/>
      <c r="Q43" s="4" t="s">
        <v>26</v>
      </c>
      <c r="R43" s="11">
        <f t="shared" si="8"/>
        <v>0</v>
      </c>
      <c r="S43" s="11">
        <f t="shared" si="9"/>
        <v>0</v>
      </c>
      <c r="T43" s="16">
        <f t="shared" si="10"/>
        <v>9999</v>
      </c>
      <c r="V43" s="4" t="s">
        <v>26</v>
      </c>
      <c r="W43" s="16">
        <f>BD$18</f>
        <v>0</v>
      </c>
    </row>
    <row r="44" spans="1:23" x14ac:dyDescent="0.2">
      <c r="A44" s="4" t="s">
        <v>27</v>
      </c>
      <c r="B44" s="15">
        <f t="shared" si="13"/>
        <v>9999</v>
      </c>
      <c r="C44" s="11">
        <f t="shared" ref="C44" si="36">C19-D19</f>
        <v>0</v>
      </c>
      <c r="D44" s="11">
        <f t="shared" ref="D44" si="37">H19-G19</f>
        <v>0</v>
      </c>
      <c r="E44" s="16">
        <f t="shared" si="1"/>
        <v>9999</v>
      </c>
      <c r="G44" s="4" t="s">
        <v>27</v>
      </c>
      <c r="H44" s="11">
        <f t="shared" si="2"/>
        <v>0</v>
      </c>
      <c r="I44" s="11">
        <f t="shared" si="3"/>
        <v>0</v>
      </c>
      <c r="J44" s="16">
        <f t="shared" si="4"/>
        <v>9999</v>
      </c>
      <c r="L44" s="4" t="s">
        <v>27</v>
      </c>
      <c r="M44" s="11">
        <f t="shared" si="5"/>
        <v>0</v>
      </c>
      <c r="N44" s="11">
        <f t="shared" si="6"/>
        <v>0</v>
      </c>
      <c r="O44" s="16">
        <f t="shared" si="7"/>
        <v>9999</v>
      </c>
      <c r="P44" s="13"/>
      <c r="Q44" s="4" t="s">
        <v>27</v>
      </c>
      <c r="R44" s="11">
        <f t="shared" si="8"/>
        <v>0</v>
      </c>
      <c r="S44" s="11">
        <f t="shared" si="9"/>
        <v>0</v>
      </c>
      <c r="T44" s="16">
        <f t="shared" si="10"/>
        <v>9999</v>
      </c>
      <c r="V44" s="4" t="s">
        <v>27</v>
      </c>
      <c r="W44" s="16">
        <f>BD$19</f>
        <v>0</v>
      </c>
    </row>
    <row r="45" spans="1:23" x14ac:dyDescent="0.2">
      <c r="A45" s="9" t="s">
        <v>28</v>
      </c>
      <c r="B45" s="15">
        <f t="shared" si="13"/>
        <v>9999</v>
      </c>
      <c r="C45" s="11">
        <f t="shared" ref="C45" si="38">D20-C20</f>
        <v>0</v>
      </c>
      <c r="D45" s="11">
        <f t="shared" ref="D45" si="39">G20-H20</f>
        <v>0</v>
      </c>
      <c r="E45" s="16">
        <f t="shared" si="1"/>
        <v>9999</v>
      </c>
      <c r="G45" s="9" t="s">
        <v>28</v>
      </c>
      <c r="H45" s="11">
        <f t="shared" si="2"/>
        <v>0</v>
      </c>
      <c r="I45" s="11">
        <f t="shared" si="3"/>
        <v>0</v>
      </c>
      <c r="J45" s="16">
        <f t="shared" si="4"/>
        <v>9999</v>
      </c>
      <c r="L45" s="9" t="s">
        <v>28</v>
      </c>
      <c r="M45" s="11">
        <f t="shared" si="5"/>
        <v>0</v>
      </c>
      <c r="N45" s="11">
        <f t="shared" si="6"/>
        <v>0</v>
      </c>
      <c r="O45" s="16">
        <f t="shared" si="7"/>
        <v>9999</v>
      </c>
      <c r="P45" s="13"/>
      <c r="Q45" s="9" t="s">
        <v>28</v>
      </c>
      <c r="R45" s="11">
        <f t="shared" si="8"/>
        <v>0</v>
      </c>
      <c r="S45" s="11">
        <f t="shared" si="9"/>
        <v>0</v>
      </c>
      <c r="T45" s="16">
        <f t="shared" si="10"/>
        <v>9999</v>
      </c>
      <c r="V45" s="9" t="s">
        <v>28</v>
      </c>
      <c r="W45" s="16">
        <f>BD$20</f>
        <v>0</v>
      </c>
    </row>
    <row r="46" spans="1:23" x14ac:dyDescent="0.2">
      <c r="A46" s="9" t="s">
        <v>29</v>
      </c>
      <c r="B46" s="15">
        <f t="shared" si="13"/>
        <v>9999</v>
      </c>
      <c r="C46" s="11">
        <f t="shared" ref="C46" si="40">C21-D21</f>
        <v>0</v>
      </c>
      <c r="D46" s="11">
        <f t="shared" ref="D46" si="41">H21-G21</f>
        <v>0</v>
      </c>
      <c r="E46" s="16">
        <f t="shared" si="1"/>
        <v>9999</v>
      </c>
      <c r="G46" s="9" t="s">
        <v>29</v>
      </c>
      <c r="H46" s="11">
        <f t="shared" si="2"/>
        <v>0</v>
      </c>
      <c r="I46" s="11">
        <f t="shared" si="3"/>
        <v>0</v>
      </c>
      <c r="J46" s="16">
        <f t="shared" si="4"/>
        <v>9999</v>
      </c>
      <c r="L46" s="9" t="s">
        <v>29</v>
      </c>
      <c r="M46" s="11">
        <f t="shared" si="5"/>
        <v>0</v>
      </c>
      <c r="N46" s="11">
        <f t="shared" si="6"/>
        <v>0</v>
      </c>
      <c r="O46" s="16">
        <f t="shared" si="7"/>
        <v>9999</v>
      </c>
      <c r="P46" s="13"/>
      <c r="Q46" s="9" t="s">
        <v>29</v>
      </c>
      <c r="R46" s="11">
        <f t="shared" si="8"/>
        <v>0</v>
      </c>
      <c r="S46" s="11">
        <f t="shared" si="9"/>
        <v>0</v>
      </c>
      <c r="T46" s="16">
        <f t="shared" si="10"/>
        <v>9999</v>
      </c>
      <c r="V46" s="9" t="s">
        <v>29</v>
      </c>
      <c r="W46" s="16">
        <f>BD$21</f>
        <v>0</v>
      </c>
    </row>
    <row r="47" spans="1:23" x14ac:dyDescent="0.2">
      <c r="A47" s="9" t="s">
        <v>30</v>
      </c>
      <c r="B47" s="15">
        <f t="shared" si="13"/>
        <v>9999</v>
      </c>
      <c r="C47" s="11">
        <f t="shared" ref="C47" si="42">D22-C22</f>
        <v>0</v>
      </c>
      <c r="D47" s="11">
        <f t="shared" ref="D47" si="43">G22-H22</f>
        <v>0</v>
      </c>
      <c r="E47" s="16">
        <f t="shared" si="1"/>
        <v>9999</v>
      </c>
      <c r="G47" s="9" t="s">
        <v>30</v>
      </c>
      <c r="H47" s="11">
        <f t="shared" si="2"/>
        <v>0</v>
      </c>
      <c r="I47" s="11">
        <f t="shared" si="3"/>
        <v>0</v>
      </c>
      <c r="J47" s="16">
        <f t="shared" si="4"/>
        <v>9999</v>
      </c>
      <c r="L47" s="9" t="s">
        <v>30</v>
      </c>
      <c r="M47" s="11">
        <f t="shared" si="5"/>
        <v>0</v>
      </c>
      <c r="N47" s="11">
        <f t="shared" si="6"/>
        <v>0</v>
      </c>
      <c r="O47" s="16">
        <f t="shared" si="7"/>
        <v>9999</v>
      </c>
      <c r="P47" s="13"/>
      <c r="Q47" s="9" t="s">
        <v>30</v>
      </c>
      <c r="R47" s="11">
        <f t="shared" si="8"/>
        <v>0</v>
      </c>
      <c r="S47" s="11">
        <f t="shared" si="9"/>
        <v>0</v>
      </c>
      <c r="T47" s="16">
        <f t="shared" si="10"/>
        <v>9999</v>
      </c>
      <c r="V47" s="9" t="s">
        <v>30</v>
      </c>
      <c r="W47" s="16">
        <f>BD$22</f>
        <v>0</v>
      </c>
    </row>
    <row r="48" spans="1:23" x14ac:dyDescent="0.2">
      <c r="A48" s="9" t="s">
        <v>31</v>
      </c>
      <c r="B48" s="15">
        <f t="shared" si="13"/>
        <v>9999</v>
      </c>
      <c r="C48" s="11">
        <f t="shared" ref="C48" si="44">C23-D23</f>
        <v>0</v>
      </c>
      <c r="D48" s="11">
        <f t="shared" ref="D48" si="45">H23-G23</f>
        <v>0</v>
      </c>
      <c r="E48" s="16">
        <f t="shared" si="1"/>
        <v>9999</v>
      </c>
      <c r="G48" s="9" t="s">
        <v>31</v>
      </c>
      <c r="H48" s="11">
        <f t="shared" si="2"/>
        <v>0</v>
      </c>
      <c r="I48" s="11">
        <f t="shared" si="3"/>
        <v>0</v>
      </c>
      <c r="J48" s="16">
        <f t="shared" si="4"/>
        <v>9999</v>
      </c>
      <c r="L48" s="9" t="s">
        <v>31</v>
      </c>
      <c r="M48" s="11">
        <f t="shared" si="5"/>
        <v>0</v>
      </c>
      <c r="N48" s="11">
        <f t="shared" si="6"/>
        <v>0</v>
      </c>
      <c r="O48" s="16">
        <f t="shared" si="7"/>
        <v>9999</v>
      </c>
      <c r="P48" s="13"/>
      <c r="Q48" s="9" t="s">
        <v>31</v>
      </c>
      <c r="R48" s="11">
        <f t="shared" si="8"/>
        <v>0</v>
      </c>
      <c r="S48" s="11">
        <f t="shared" si="9"/>
        <v>0</v>
      </c>
      <c r="T48" s="16">
        <f t="shared" si="10"/>
        <v>9999</v>
      </c>
      <c r="V48" s="9" t="s">
        <v>31</v>
      </c>
      <c r="W48" s="16">
        <f>BD$23</f>
        <v>0</v>
      </c>
    </row>
    <row r="49" spans="1:25" x14ac:dyDescent="0.2">
      <c r="A49" s="10" t="s">
        <v>32</v>
      </c>
      <c r="B49" s="17">
        <f t="shared" si="13"/>
        <v>9999</v>
      </c>
      <c r="C49" s="12">
        <f t="shared" ref="C49" si="46">D24-C24</f>
        <v>0</v>
      </c>
      <c r="D49" s="12">
        <f t="shared" ref="D49" si="47">G24-H24</f>
        <v>0</v>
      </c>
      <c r="E49" s="18">
        <f t="shared" si="1"/>
        <v>9999</v>
      </c>
      <c r="G49" s="10" t="s">
        <v>32</v>
      </c>
      <c r="H49" s="12">
        <f t="shared" si="2"/>
        <v>0</v>
      </c>
      <c r="I49" s="12">
        <f t="shared" si="3"/>
        <v>0</v>
      </c>
      <c r="J49" s="18">
        <f t="shared" si="4"/>
        <v>9999</v>
      </c>
      <c r="L49" s="10" t="s">
        <v>32</v>
      </c>
      <c r="M49" s="12">
        <f t="shared" si="5"/>
        <v>0</v>
      </c>
      <c r="N49" s="12">
        <f t="shared" si="6"/>
        <v>0</v>
      </c>
      <c r="O49" s="18">
        <f t="shared" si="7"/>
        <v>9999</v>
      </c>
      <c r="P49" s="13"/>
      <c r="Q49" s="10" t="s">
        <v>32</v>
      </c>
      <c r="R49" s="12">
        <f t="shared" si="8"/>
        <v>0</v>
      </c>
      <c r="S49" s="12">
        <f t="shared" si="9"/>
        <v>0</v>
      </c>
      <c r="T49" s="18">
        <f t="shared" si="10"/>
        <v>9999</v>
      </c>
      <c r="V49" s="10" t="s">
        <v>32</v>
      </c>
      <c r="W49" s="18">
        <f>BD$24</f>
        <v>0</v>
      </c>
    </row>
    <row r="50" spans="1:25" x14ac:dyDescent="0.2">
      <c r="P50" s="13"/>
    </row>
    <row r="51" spans="1:25" x14ac:dyDescent="0.2">
      <c r="A51" s="14" t="s">
        <v>6</v>
      </c>
      <c r="E51" s="8"/>
      <c r="G51" s="26"/>
    </row>
    <row r="52" spans="1:25" x14ac:dyDescent="0.2">
      <c r="A52" s="28" t="s">
        <v>61</v>
      </c>
      <c r="B52" s="2"/>
      <c r="C52" s="2"/>
      <c r="D52" s="2"/>
      <c r="E52" s="3"/>
      <c r="G52" s="27" t="s">
        <v>60</v>
      </c>
      <c r="H52" s="2"/>
      <c r="I52" s="2"/>
      <c r="J52" s="3"/>
      <c r="L52" s="1" t="s">
        <v>2</v>
      </c>
      <c r="M52" s="2"/>
      <c r="N52" s="2"/>
      <c r="O52" s="3"/>
      <c r="P52" s="5"/>
      <c r="Q52" s="28" t="s">
        <v>63</v>
      </c>
      <c r="R52" s="2"/>
      <c r="S52" s="2"/>
      <c r="T52" s="3"/>
      <c r="V52" s="28" t="s">
        <v>320</v>
      </c>
      <c r="W52" s="36"/>
      <c r="Y52" s="24"/>
    </row>
    <row r="53" spans="1:25" x14ac:dyDescent="0.2">
      <c r="A53" s="4"/>
      <c r="B53" s="5"/>
      <c r="C53" s="5"/>
      <c r="D53" s="5"/>
      <c r="E53" s="6"/>
      <c r="G53" s="4"/>
      <c r="H53" s="5"/>
      <c r="I53" s="5"/>
      <c r="J53" s="6"/>
      <c r="L53" s="4"/>
      <c r="M53" s="5"/>
      <c r="N53" s="5"/>
      <c r="O53" s="6"/>
      <c r="P53" s="5"/>
      <c r="Q53" s="4"/>
      <c r="R53" s="5"/>
      <c r="S53" s="5"/>
      <c r="T53" s="6"/>
      <c r="V53" s="4"/>
      <c r="W53" s="6"/>
    </row>
    <row r="54" spans="1:25" x14ac:dyDescent="0.2">
      <c r="A54" s="4"/>
      <c r="B54" s="42" t="s">
        <v>384</v>
      </c>
      <c r="C54" s="5"/>
      <c r="D54" s="5"/>
      <c r="E54" s="16" t="s">
        <v>3</v>
      </c>
      <c r="G54" s="4"/>
      <c r="H54" s="5"/>
      <c r="I54" s="5"/>
      <c r="J54" s="16" t="s">
        <v>4</v>
      </c>
      <c r="L54" s="4"/>
      <c r="M54" s="5"/>
      <c r="N54" s="5"/>
      <c r="O54" s="16" t="s">
        <v>4</v>
      </c>
      <c r="P54" s="11"/>
      <c r="Q54" s="4"/>
      <c r="R54" s="5"/>
      <c r="S54" s="5"/>
      <c r="T54" s="16" t="s">
        <v>4</v>
      </c>
      <c r="V54" s="4"/>
      <c r="W54" s="6"/>
    </row>
    <row r="55" spans="1:25" x14ac:dyDescent="0.2">
      <c r="A55" s="4" t="s">
        <v>13</v>
      </c>
      <c r="B55" s="15">
        <f>IF(OR(I5="",E55=9999),9999,IF(AND(I5&lt;&gt;"gz",I5&lt;&gt;"z"),9999,I5))</f>
        <v>9999</v>
      </c>
      <c r="C55" s="11">
        <f>G5-H5</f>
        <v>0</v>
      </c>
      <c r="D55" s="11">
        <f>M5-L5</f>
        <v>0</v>
      </c>
      <c r="E55" s="16">
        <f>IF(ISERROR(C55-D55),9999,IF(OR(C55=0,D55=0),9999,IF(I5=N5,(C55+D55)/10,(C55+D55+1000)/10)))</f>
        <v>9999</v>
      </c>
      <c r="G55" s="4" t="s">
        <v>13</v>
      </c>
      <c r="H55" s="11">
        <f>K5</f>
        <v>0</v>
      </c>
      <c r="I55" s="11">
        <f>F5</f>
        <v>0</v>
      </c>
      <c r="J55" s="16">
        <f>IF(ISERROR(I55-H55),9999,IF(OR(H55=0,I55=0),9999,H55-I55))</f>
        <v>9999</v>
      </c>
      <c r="L55" s="4" t="s">
        <v>13</v>
      </c>
      <c r="M55" s="11">
        <f>O5</f>
        <v>0</v>
      </c>
      <c r="N55" s="11">
        <f>K5</f>
        <v>0</v>
      </c>
      <c r="O55" s="16">
        <f>IF(ISERROR(M55-N55),9999,IF(OR(M55=0,N55=0),9999,IF(SUM(M55-N55)&lt;=0,9999,SUM(M55-N55))))</f>
        <v>9999</v>
      </c>
      <c r="P55" s="13"/>
      <c r="Q55" s="4" t="s">
        <v>13</v>
      </c>
      <c r="R55" s="11">
        <f>O5</f>
        <v>0</v>
      </c>
      <c r="S55" s="11">
        <f>F5</f>
        <v>0</v>
      </c>
      <c r="T55" s="16">
        <f>IF(ISERROR(R55-S55),9999,IF(OR(R55=0,S55=0),9999,IF(SUM(R55-S55)&lt;=0,9999,SUM(R55-S55))))</f>
        <v>9999</v>
      </c>
      <c r="V55" s="4" t="s">
        <v>13</v>
      </c>
      <c r="W55" s="16">
        <f>BD$5</f>
        <v>0</v>
      </c>
    </row>
    <row r="56" spans="1:25" x14ac:dyDescent="0.2">
      <c r="A56" s="4" t="s">
        <v>14</v>
      </c>
      <c r="B56" s="15">
        <f t="shared" ref="B56:B57" si="48">IF(OR(I6="",E56=9999),9999,IF(AND(I6&lt;&gt;"gz",I6&lt;&gt;"z"),9999,I6))</f>
        <v>9999</v>
      </c>
      <c r="C56" s="11">
        <f>H6-G6</f>
        <v>0</v>
      </c>
      <c r="D56" s="11">
        <f>L6-M6</f>
        <v>0</v>
      </c>
      <c r="E56" s="16">
        <f t="shared" ref="E56:E74" si="49">IF(ISERROR(C56-D56),9999,IF(OR(C56=0,D56=0),9999,IF(I6=N6,(C56+D56)/10,(C56+D56+1000)/10)))</f>
        <v>9999</v>
      </c>
      <c r="G56" s="4" t="s">
        <v>14</v>
      </c>
      <c r="H56" s="11">
        <f t="shared" ref="H56:H74" si="50">K6</f>
        <v>0</v>
      </c>
      <c r="I56" s="11">
        <f t="shared" ref="I56:I74" si="51">F6</f>
        <v>0</v>
      </c>
      <c r="J56" s="16">
        <f t="shared" ref="J56:J74" si="52">IF(ISERROR(I56-H56),9999,IF(OR(H56=0,I56=0),9999,H56-I56))</f>
        <v>9999</v>
      </c>
      <c r="L56" s="4" t="s">
        <v>14</v>
      </c>
      <c r="M56" s="11">
        <f t="shared" ref="M56:M74" si="53">O6</f>
        <v>0</v>
      </c>
      <c r="N56" s="11">
        <f t="shared" ref="N56:N74" si="54">K6</f>
        <v>0</v>
      </c>
      <c r="O56" s="16">
        <f t="shared" ref="O56:O74" si="55">IF(ISERROR(M56-N56),9999,IF(OR(M56=0,N56=0),9999,IF(SUM(M56-N56)&lt;=0,9999,SUM(M56-N56))))</f>
        <v>9999</v>
      </c>
      <c r="P56" s="13"/>
      <c r="Q56" s="4" t="s">
        <v>14</v>
      </c>
      <c r="R56" s="11">
        <f t="shared" ref="R56:R74" si="56">O6</f>
        <v>0</v>
      </c>
      <c r="S56" s="11">
        <f t="shared" ref="S56:S74" si="57">F6</f>
        <v>0</v>
      </c>
      <c r="T56" s="16">
        <f t="shared" ref="T56:T74" si="58">IF(ISERROR(R56-S56),9999,IF(OR(R56=0,S56=0),9999,IF(SUM(R56-S56)&lt;=0,9999,SUM(R56-S56))))</f>
        <v>9999</v>
      </c>
      <c r="V56" s="4" t="s">
        <v>14</v>
      </c>
      <c r="W56" s="16">
        <f>BD$6</f>
        <v>0</v>
      </c>
      <c r="Y56" s="29"/>
    </row>
    <row r="57" spans="1:25" x14ac:dyDescent="0.2">
      <c r="A57" s="4" t="s">
        <v>15</v>
      </c>
      <c r="B57" s="15">
        <f t="shared" si="48"/>
        <v>9999</v>
      </c>
      <c r="C57" s="11">
        <f t="shared" ref="C57" si="59">G7-H7</f>
        <v>0</v>
      </c>
      <c r="D57" s="11">
        <f t="shared" ref="D57" si="60">M7-L7</f>
        <v>0</v>
      </c>
      <c r="E57" s="16">
        <f t="shared" si="49"/>
        <v>9999</v>
      </c>
      <c r="G57" s="4" t="s">
        <v>15</v>
      </c>
      <c r="H57" s="11">
        <f t="shared" si="50"/>
        <v>0</v>
      </c>
      <c r="I57" s="11">
        <f t="shared" si="51"/>
        <v>0</v>
      </c>
      <c r="J57" s="16">
        <f t="shared" si="52"/>
        <v>9999</v>
      </c>
      <c r="L57" s="4" t="s">
        <v>15</v>
      </c>
      <c r="M57" s="11">
        <f t="shared" si="53"/>
        <v>0</v>
      </c>
      <c r="N57" s="11">
        <f t="shared" si="54"/>
        <v>0</v>
      </c>
      <c r="O57" s="16">
        <f t="shared" si="55"/>
        <v>9999</v>
      </c>
      <c r="P57" s="13"/>
      <c r="Q57" s="4" t="s">
        <v>15</v>
      </c>
      <c r="R57" s="11">
        <f t="shared" si="56"/>
        <v>0</v>
      </c>
      <c r="S57" s="11">
        <f t="shared" si="57"/>
        <v>0</v>
      </c>
      <c r="T57" s="16">
        <f t="shared" si="58"/>
        <v>9999</v>
      </c>
      <c r="V57" s="4" t="s">
        <v>15</v>
      </c>
      <c r="W57" s="16">
        <f>BD$7</f>
        <v>0</v>
      </c>
    </row>
    <row r="58" spans="1:25" x14ac:dyDescent="0.2">
      <c r="A58" s="4" t="s">
        <v>16</v>
      </c>
      <c r="B58" s="15">
        <f t="shared" ref="B58:B74" si="61">IF(OR(I8="",E58=9999),9999,IF(AND(I8&lt;&gt;"gz",I8&lt;&gt;"z"),9999,I8))</f>
        <v>9999</v>
      </c>
      <c r="C58" s="11">
        <f t="shared" ref="C58" si="62">H8-G8</f>
        <v>0</v>
      </c>
      <c r="D58" s="11">
        <f t="shared" ref="D58" si="63">L8-M8</f>
        <v>0</v>
      </c>
      <c r="E58" s="16">
        <f t="shared" si="49"/>
        <v>9999</v>
      </c>
      <c r="G58" s="4" t="s">
        <v>16</v>
      </c>
      <c r="H58" s="11">
        <f t="shared" si="50"/>
        <v>0</v>
      </c>
      <c r="I58" s="11">
        <f t="shared" si="51"/>
        <v>0</v>
      </c>
      <c r="J58" s="16">
        <f t="shared" si="52"/>
        <v>9999</v>
      </c>
      <c r="L58" s="4" t="s">
        <v>16</v>
      </c>
      <c r="M58" s="11">
        <f t="shared" si="53"/>
        <v>0</v>
      </c>
      <c r="N58" s="11">
        <f t="shared" si="54"/>
        <v>0</v>
      </c>
      <c r="O58" s="16">
        <f t="shared" si="55"/>
        <v>9999</v>
      </c>
      <c r="P58" s="13"/>
      <c r="Q58" s="4" t="s">
        <v>16</v>
      </c>
      <c r="R58" s="11">
        <f t="shared" si="56"/>
        <v>0</v>
      </c>
      <c r="S58" s="11">
        <f t="shared" si="57"/>
        <v>0</v>
      </c>
      <c r="T58" s="16">
        <f t="shared" si="58"/>
        <v>9999</v>
      </c>
      <c r="V58" s="4" t="s">
        <v>16</v>
      </c>
      <c r="W58" s="16">
        <f>BD$8</f>
        <v>0</v>
      </c>
    </row>
    <row r="59" spans="1:25" x14ac:dyDescent="0.2">
      <c r="A59" s="4" t="s">
        <v>17</v>
      </c>
      <c r="B59" s="15">
        <f t="shared" si="61"/>
        <v>9999</v>
      </c>
      <c r="C59" s="11">
        <f t="shared" ref="C59" si="64">G9-H9</f>
        <v>0</v>
      </c>
      <c r="D59" s="11">
        <f t="shared" ref="D59" si="65">M9-L9</f>
        <v>0</v>
      </c>
      <c r="E59" s="16">
        <f t="shared" si="49"/>
        <v>9999</v>
      </c>
      <c r="G59" s="4" t="s">
        <v>17</v>
      </c>
      <c r="H59" s="11">
        <f t="shared" si="50"/>
        <v>0</v>
      </c>
      <c r="I59" s="11">
        <f t="shared" si="51"/>
        <v>0</v>
      </c>
      <c r="J59" s="16">
        <f t="shared" si="52"/>
        <v>9999</v>
      </c>
      <c r="L59" s="4" t="s">
        <v>17</v>
      </c>
      <c r="M59" s="11">
        <f t="shared" si="53"/>
        <v>0</v>
      </c>
      <c r="N59" s="11">
        <f t="shared" si="54"/>
        <v>0</v>
      </c>
      <c r="O59" s="16">
        <f t="shared" si="55"/>
        <v>9999</v>
      </c>
      <c r="P59" s="13"/>
      <c r="Q59" s="4" t="s">
        <v>17</v>
      </c>
      <c r="R59" s="11">
        <f t="shared" si="56"/>
        <v>0</v>
      </c>
      <c r="S59" s="11">
        <f t="shared" si="57"/>
        <v>0</v>
      </c>
      <c r="T59" s="16">
        <f t="shared" si="58"/>
        <v>9999</v>
      </c>
      <c r="V59" s="4" t="s">
        <v>17</v>
      </c>
      <c r="W59" s="16">
        <f>BD$9</f>
        <v>0</v>
      </c>
    </row>
    <row r="60" spans="1:25" x14ac:dyDescent="0.2">
      <c r="A60" s="4" t="s">
        <v>18</v>
      </c>
      <c r="B60" s="15">
        <f t="shared" si="61"/>
        <v>9999</v>
      </c>
      <c r="C60" s="11">
        <f t="shared" ref="C60" si="66">H10-G10</f>
        <v>0</v>
      </c>
      <c r="D60" s="11">
        <f t="shared" ref="D60" si="67">L10-M10</f>
        <v>0</v>
      </c>
      <c r="E60" s="16">
        <f t="shared" si="49"/>
        <v>9999</v>
      </c>
      <c r="G60" s="4" t="s">
        <v>18</v>
      </c>
      <c r="H60" s="11">
        <f t="shared" si="50"/>
        <v>0</v>
      </c>
      <c r="I60" s="11">
        <f t="shared" si="51"/>
        <v>0</v>
      </c>
      <c r="J60" s="16">
        <f t="shared" si="52"/>
        <v>9999</v>
      </c>
      <c r="L60" s="4" t="s">
        <v>18</v>
      </c>
      <c r="M60" s="11">
        <f t="shared" si="53"/>
        <v>0</v>
      </c>
      <c r="N60" s="11">
        <f t="shared" si="54"/>
        <v>0</v>
      </c>
      <c r="O60" s="16">
        <f t="shared" si="55"/>
        <v>9999</v>
      </c>
      <c r="P60" s="13"/>
      <c r="Q60" s="4" t="s">
        <v>18</v>
      </c>
      <c r="R60" s="11">
        <f t="shared" si="56"/>
        <v>0</v>
      </c>
      <c r="S60" s="11">
        <f t="shared" si="57"/>
        <v>0</v>
      </c>
      <c r="T60" s="16">
        <f t="shared" si="58"/>
        <v>9999</v>
      </c>
      <c r="V60" s="4" t="s">
        <v>18</v>
      </c>
      <c r="W60" s="16">
        <f>BD$10</f>
        <v>0</v>
      </c>
    </row>
    <row r="61" spans="1:25" x14ac:dyDescent="0.2">
      <c r="A61" s="4" t="s">
        <v>19</v>
      </c>
      <c r="B61" s="15">
        <f t="shared" si="61"/>
        <v>9999</v>
      </c>
      <c r="C61" s="11">
        <f t="shared" ref="C61" si="68">G11-H11</f>
        <v>0</v>
      </c>
      <c r="D61" s="11">
        <f t="shared" ref="D61" si="69">M11-L11</f>
        <v>0</v>
      </c>
      <c r="E61" s="16">
        <f t="shared" si="49"/>
        <v>9999</v>
      </c>
      <c r="G61" s="4" t="s">
        <v>19</v>
      </c>
      <c r="H61" s="11">
        <f t="shared" si="50"/>
        <v>0</v>
      </c>
      <c r="I61" s="11">
        <f t="shared" si="51"/>
        <v>0</v>
      </c>
      <c r="J61" s="16">
        <f t="shared" si="52"/>
        <v>9999</v>
      </c>
      <c r="L61" s="4" t="s">
        <v>19</v>
      </c>
      <c r="M61" s="11">
        <f t="shared" si="53"/>
        <v>0</v>
      </c>
      <c r="N61" s="11">
        <f t="shared" si="54"/>
        <v>0</v>
      </c>
      <c r="O61" s="16">
        <f t="shared" si="55"/>
        <v>9999</v>
      </c>
      <c r="P61" s="13"/>
      <c r="Q61" s="4" t="s">
        <v>19</v>
      </c>
      <c r="R61" s="11">
        <f t="shared" si="56"/>
        <v>0</v>
      </c>
      <c r="S61" s="11">
        <f t="shared" si="57"/>
        <v>0</v>
      </c>
      <c r="T61" s="16">
        <f t="shared" si="58"/>
        <v>9999</v>
      </c>
      <c r="V61" s="4" t="s">
        <v>19</v>
      </c>
      <c r="W61" s="16">
        <f>BD$11</f>
        <v>0</v>
      </c>
    </row>
    <row r="62" spans="1:25" x14ac:dyDescent="0.2">
      <c r="A62" s="9" t="s">
        <v>20</v>
      </c>
      <c r="B62" s="15">
        <f t="shared" si="61"/>
        <v>9999</v>
      </c>
      <c r="C62" s="11">
        <f t="shared" ref="C62" si="70">H12-G12</f>
        <v>0</v>
      </c>
      <c r="D62" s="11">
        <f t="shared" ref="D62" si="71">L12-M12</f>
        <v>0</v>
      </c>
      <c r="E62" s="16">
        <f t="shared" si="49"/>
        <v>9999</v>
      </c>
      <c r="G62" s="9" t="s">
        <v>20</v>
      </c>
      <c r="H62" s="11">
        <f t="shared" si="50"/>
        <v>0</v>
      </c>
      <c r="I62" s="11">
        <f t="shared" si="51"/>
        <v>0</v>
      </c>
      <c r="J62" s="16">
        <f t="shared" si="52"/>
        <v>9999</v>
      </c>
      <c r="L62" s="9" t="s">
        <v>20</v>
      </c>
      <c r="M62" s="11">
        <f t="shared" si="53"/>
        <v>0</v>
      </c>
      <c r="N62" s="11">
        <f t="shared" si="54"/>
        <v>0</v>
      </c>
      <c r="O62" s="16">
        <f t="shared" si="55"/>
        <v>9999</v>
      </c>
      <c r="P62" s="13"/>
      <c r="Q62" s="9" t="s">
        <v>20</v>
      </c>
      <c r="R62" s="11">
        <f t="shared" si="56"/>
        <v>0</v>
      </c>
      <c r="S62" s="11">
        <f t="shared" si="57"/>
        <v>0</v>
      </c>
      <c r="T62" s="16">
        <f t="shared" si="58"/>
        <v>9999</v>
      </c>
      <c r="V62" s="9" t="s">
        <v>20</v>
      </c>
      <c r="W62" s="16">
        <f>BD$12</f>
        <v>0</v>
      </c>
    </row>
    <row r="63" spans="1:25" x14ac:dyDescent="0.2">
      <c r="A63" s="9" t="s">
        <v>21</v>
      </c>
      <c r="B63" s="15">
        <f t="shared" si="61"/>
        <v>9999</v>
      </c>
      <c r="C63" s="11">
        <f t="shared" ref="C63" si="72">G13-H13</f>
        <v>0</v>
      </c>
      <c r="D63" s="11">
        <f t="shared" ref="D63" si="73">M13-L13</f>
        <v>0</v>
      </c>
      <c r="E63" s="16">
        <f t="shared" si="49"/>
        <v>9999</v>
      </c>
      <c r="G63" s="9" t="s">
        <v>21</v>
      </c>
      <c r="H63" s="11">
        <f t="shared" si="50"/>
        <v>0</v>
      </c>
      <c r="I63" s="11">
        <f t="shared" si="51"/>
        <v>0</v>
      </c>
      <c r="J63" s="16">
        <f t="shared" si="52"/>
        <v>9999</v>
      </c>
      <c r="L63" s="9" t="s">
        <v>21</v>
      </c>
      <c r="M63" s="11">
        <f t="shared" si="53"/>
        <v>0</v>
      </c>
      <c r="N63" s="11">
        <f t="shared" si="54"/>
        <v>0</v>
      </c>
      <c r="O63" s="16">
        <f t="shared" si="55"/>
        <v>9999</v>
      </c>
      <c r="P63" s="13"/>
      <c r="Q63" s="9" t="s">
        <v>21</v>
      </c>
      <c r="R63" s="11">
        <f t="shared" si="56"/>
        <v>0</v>
      </c>
      <c r="S63" s="11">
        <f t="shared" si="57"/>
        <v>0</v>
      </c>
      <c r="T63" s="16">
        <f t="shared" si="58"/>
        <v>9999</v>
      </c>
      <c r="V63" s="9" t="s">
        <v>21</v>
      </c>
      <c r="W63" s="16">
        <f>BD$13</f>
        <v>0</v>
      </c>
    </row>
    <row r="64" spans="1:25" x14ac:dyDescent="0.2">
      <c r="A64" s="9" t="s">
        <v>22</v>
      </c>
      <c r="B64" s="15">
        <f t="shared" si="61"/>
        <v>9999</v>
      </c>
      <c r="C64" s="11">
        <f t="shared" ref="C64" si="74">H14-G14</f>
        <v>0</v>
      </c>
      <c r="D64" s="11">
        <f t="shared" ref="D64" si="75">L14-M14</f>
        <v>0</v>
      </c>
      <c r="E64" s="16">
        <f t="shared" si="49"/>
        <v>9999</v>
      </c>
      <c r="G64" s="9" t="s">
        <v>22</v>
      </c>
      <c r="H64" s="11">
        <f t="shared" si="50"/>
        <v>0</v>
      </c>
      <c r="I64" s="11">
        <f t="shared" si="51"/>
        <v>0</v>
      </c>
      <c r="J64" s="16">
        <f t="shared" si="52"/>
        <v>9999</v>
      </c>
      <c r="L64" s="9" t="s">
        <v>22</v>
      </c>
      <c r="M64" s="11">
        <f t="shared" si="53"/>
        <v>0</v>
      </c>
      <c r="N64" s="11">
        <f t="shared" si="54"/>
        <v>0</v>
      </c>
      <c r="O64" s="16">
        <f t="shared" si="55"/>
        <v>9999</v>
      </c>
      <c r="P64" s="13"/>
      <c r="Q64" s="9" t="s">
        <v>22</v>
      </c>
      <c r="R64" s="11">
        <f t="shared" si="56"/>
        <v>0</v>
      </c>
      <c r="S64" s="11">
        <f t="shared" si="57"/>
        <v>0</v>
      </c>
      <c r="T64" s="16">
        <f t="shared" si="58"/>
        <v>9999</v>
      </c>
      <c r="V64" s="9" t="s">
        <v>22</v>
      </c>
      <c r="W64" s="16">
        <f>BD$14</f>
        <v>0</v>
      </c>
    </row>
    <row r="65" spans="1:25" x14ac:dyDescent="0.2">
      <c r="A65" s="9" t="s">
        <v>23</v>
      </c>
      <c r="B65" s="15">
        <f t="shared" si="61"/>
        <v>9999</v>
      </c>
      <c r="C65" s="11">
        <f t="shared" ref="C65" si="76">G15-H15</f>
        <v>0</v>
      </c>
      <c r="D65" s="11">
        <f t="shared" ref="D65" si="77">M15-L15</f>
        <v>0</v>
      </c>
      <c r="E65" s="16">
        <f t="shared" si="49"/>
        <v>9999</v>
      </c>
      <c r="G65" s="9" t="s">
        <v>23</v>
      </c>
      <c r="H65" s="11">
        <f t="shared" si="50"/>
        <v>0</v>
      </c>
      <c r="I65" s="11">
        <f t="shared" si="51"/>
        <v>0</v>
      </c>
      <c r="J65" s="16">
        <f t="shared" si="52"/>
        <v>9999</v>
      </c>
      <c r="L65" s="9" t="s">
        <v>23</v>
      </c>
      <c r="M65" s="11">
        <f t="shared" si="53"/>
        <v>0</v>
      </c>
      <c r="N65" s="11">
        <f t="shared" si="54"/>
        <v>0</v>
      </c>
      <c r="O65" s="16">
        <f t="shared" si="55"/>
        <v>9999</v>
      </c>
      <c r="P65" s="13"/>
      <c r="Q65" s="9" t="s">
        <v>23</v>
      </c>
      <c r="R65" s="11">
        <f t="shared" si="56"/>
        <v>0</v>
      </c>
      <c r="S65" s="11">
        <f t="shared" si="57"/>
        <v>0</v>
      </c>
      <c r="T65" s="16">
        <f t="shared" si="58"/>
        <v>9999</v>
      </c>
      <c r="V65" s="9" t="s">
        <v>23</v>
      </c>
      <c r="W65" s="16">
        <f>BD$15</f>
        <v>0</v>
      </c>
    </row>
    <row r="66" spans="1:25" x14ac:dyDescent="0.2">
      <c r="A66" s="9" t="s">
        <v>24</v>
      </c>
      <c r="B66" s="15">
        <f t="shared" si="61"/>
        <v>9999</v>
      </c>
      <c r="C66" s="11">
        <f t="shared" ref="C66" si="78">H16-G16</f>
        <v>0</v>
      </c>
      <c r="D66" s="11">
        <f t="shared" ref="D66" si="79">L16-M16</f>
        <v>0</v>
      </c>
      <c r="E66" s="16">
        <f t="shared" si="49"/>
        <v>9999</v>
      </c>
      <c r="G66" s="9" t="s">
        <v>24</v>
      </c>
      <c r="H66" s="11">
        <f t="shared" si="50"/>
        <v>0</v>
      </c>
      <c r="I66" s="11">
        <f t="shared" si="51"/>
        <v>0</v>
      </c>
      <c r="J66" s="16">
        <f t="shared" si="52"/>
        <v>9999</v>
      </c>
      <c r="L66" s="9" t="s">
        <v>24</v>
      </c>
      <c r="M66" s="11">
        <f t="shared" si="53"/>
        <v>0</v>
      </c>
      <c r="N66" s="11">
        <f t="shared" si="54"/>
        <v>0</v>
      </c>
      <c r="O66" s="16">
        <f t="shared" si="55"/>
        <v>9999</v>
      </c>
      <c r="P66" s="13"/>
      <c r="Q66" s="9" t="s">
        <v>24</v>
      </c>
      <c r="R66" s="11">
        <f t="shared" si="56"/>
        <v>0</v>
      </c>
      <c r="S66" s="11">
        <f t="shared" si="57"/>
        <v>0</v>
      </c>
      <c r="T66" s="16">
        <f t="shared" si="58"/>
        <v>9999</v>
      </c>
      <c r="V66" s="9" t="s">
        <v>24</v>
      </c>
      <c r="W66" s="16">
        <f>BD$16</f>
        <v>0</v>
      </c>
    </row>
    <row r="67" spans="1:25" x14ac:dyDescent="0.2">
      <c r="A67" s="4" t="s">
        <v>25</v>
      </c>
      <c r="B67" s="15">
        <f t="shared" si="61"/>
        <v>9999</v>
      </c>
      <c r="C67" s="11">
        <f t="shared" ref="C67" si="80">G17-H17</f>
        <v>0</v>
      </c>
      <c r="D67" s="11">
        <f t="shared" ref="D67" si="81">M17-L17</f>
        <v>0</v>
      </c>
      <c r="E67" s="16">
        <f t="shared" si="49"/>
        <v>9999</v>
      </c>
      <c r="G67" s="4" t="s">
        <v>25</v>
      </c>
      <c r="H67" s="11">
        <f t="shared" si="50"/>
        <v>0</v>
      </c>
      <c r="I67" s="11">
        <f t="shared" si="51"/>
        <v>0</v>
      </c>
      <c r="J67" s="16">
        <f t="shared" si="52"/>
        <v>9999</v>
      </c>
      <c r="L67" s="4" t="s">
        <v>25</v>
      </c>
      <c r="M67" s="11">
        <f t="shared" si="53"/>
        <v>0</v>
      </c>
      <c r="N67" s="11">
        <f t="shared" si="54"/>
        <v>0</v>
      </c>
      <c r="O67" s="16">
        <f t="shared" si="55"/>
        <v>9999</v>
      </c>
      <c r="P67" s="13"/>
      <c r="Q67" s="4" t="s">
        <v>25</v>
      </c>
      <c r="R67" s="11">
        <f t="shared" si="56"/>
        <v>0</v>
      </c>
      <c r="S67" s="11">
        <f t="shared" si="57"/>
        <v>0</v>
      </c>
      <c r="T67" s="16">
        <f t="shared" si="58"/>
        <v>9999</v>
      </c>
      <c r="V67" s="4" t="s">
        <v>25</v>
      </c>
      <c r="W67" s="16">
        <f>BD$17</f>
        <v>0</v>
      </c>
    </row>
    <row r="68" spans="1:25" x14ac:dyDescent="0.2">
      <c r="A68" s="4" t="s">
        <v>26</v>
      </c>
      <c r="B68" s="15">
        <f t="shared" si="61"/>
        <v>9999</v>
      </c>
      <c r="C68" s="11">
        <f t="shared" ref="C68" si="82">H18-G18</f>
        <v>0</v>
      </c>
      <c r="D68" s="11">
        <f t="shared" ref="D68" si="83">L18-M18</f>
        <v>0</v>
      </c>
      <c r="E68" s="16">
        <f t="shared" si="49"/>
        <v>9999</v>
      </c>
      <c r="G68" s="4" t="s">
        <v>26</v>
      </c>
      <c r="H68" s="11">
        <f t="shared" si="50"/>
        <v>0</v>
      </c>
      <c r="I68" s="11">
        <f t="shared" si="51"/>
        <v>0</v>
      </c>
      <c r="J68" s="16">
        <f t="shared" si="52"/>
        <v>9999</v>
      </c>
      <c r="L68" s="4" t="s">
        <v>26</v>
      </c>
      <c r="M68" s="11">
        <f t="shared" si="53"/>
        <v>0</v>
      </c>
      <c r="N68" s="11">
        <f t="shared" si="54"/>
        <v>0</v>
      </c>
      <c r="O68" s="16">
        <f t="shared" si="55"/>
        <v>9999</v>
      </c>
      <c r="P68" s="13"/>
      <c r="Q68" s="4" t="s">
        <v>26</v>
      </c>
      <c r="R68" s="11">
        <f t="shared" si="56"/>
        <v>0</v>
      </c>
      <c r="S68" s="11">
        <f t="shared" si="57"/>
        <v>0</v>
      </c>
      <c r="T68" s="16">
        <f t="shared" si="58"/>
        <v>9999</v>
      </c>
      <c r="V68" s="4" t="s">
        <v>26</v>
      </c>
      <c r="W68" s="16">
        <f>BD$18</f>
        <v>0</v>
      </c>
    </row>
    <row r="69" spans="1:25" x14ac:dyDescent="0.2">
      <c r="A69" s="4" t="s">
        <v>27</v>
      </c>
      <c r="B69" s="15">
        <f t="shared" si="61"/>
        <v>9999</v>
      </c>
      <c r="C69" s="11">
        <f t="shared" ref="C69" si="84">G19-H19</f>
        <v>0</v>
      </c>
      <c r="D69" s="11">
        <f t="shared" ref="D69" si="85">M19-L19</f>
        <v>0</v>
      </c>
      <c r="E69" s="16">
        <f t="shared" si="49"/>
        <v>9999</v>
      </c>
      <c r="G69" s="4" t="s">
        <v>27</v>
      </c>
      <c r="H69" s="11">
        <f t="shared" si="50"/>
        <v>0</v>
      </c>
      <c r="I69" s="11">
        <f t="shared" si="51"/>
        <v>0</v>
      </c>
      <c r="J69" s="16">
        <f t="shared" si="52"/>
        <v>9999</v>
      </c>
      <c r="L69" s="4" t="s">
        <v>27</v>
      </c>
      <c r="M69" s="11">
        <f t="shared" si="53"/>
        <v>0</v>
      </c>
      <c r="N69" s="11">
        <f t="shared" si="54"/>
        <v>0</v>
      </c>
      <c r="O69" s="16">
        <f t="shared" si="55"/>
        <v>9999</v>
      </c>
      <c r="P69" s="13"/>
      <c r="Q69" s="4" t="s">
        <v>27</v>
      </c>
      <c r="R69" s="11">
        <f t="shared" si="56"/>
        <v>0</v>
      </c>
      <c r="S69" s="11">
        <f t="shared" si="57"/>
        <v>0</v>
      </c>
      <c r="T69" s="16">
        <f t="shared" si="58"/>
        <v>9999</v>
      </c>
      <c r="V69" s="4" t="s">
        <v>27</v>
      </c>
      <c r="W69" s="16">
        <f>BD$19</f>
        <v>0</v>
      </c>
    </row>
    <row r="70" spans="1:25" x14ac:dyDescent="0.2">
      <c r="A70" s="9" t="s">
        <v>28</v>
      </c>
      <c r="B70" s="15">
        <f t="shared" si="61"/>
        <v>9999</v>
      </c>
      <c r="C70" s="11">
        <f t="shared" ref="C70" si="86">H20-G20</f>
        <v>0</v>
      </c>
      <c r="D70" s="11">
        <f t="shared" ref="D70" si="87">L20-M20</f>
        <v>0</v>
      </c>
      <c r="E70" s="16">
        <f t="shared" si="49"/>
        <v>9999</v>
      </c>
      <c r="G70" s="9" t="s">
        <v>28</v>
      </c>
      <c r="H70" s="11">
        <f t="shared" si="50"/>
        <v>0</v>
      </c>
      <c r="I70" s="11">
        <f t="shared" si="51"/>
        <v>0</v>
      </c>
      <c r="J70" s="16">
        <f t="shared" si="52"/>
        <v>9999</v>
      </c>
      <c r="L70" s="9" t="s">
        <v>28</v>
      </c>
      <c r="M70" s="11">
        <f t="shared" si="53"/>
        <v>0</v>
      </c>
      <c r="N70" s="11">
        <f t="shared" si="54"/>
        <v>0</v>
      </c>
      <c r="O70" s="16">
        <f t="shared" si="55"/>
        <v>9999</v>
      </c>
      <c r="P70" s="13"/>
      <c r="Q70" s="9" t="s">
        <v>28</v>
      </c>
      <c r="R70" s="11">
        <f t="shared" si="56"/>
        <v>0</v>
      </c>
      <c r="S70" s="11">
        <f t="shared" si="57"/>
        <v>0</v>
      </c>
      <c r="T70" s="16">
        <f t="shared" si="58"/>
        <v>9999</v>
      </c>
      <c r="V70" s="9" t="s">
        <v>28</v>
      </c>
      <c r="W70" s="16">
        <f>BD$20</f>
        <v>0</v>
      </c>
    </row>
    <row r="71" spans="1:25" x14ac:dyDescent="0.2">
      <c r="A71" s="9" t="s">
        <v>29</v>
      </c>
      <c r="B71" s="15">
        <f t="shared" si="61"/>
        <v>9999</v>
      </c>
      <c r="C71" s="11">
        <f t="shared" ref="C71" si="88">G21-H21</f>
        <v>0</v>
      </c>
      <c r="D71" s="11">
        <f t="shared" ref="D71" si="89">M21-L21</f>
        <v>0</v>
      </c>
      <c r="E71" s="16">
        <f t="shared" si="49"/>
        <v>9999</v>
      </c>
      <c r="G71" s="9" t="s">
        <v>29</v>
      </c>
      <c r="H71" s="11">
        <f t="shared" si="50"/>
        <v>0</v>
      </c>
      <c r="I71" s="11">
        <f t="shared" si="51"/>
        <v>0</v>
      </c>
      <c r="J71" s="16">
        <f t="shared" si="52"/>
        <v>9999</v>
      </c>
      <c r="L71" s="9" t="s">
        <v>29</v>
      </c>
      <c r="M71" s="11">
        <f t="shared" si="53"/>
        <v>0</v>
      </c>
      <c r="N71" s="11">
        <f t="shared" si="54"/>
        <v>0</v>
      </c>
      <c r="O71" s="16">
        <f t="shared" si="55"/>
        <v>9999</v>
      </c>
      <c r="P71" s="13"/>
      <c r="Q71" s="9" t="s">
        <v>29</v>
      </c>
      <c r="R71" s="11">
        <f t="shared" si="56"/>
        <v>0</v>
      </c>
      <c r="S71" s="11">
        <f t="shared" si="57"/>
        <v>0</v>
      </c>
      <c r="T71" s="16">
        <f t="shared" si="58"/>
        <v>9999</v>
      </c>
      <c r="V71" s="9" t="s">
        <v>29</v>
      </c>
      <c r="W71" s="16">
        <f>BD$21</f>
        <v>0</v>
      </c>
    </row>
    <row r="72" spans="1:25" x14ac:dyDescent="0.2">
      <c r="A72" s="9" t="s">
        <v>30</v>
      </c>
      <c r="B72" s="15">
        <f t="shared" si="61"/>
        <v>9999</v>
      </c>
      <c r="C72" s="11">
        <f t="shared" ref="C72" si="90">H22-G22</f>
        <v>0</v>
      </c>
      <c r="D72" s="11">
        <f t="shared" ref="D72" si="91">L22-M22</f>
        <v>0</v>
      </c>
      <c r="E72" s="16">
        <f t="shared" si="49"/>
        <v>9999</v>
      </c>
      <c r="G72" s="9" t="s">
        <v>30</v>
      </c>
      <c r="H72" s="11">
        <f t="shared" si="50"/>
        <v>0</v>
      </c>
      <c r="I72" s="11">
        <f t="shared" si="51"/>
        <v>0</v>
      </c>
      <c r="J72" s="16">
        <f t="shared" si="52"/>
        <v>9999</v>
      </c>
      <c r="L72" s="9" t="s">
        <v>30</v>
      </c>
      <c r="M72" s="11">
        <f t="shared" si="53"/>
        <v>0</v>
      </c>
      <c r="N72" s="11">
        <f t="shared" si="54"/>
        <v>0</v>
      </c>
      <c r="O72" s="16">
        <f t="shared" si="55"/>
        <v>9999</v>
      </c>
      <c r="P72" s="13"/>
      <c r="Q72" s="9" t="s">
        <v>30</v>
      </c>
      <c r="R72" s="11">
        <f t="shared" si="56"/>
        <v>0</v>
      </c>
      <c r="S72" s="11">
        <f t="shared" si="57"/>
        <v>0</v>
      </c>
      <c r="T72" s="16">
        <f t="shared" si="58"/>
        <v>9999</v>
      </c>
      <c r="V72" s="9" t="s">
        <v>30</v>
      </c>
      <c r="W72" s="16">
        <f>BD$22</f>
        <v>0</v>
      </c>
    </row>
    <row r="73" spans="1:25" x14ac:dyDescent="0.2">
      <c r="A73" s="9" t="s">
        <v>31</v>
      </c>
      <c r="B73" s="15">
        <f t="shared" si="61"/>
        <v>9999</v>
      </c>
      <c r="C73" s="11">
        <f t="shared" ref="C73" si="92">G23-H23</f>
        <v>0</v>
      </c>
      <c r="D73" s="11">
        <f t="shared" ref="D73" si="93">M23-L23</f>
        <v>0</v>
      </c>
      <c r="E73" s="16">
        <f t="shared" si="49"/>
        <v>9999</v>
      </c>
      <c r="G73" s="9" t="s">
        <v>31</v>
      </c>
      <c r="H73" s="11">
        <f t="shared" si="50"/>
        <v>0</v>
      </c>
      <c r="I73" s="11">
        <f t="shared" si="51"/>
        <v>0</v>
      </c>
      <c r="J73" s="16">
        <f t="shared" si="52"/>
        <v>9999</v>
      </c>
      <c r="L73" s="9" t="s">
        <v>31</v>
      </c>
      <c r="M73" s="11">
        <f t="shared" si="53"/>
        <v>0</v>
      </c>
      <c r="N73" s="11">
        <f t="shared" si="54"/>
        <v>0</v>
      </c>
      <c r="O73" s="16">
        <f t="shared" si="55"/>
        <v>9999</v>
      </c>
      <c r="P73" s="13"/>
      <c r="Q73" s="9" t="s">
        <v>31</v>
      </c>
      <c r="R73" s="11">
        <f t="shared" si="56"/>
        <v>0</v>
      </c>
      <c r="S73" s="11">
        <f t="shared" si="57"/>
        <v>0</v>
      </c>
      <c r="T73" s="16">
        <f t="shared" si="58"/>
        <v>9999</v>
      </c>
      <c r="V73" s="9" t="s">
        <v>31</v>
      </c>
      <c r="W73" s="16">
        <f>BD$23</f>
        <v>0</v>
      </c>
    </row>
    <row r="74" spans="1:25" x14ac:dyDescent="0.2">
      <c r="A74" s="10" t="s">
        <v>32</v>
      </c>
      <c r="B74" s="17">
        <f t="shared" si="61"/>
        <v>9999</v>
      </c>
      <c r="C74" s="12">
        <f t="shared" ref="C74" si="94">H24-G24</f>
        <v>0</v>
      </c>
      <c r="D74" s="12">
        <f t="shared" ref="D74" si="95">L24-M24</f>
        <v>0</v>
      </c>
      <c r="E74" s="18">
        <f t="shared" si="49"/>
        <v>9999</v>
      </c>
      <c r="G74" s="10" t="s">
        <v>32</v>
      </c>
      <c r="H74" s="12">
        <f t="shared" si="50"/>
        <v>0</v>
      </c>
      <c r="I74" s="12">
        <f t="shared" si="51"/>
        <v>0</v>
      </c>
      <c r="J74" s="18">
        <f t="shared" si="52"/>
        <v>9999</v>
      </c>
      <c r="L74" s="10" t="s">
        <v>32</v>
      </c>
      <c r="M74" s="12">
        <f t="shared" si="53"/>
        <v>0</v>
      </c>
      <c r="N74" s="12">
        <f t="shared" si="54"/>
        <v>0</v>
      </c>
      <c r="O74" s="18">
        <f t="shared" si="55"/>
        <v>9999</v>
      </c>
      <c r="P74" s="13"/>
      <c r="Q74" s="10" t="s">
        <v>32</v>
      </c>
      <c r="R74" s="12">
        <f t="shared" si="56"/>
        <v>0</v>
      </c>
      <c r="S74" s="12">
        <f t="shared" si="57"/>
        <v>0</v>
      </c>
      <c r="T74" s="18">
        <f t="shared" si="58"/>
        <v>9999</v>
      </c>
      <c r="V74" s="10" t="s">
        <v>32</v>
      </c>
      <c r="W74" s="18">
        <f>BD$24</f>
        <v>0</v>
      </c>
    </row>
    <row r="75" spans="1:25" x14ac:dyDescent="0.2">
      <c r="P75" s="13"/>
    </row>
    <row r="76" spans="1:25" x14ac:dyDescent="0.2">
      <c r="A76" s="14" t="s">
        <v>7</v>
      </c>
      <c r="E76" s="8"/>
      <c r="G76" s="26"/>
    </row>
    <row r="77" spans="1:25" x14ac:dyDescent="0.2">
      <c r="A77" s="28" t="s">
        <v>61</v>
      </c>
      <c r="B77" s="2"/>
      <c r="C77" s="2"/>
      <c r="D77" s="2"/>
      <c r="E77" s="3"/>
      <c r="G77" s="27" t="s">
        <v>60</v>
      </c>
      <c r="H77" s="2"/>
      <c r="I77" s="2"/>
      <c r="J77" s="3"/>
      <c r="L77" s="1" t="s">
        <v>2</v>
      </c>
      <c r="M77" s="2"/>
      <c r="N77" s="2"/>
      <c r="O77" s="3"/>
      <c r="P77" s="5"/>
      <c r="Q77" s="28" t="s">
        <v>63</v>
      </c>
      <c r="R77" s="2"/>
      <c r="S77" s="2"/>
      <c r="T77" s="3"/>
      <c r="V77" s="28" t="s">
        <v>320</v>
      </c>
      <c r="W77" s="36"/>
      <c r="Y77" s="24"/>
    </row>
    <row r="78" spans="1:25" x14ac:dyDescent="0.2">
      <c r="A78" s="4"/>
      <c r="B78" s="5"/>
      <c r="C78" s="5"/>
      <c r="D78" s="5"/>
      <c r="E78" s="6"/>
      <c r="G78" s="4"/>
      <c r="H78" s="5"/>
      <c r="I78" s="5"/>
      <c r="J78" s="6"/>
      <c r="L78" s="4"/>
      <c r="M78" s="5"/>
      <c r="N78" s="5"/>
      <c r="O78" s="6"/>
      <c r="P78" s="5"/>
      <c r="Q78" s="4"/>
      <c r="R78" s="5"/>
      <c r="S78" s="5"/>
      <c r="T78" s="6"/>
      <c r="V78" s="4"/>
      <c r="W78" s="6"/>
    </row>
    <row r="79" spans="1:25" x14ac:dyDescent="0.2">
      <c r="A79" s="4"/>
      <c r="B79" s="42" t="s">
        <v>384</v>
      </c>
      <c r="C79" s="5"/>
      <c r="D79" s="5"/>
      <c r="E79" s="16" t="s">
        <v>3</v>
      </c>
      <c r="G79" s="4"/>
      <c r="H79" s="5"/>
      <c r="I79" s="5"/>
      <c r="J79" s="16" t="s">
        <v>4</v>
      </c>
      <c r="L79" s="4"/>
      <c r="M79" s="5"/>
      <c r="N79" s="5"/>
      <c r="O79" s="16" t="s">
        <v>4</v>
      </c>
      <c r="P79" s="11"/>
      <c r="Q79" s="4"/>
      <c r="R79" s="5"/>
      <c r="S79" s="5"/>
      <c r="T79" s="16" t="s">
        <v>4</v>
      </c>
      <c r="V79" s="4"/>
      <c r="W79" s="6"/>
    </row>
    <row r="80" spans="1:25" x14ac:dyDescent="0.2">
      <c r="A80" s="4" t="s">
        <v>13</v>
      </c>
      <c r="B80" s="15">
        <f>IF(OR(N5="",E80=9999),9999,IF(AND(N5&lt;&gt;"gz",N5&lt;&gt;"z"),9999,N5))</f>
        <v>9999</v>
      </c>
      <c r="C80" s="11">
        <f>L5-M5</f>
        <v>0</v>
      </c>
      <c r="D80" s="11">
        <f>R5-Q5</f>
        <v>0</v>
      </c>
      <c r="E80" s="16">
        <f>IF(ISERROR(C80-D80),9999,IF(OR(C80=0,D80=0),9999,IF(N5=S5,(C80+D80)/10,(C80+D80+1000)/10)))</f>
        <v>9999</v>
      </c>
      <c r="G80" s="4" t="s">
        <v>13</v>
      </c>
      <c r="H80" s="11">
        <f>P5</f>
        <v>0</v>
      </c>
      <c r="I80" s="11">
        <f>K5</f>
        <v>0</v>
      </c>
      <c r="J80" s="16">
        <f>IF(ISERROR(I80-H80),9999,IF(OR(H80=0,I80=0),9999,H80-I80))</f>
        <v>9999</v>
      </c>
      <c r="L80" s="4" t="s">
        <v>13</v>
      </c>
      <c r="M80" s="11">
        <f>T5</f>
        <v>0</v>
      </c>
      <c r="N80" s="11">
        <f>P5</f>
        <v>0</v>
      </c>
      <c r="O80" s="16">
        <f>IF(ISERROR(M80-N80),9999,IF(OR(M80=0,N80=0),9999,IF(SUM(M80-N80)&lt;=0,9999,SUM(M80-N80))))</f>
        <v>9999</v>
      </c>
      <c r="P80" s="13"/>
      <c r="Q80" s="4" t="s">
        <v>13</v>
      </c>
      <c r="R80" s="11">
        <f>T5</f>
        <v>0</v>
      </c>
      <c r="S80" s="11">
        <f>K5</f>
        <v>0</v>
      </c>
      <c r="T80" s="16">
        <f>IF(ISERROR(R80-S80),9999,IF(OR(R80=0,S80=0),9999,IF(SUM(R80-S80)&lt;=0,9999,SUM(R80-S80))))</f>
        <v>9999</v>
      </c>
      <c r="V80" s="4" t="s">
        <v>13</v>
      </c>
      <c r="W80" s="16">
        <f>BD$5</f>
        <v>0</v>
      </c>
    </row>
    <row r="81" spans="1:25" x14ac:dyDescent="0.2">
      <c r="A81" s="4" t="s">
        <v>14</v>
      </c>
      <c r="B81" s="15">
        <f t="shared" ref="B81:B82" si="96">IF(OR(N6="",E81=9999),9999,IF(AND(N6&lt;&gt;"gz",N6&lt;&gt;"z"),9999,N6))</f>
        <v>9999</v>
      </c>
      <c r="C81" s="11">
        <f>M6-L6</f>
        <v>0</v>
      </c>
      <c r="D81" s="11">
        <f>Q6-R6</f>
        <v>0</v>
      </c>
      <c r="E81" s="16">
        <f t="shared" ref="E81:E99" si="97">IF(ISERROR(C81-D81),9999,IF(OR(C81=0,D81=0),9999,IF(N6=S6,(C81+D81)/10,(C81+D81+1000)/10)))</f>
        <v>9999</v>
      </c>
      <c r="G81" s="4" t="s">
        <v>14</v>
      </c>
      <c r="H81" s="11">
        <f t="shared" ref="H81:H99" si="98">P6</f>
        <v>0</v>
      </c>
      <c r="I81" s="11">
        <f t="shared" ref="I81:I99" si="99">K6</f>
        <v>0</v>
      </c>
      <c r="J81" s="16">
        <f t="shared" ref="J81:J99" si="100">IF(ISERROR(I81-H81),9999,IF(OR(H81=0,I81=0),9999,H81-I81))</f>
        <v>9999</v>
      </c>
      <c r="L81" s="4" t="s">
        <v>14</v>
      </c>
      <c r="M81" s="11">
        <f t="shared" ref="M81:M99" si="101">T6</f>
        <v>0</v>
      </c>
      <c r="N81" s="11">
        <f t="shared" ref="N81:N99" si="102">P6</f>
        <v>0</v>
      </c>
      <c r="O81" s="16">
        <f t="shared" ref="O81:O99" si="103">IF(ISERROR(M81-N81),9999,IF(OR(M81=0,N81=0),9999,IF(SUM(M81-N81)&lt;=0,9999,SUM(M81-N81))))</f>
        <v>9999</v>
      </c>
      <c r="P81" s="13"/>
      <c r="Q81" s="4" t="s">
        <v>14</v>
      </c>
      <c r="R81" s="11">
        <f t="shared" ref="R81:R99" si="104">T6</f>
        <v>0</v>
      </c>
      <c r="S81" s="11">
        <f t="shared" ref="S81:S99" si="105">K6</f>
        <v>0</v>
      </c>
      <c r="T81" s="16">
        <f t="shared" ref="T81:T99" si="106">IF(ISERROR(R81-S81),9999,IF(OR(R81=0,S81=0),9999,IF(SUM(R81-S81)&lt;=0,9999,SUM(R81-S81))))</f>
        <v>9999</v>
      </c>
      <c r="V81" s="4" t="s">
        <v>14</v>
      </c>
      <c r="W81" s="16">
        <f>BD$6</f>
        <v>0</v>
      </c>
      <c r="Y81" s="29"/>
    </row>
    <row r="82" spans="1:25" x14ac:dyDescent="0.2">
      <c r="A82" s="4" t="s">
        <v>15</v>
      </c>
      <c r="B82" s="15">
        <f t="shared" si="96"/>
        <v>9999</v>
      </c>
      <c r="C82" s="11">
        <f t="shared" ref="C82" si="107">L7-M7</f>
        <v>0</v>
      </c>
      <c r="D82" s="11">
        <f t="shared" ref="D82" si="108">R7-Q7</f>
        <v>0</v>
      </c>
      <c r="E82" s="16">
        <f t="shared" si="97"/>
        <v>9999</v>
      </c>
      <c r="G82" s="4" t="s">
        <v>15</v>
      </c>
      <c r="H82" s="11">
        <f t="shared" si="98"/>
        <v>0</v>
      </c>
      <c r="I82" s="11">
        <f t="shared" si="99"/>
        <v>0</v>
      </c>
      <c r="J82" s="16">
        <f t="shared" si="100"/>
        <v>9999</v>
      </c>
      <c r="L82" s="4" t="s">
        <v>15</v>
      </c>
      <c r="M82" s="11">
        <f t="shared" si="101"/>
        <v>0</v>
      </c>
      <c r="N82" s="11">
        <f t="shared" si="102"/>
        <v>0</v>
      </c>
      <c r="O82" s="16">
        <f t="shared" si="103"/>
        <v>9999</v>
      </c>
      <c r="P82" s="13"/>
      <c r="Q82" s="4" t="s">
        <v>15</v>
      </c>
      <c r="R82" s="11">
        <f t="shared" si="104"/>
        <v>0</v>
      </c>
      <c r="S82" s="11">
        <f t="shared" si="105"/>
        <v>0</v>
      </c>
      <c r="T82" s="16">
        <f t="shared" si="106"/>
        <v>9999</v>
      </c>
      <c r="V82" s="4" t="s">
        <v>15</v>
      </c>
      <c r="W82" s="16">
        <f>BD$7</f>
        <v>0</v>
      </c>
    </row>
    <row r="83" spans="1:25" x14ac:dyDescent="0.2">
      <c r="A83" s="4" t="s">
        <v>16</v>
      </c>
      <c r="B83" s="15">
        <f t="shared" ref="B83:B99" si="109">IF(OR(N8="",E83=9999),9999,IF(AND(N8&lt;&gt;"gz",N8&lt;&gt;"z"),9999,N8))</f>
        <v>9999</v>
      </c>
      <c r="C83" s="11">
        <f t="shared" ref="C83" si="110">M8-L8</f>
        <v>0</v>
      </c>
      <c r="D83" s="11">
        <f t="shared" ref="D83" si="111">Q8-R8</f>
        <v>0</v>
      </c>
      <c r="E83" s="16">
        <f t="shared" si="97"/>
        <v>9999</v>
      </c>
      <c r="G83" s="4" t="s">
        <v>16</v>
      </c>
      <c r="H83" s="11">
        <f t="shared" si="98"/>
        <v>0</v>
      </c>
      <c r="I83" s="11">
        <f t="shared" si="99"/>
        <v>0</v>
      </c>
      <c r="J83" s="16">
        <f t="shared" si="100"/>
        <v>9999</v>
      </c>
      <c r="L83" s="4" t="s">
        <v>16</v>
      </c>
      <c r="M83" s="11">
        <f t="shared" si="101"/>
        <v>0</v>
      </c>
      <c r="N83" s="11">
        <f t="shared" si="102"/>
        <v>0</v>
      </c>
      <c r="O83" s="16">
        <f t="shared" si="103"/>
        <v>9999</v>
      </c>
      <c r="P83" s="13"/>
      <c r="Q83" s="4" t="s">
        <v>16</v>
      </c>
      <c r="R83" s="11">
        <f t="shared" si="104"/>
        <v>0</v>
      </c>
      <c r="S83" s="11">
        <f t="shared" si="105"/>
        <v>0</v>
      </c>
      <c r="T83" s="16">
        <f t="shared" si="106"/>
        <v>9999</v>
      </c>
      <c r="V83" s="4" t="s">
        <v>16</v>
      </c>
      <c r="W83" s="16">
        <f>BD$8</f>
        <v>0</v>
      </c>
    </row>
    <row r="84" spans="1:25" x14ac:dyDescent="0.2">
      <c r="A84" s="4" t="s">
        <v>17</v>
      </c>
      <c r="B84" s="15">
        <f t="shared" si="109"/>
        <v>9999</v>
      </c>
      <c r="C84" s="11">
        <f t="shared" ref="C84" si="112">L9-M9</f>
        <v>0</v>
      </c>
      <c r="D84" s="11">
        <f t="shared" ref="D84" si="113">R9-Q9</f>
        <v>0</v>
      </c>
      <c r="E84" s="16">
        <f t="shared" si="97"/>
        <v>9999</v>
      </c>
      <c r="G84" s="4" t="s">
        <v>17</v>
      </c>
      <c r="H84" s="11">
        <f t="shared" si="98"/>
        <v>0</v>
      </c>
      <c r="I84" s="11">
        <f t="shared" si="99"/>
        <v>0</v>
      </c>
      <c r="J84" s="16">
        <f t="shared" si="100"/>
        <v>9999</v>
      </c>
      <c r="L84" s="4" t="s">
        <v>17</v>
      </c>
      <c r="M84" s="11">
        <f t="shared" si="101"/>
        <v>0</v>
      </c>
      <c r="N84" s="11">
        <f t="shared" si="102"/>
        <v>0</v>
      </c>
      <c r="O84" s="16">
        <f t="shared" si="103"/>
        <v>9999</v>
      </c>
      <c r="P84" s="13"/>
      <c r="Q84" s="4" t="s">
        <v>17</v>
      </c>
      <c r="R84" s="11">
        <f t="shared" si="104"/>
        <v>0</v>
      </c>
      <c r="S84" s="11">
        <f t="shared" si="105"/>
        <v>0</v>
      </c>
      <c r="T84" s="16">
        <f t="shared" si="106"/>
        <v>9999</v>
      </c>
      <c r="V84" s="4" t="s">
        <v>17</v>
      </c>
      <c r="W84" s="16">
        <f>BD$9</f>
        <v>0</v>
      </c>
    </row>
    <row r="85" spans="1:25" x14ac:dyDescent="0.2">
      <c r="A85" s="4" t="s">
        <v>18</v>
      </c>
      <c r="B85" s="15">
        <f t="shared" si="109"/>
        <v>9999</v>
      </c>
      <c r="C85" s="11">
        <f t="shared" ref="C85" si="114">M10-L10</f>
        <v>0</v>
      </c>
      <c r="D85" s="11">
        <f t="shared" ref="D85" si="115">Q10-R10</f>
        <v>0</v>
      </c>
      <c r="E85" s="16">
        <f t="shared" si="97"/>
        <v>9999</v>
      </c>
      <c r="G85" s="4" t="s">
        <v>18</v>
      </c>
      <c r="H85" s="11">
        <f t="shared" si="98"/>
        <v>0</v>
      </c>
      <c r="I85" s="11">
        <f t="shared" si="99"/>
        <v>0</v>
      </c>
      <c r="J85" s="16">
        <f t="shared" si="100"/>
        <v>9999</v>
      </c>
      <c r="L85" s="4" t="s">
        <v>18</v>
      </c>
      <c r="M85" s="11">
        <f t="shared" si="101"/>
        <v>0</v>
      </c>
      <c r="N85" s="11">
        <f t="shared" si="102"/>
        <v>0</v>
      </c>
      <c r="O85" s="16">
        <f t="shared" si="103"/>
        <v>9999</v>
      </c>
      <c r="P85" s="13"/>
      <c r="Q85" s="4" t="s">
        <v>18</v>
      </c>
      <c r="R85" s="11">
        <f t="shared" si="104"/>
        <v>0</v>
      </c>
      <c r="S85" s="11">
        <f t="shared" si="105"/>
        <v>0</v>
      </c>
      <c r="T85" s="16">
        <f t="shared" si="106"/>
        <v>9999</v>
      </c>
      <c r="V85" s="4" t="s">
        <v>18</v>
      </c>
      <c r="W85" s="16">
        <f>BD$10</f>
        <v>0</v>
      </c>
    </row>
    <row r="86" spans="1:25" x14ac:dyDescent="0.2">
      <c r="A86" s="4" t="s">
        <v>19</v>
      </c>
      <c r="B86" s="15">
        <f t="shared" si="109"/>
        <v>9999</v>
      </c>
      <c r="C86" s="11">
        <f t="shared" ref="C86" si="116">L11-M11</f>
        <v>0</v>
      </c>
      <c r="D86" s="11">
        <f t="shared" ref="D86" si="117">R11-Q11</f>
        <v>0</v>
      </c>
      <c r="E86" s="16">
        <f t="shared" si="97"/>
        <v>9999</v>
      </c>
      <c r="G86" s="4" t="s">
        <v>19</v>
      </c>
      <c r="H86" s="11">
        <f t="shared" si="98"/>
        <v>0</v>
      </c>
      <c r="I86" s="11">
        <f t="shared" si="99"/>
        <v>0</v>
      </c>
      <c r="J86" s="16">
        <f t="shared" si="100"/>
        <v>9999</v>
      </c>
      <c r="L86" s="4" t="s">
        <v>19</v>
      </c>
      <c r="M86" s="11">
        <f t="shared" si="101"/>
        <v>0</v>
      </c>
      <c r="N86" s="11">
        <f t="shared" si="102"/>
        <v>0</v>
      </c>
      <c r="O86" s="16">
        <f t="shared" si="103"/>
        <v>9999</v>
      </c>
      <c r="P86" s="13"/>
      <c r="Q86" s="4" t="s">
        <v>19</v>
      </c>
      <c r="R86" s="11">
        <f t="shared" si="104"/>
        <v>0</v>
      </c>
      <c r="S86" s="11">
        <f t="shared" si="105"/>
        <v>0</v>
      </c>
      <c r="T86" s="16">
        <f t="shared" si="106"/>
        <v>9999</v>
      </c>
      <c r="V86" s="4" t="s">
        <v>19</v>
      </c>
      <c r="W86" s="16">
        <f>BD$11</f>
        <v>0</v>
      </c>
    </row>
    <row r="87" spans="1:25" x14ac:dyDescent="0.2">
      <c r="A87" s="9" t="s">
        <v>20</v>
      </c>
      <c r="B87" s="15">
        <f t="shared" si="109"/>
        <v>9999</v>
      </c>
      <c r="C87" s="11">
        <f t="shared" ref="C87" si="118">M12-L12</f>
        <v>0</v>
      </c>
      <c r="D87" s="11">
        <f t="shared" ref="D87" si="119">Q12-R12</f>
        <v>0</v>
      </c>
      <c r="E87" s="16">
        <f t="shared" si="97"/>
        <v>9999</v>
      </c>
      <c r="G87" s="9" t="s">
        <v>20</v>
      </c>
      <c r="H87" s="11">
        <f t="shared" si="98"/>
        <v>0</v>
      </c>
      <c r="I87" s="11">
        <f t="shared" si="99"/>
        <v>0</v>
      </c>
      <c r="J87" s="16">
        <f t="shared" si="100"/>
        <v>9999</v>
      </c>
      <c r="L87" s="9" t="s">
        <v>20</v>
      </c>
      <c r="M87" s="11">
        <f t="shared" si="101"/>
        <v>0</v>
      </c>
      <c r="N87" s="11">
        <f t="shared" si="102"/>
        <v>0</v>
      </c>
      <c r="O87" s="16">
        <f t="shared" si="103"/>
        <v>9999</v>
      </c>
      <c r="P87" s="13"/>
      <c r="Q87" s="9" t="s">
        <v>20</v>
      </c>
      <c r="R87" s="11">
        <f t="shared" si="104"/>
        <v>0</v>
      </c>
      <c r="S87" s="11">
        <f t="shared" si="105"/>
        <v>0</v>
      </c>
      <c r="T87" s="16">
        <f t="shared" si="106"/>
        <v>9999</v>
      </c>
      <c r="V87" s="9" t="s">
        <v>20</v>
      </c>
      <c r="W87" s="16">
        <f>BD$12</f>
        <v>0</v>
      </c>
    </row>
    <row r="88" spans="1:25" x14ac:dyDescent="0.2">
      <c r="A88" s="9" t="s">
        <v>21</v>
      </c>
      <c r="B88" s="15">
        <f t="shared" si="109"/>
        <v>9999</v>
      </c>
      <c r="C88" s="11">
        <f t="shared" ref="C88" si="120">L13-M13</f>
        <v>0</v>
      </c>
      <c r="D88" s="11">
        <f t="shared" ref="D88" si="121">R13-Q13</f>
        <v>0</v>
      </c>
      <c r="E88" s="16">
        <f t="shared" si="97"/>
        <v>9999</v>
      </c>
      <c r="G88" s="9" t="s">
        <v>21</v>
      </c>
      <c r="H88" s="11">
        <f t="shared" si="98"/>
        <v>0</v>
      </c>
      <c r="I88" s="11">
        <f t="shared" si="99"/>
        <v>0</v>
      </c>
      <c r="J88" s="16">
        <f t="shared" si="100"/>
        <v>9999</v>
      </c>
      <c r="L88" s="9" t="s">
        <v>21</v>
      </c>
      <c r="M88" s="11">
        <f t="shared" si="101"/>
        <v>0</v>
      </c>
      <c r="N88" s="11">
        <f t="shared" si="102"/>
        <v>0</v>
      </c>
      <c r="O88" s="16">
        <f t="shared" si="103"/>
        <v>9999</v>
      </c>
      <c r="P88" s="13"/>
      <c r="Q88" s="9" t="s">
        <v>21</v>
      </c>
      <c r="R88" s="11">
        <f t="shared" si="104"/>
        <v>0</v>
      </c>
      <c r="S88" s="11">
        <f t="shared" si="105"/>
        <v>0</v>
      </c>
      <c r="T88" s="16">
        <f t="shared" si="106"/>
        <v>9999</v>
      </c>
      <c r="V88" s="9" t="s">
        <v>21</v>
      </c>
      <c r="W88" s="16">
        <f>BD$13</f>
        <v>0</v>
      </c>
    </row>
    <row r="89" spans="1:25" x14ac:dyDescent="0.2">
      <c r="A89" s="9" t="s">
        <v>22</v>
      </c>
      <c r="B89" s="15">
        <f t="shared" si="109"/>
        <v>9999</v>
      </c>
      <c r="C89" s="11">
        <f t="shared" ref="C89" si="122">M14-L14</f>
        <v>0</v>
      </c>
      <c r="D89" s="11">
        <f t="shared" ref="D89" si="123">Q14-R14</f>
        <v>0</v>
      </c>
      <c r="E89" s="16">
        <f t="shared" si="97"/>
        <v>9999</v>
      </c>
      <c r="G89" s="9" t="s">
        <v>22</v>
      </c>
      <c r="H89" s="11">
        <f t="shared" si="98"/>
        <v>0</v>
      </c>
      <c r="I89" s="11">
        <f t="shared" si="99"/>
        <v>0</v>
      </c>
      <c r="J89" s="16">
        <f t="shared" si="100"/>
        <v>9999</v>
      </c>
      <c r="L89" s="9" t="s">
        <v>22</v>
      </c>
      <c r="M89" s="11">
        <f t="shared" si="101"/>
        <v>0</v>
      </c>
      <c r="N89" s="11">
        <f t="shared" si="102"/>
        <v>0</v>
      </c>
      <c r="O89" s="16">
        <f t="shared" si="103"/>
        <v>9999</v>
      </c>
      <c r="P89" s="13"/>
      <c r="Q89" s="9" t="s">
        <v>22</v>
      </c>
      <c r="R89" s="11">
        <f t="shared" si="104"/>
        <v>0</v>
      </c>
      <c r="S89" s="11">
        <f t="shared" si="105"/>
        <v>0</v>
      </c>
      <c r="T89" s="16">
        <f t="shared" si="106"/>
        <v>9999</v>
      </c>
      <c r="V89" s="9" t="s">
        <v>22</v>
      </c>
      <c r="W89" s="16">
        <f>BD$14</f>
        <v>0</v>
      </c>
    </row>
    <row r="90" spans="1:25" x14ac:dyDescent="0.2">
      <c r="A90" s="9" t="s">
        <v>23</v>
      </c>
      <c r="B90" s="15">
        <f t="shared" si="109"/>
        <v>9999</v>
      </c>
      <c r="C90" s="11">
        <f t="shared" ref="C90" si="124">L15-M15</f>
        <v>0</v>
      </c>
      <c r="D90" s="11">
        <f t="shared" ref="D90" si="125">R15-Q15</f>
        <v>0</v>
      </c>
      <c r="E90" s="16">
        <f t="shared" si="97"/>
        <v>9999</v>
      </c>
      <c r="G90" s="9" t="s">
        <v>23</v>
      </c>
      <c r="H90" s="11">
        <f t="shared" si="98"/>
        <v>0</v>
      </c>
      <c r="I90" s="11">
        <f t="shared" si="99"/>
        <v>0</v>
      </c>
      <c r="J90" s="16">
        <f t="shared" si="100"/>
        <v>9999</v>
      </c>
      <c r="L90" s="9" t="s">
        <v>23</v>
      </c>
      <c r="M90" s="11">
        <f t="shared" si="101"/>
        <v>0</v>
      </c>
      <c r="N90" s="11">
        <f t="shared" si="102"/>
        <v>0</v>
      </c>
      <c r="O90" s="16">
        <f t="shared" si="103"/>
        <v>9999</v>
      </c>
      <c r="P90" s="13"/>
      <c r="Q90" s="9" t="s">
        <v>23</v>
      </c>
      <c r="R90" s="11">
        <f t="shared" si="104"/>
        <v>0</v>
      </c>
      <c r="S90" s="11">
        <f t="shared" si="105"/>
        <v>0</v>
      </c>
      <c r="T90" s="16">
        <f t="shared" si="106"/>
        <v>9999</v>
      </c>
      <c r="V90" s="9" t="s">
        <v>23</v>
      </c>
      <c r="W90" s="16">
        <f>BD$15</f>
        <v>0</v>
      </c>
    </row>
    <row r="91" spans="1:25" x14ac:dyDescent="0.2">
      <c r="A91" s="9" t="s">
        <v>24</v>
      </c>
      <c r="B91" s="15">
        <f t="shared" si="109"/>
        <v>9999</v>
      </c>
      <c r="C91" s="11">
        <f t="shared" ref="C91" si="126">M16-L16</f>
        <v>0</v>
      </c>
      <c r="D91" s="11">
        <f t="shared" ref="D91" si="127">Q16-R16</f>
        <v>0</v>
      </c>
      <c r="E91" s="16">
        <f t="shared" si="97"/>
        <v>9999</v>
      </c>
      <c r="G91" s="9" t="s">
        <v>24</v>
      </c>
      <c r="H91" s="11">
        <f t="shared" si="98"/>
        <v>0</v>
      </c>
      <c r="I91" s="11">
        <f t="shared" si="99"/>
        <v>0</v>
      </c>
      <c r="J91" s="16">
        <f t="shared" si="100"/>
        <v>9999</v>
      </c>
      <c r="L91" s="9" t="s">
        <v>24</v>
      </c>
      <c r="M91" s="11">
        <f t="shared" si="101"/>
        <v>0</v>
      </c>
      <c r="N91" s="11">
        <f t="shared" si="102"/>
        <v>0</v>
      </c>
      <c r="O91" s="16">
        <f t="shared" si="103"/>
        <v>9999</v>
      </c>
      <c r="P91" s="13"/>
      <c r="Q91" s="9" t="s">
        <v>24</v>
      </c>
      <c r="R91" s="11">
        <f t="shared" si="104"/>
        <v>0</v>
      </c>
      <c r="S91" s="11">
        <f t="shared" si="105"/>
        <v>0</v>
      </c>
      <c r="T91" s="16">
        <f t="shared" si="106"/>
        <v>9999</v>
      </c>
      <c r="V91" s="9" t="s">
        <v>24</v>
      </c>
      <c r="W91" s="16">
        <f>BD$16</f>
        <v>0</v>
      </c>
    </row>
    <row r="92" spans="1:25" x14ac:dyDescent="0.2">
      <c r="A92" s="4" t="s">
        <v>25</v>
      </c>
      <c r="B92" s="15">
        <f t="shared" si="109"/>
        <v>9999</v>
      </c>
      <c r="C92" s="11">
        <f t="shared" ref="C92" si="128">L17-M17</f>
        <v>0</v>
      </c>
      <c r="D92" s="11">
        <f t="shared" ref="D92" si="129">R17-Q17</f>
        <v>0</v>
      </c>
      <c r="E92" s="16">
        <f t="shared" si="97"/>
        <v>9999</v>
      </c>
      <c r="G92" s="4" t="s">
        <v>25</v>
      </c>
      <c r="H92" s="11">
        <f t="shared" si="98"/>
        <v>0</v>
      </c>
      <c r="I92" s="11">
        <f t="shared" si="99"/>
        <v>0</v>
      </c>
      <c r="J92" s="16">
        <f t="shared" si="100"/>
        <v>9999</v>
      </c>
      <c r="L92" s="4" t="s">
        <v>25</v>
      </c>
      <c r="M92" s="11">
        <f t="shared" si="101"/>
        <v>0</v>
      </c>
      <c r="N92" s="11">
        <f t="shared" si="102"/>
        <v>0</v>
      </c>
      <c r="O92" s="16">
        <f t="shared" si="103"/>
        <v>9999</v>
      </c>
      <c r="P92" s="13"/>
      <c r="Q92" s="4" t="s">
        <v>25</v>
      </c>
      <c r="R92" s="11">
        <f t="shared" si="104"/>
        <v>0</v>
      </c>
      <c r="S92" s="11">
        <f t="shared" si="105"/>
        <v>0</v>
      </c>
      <c r="T92" s="16">
        <f t="shared" si="106"/>
        <v>9999</v>
      </c>
      <c r="V92" s="4" t="s">
        <v>25</v>
      </c>
      <c r="W92" s="16">
        <f>BD$17</f>
        <v>0</v>
      </c>
    </row>
    <row r="93" spans="1:25" x14ac:dyDescent="0.2">
      <c r="A93" s="4" t="s">
        <v>26</v>
      </c>
      <c r="B93" s="15">
        <f t="shared" si="109"/>
        <v>9999</v>
      </c>
      <c r="C93" s="11">
        <f t="shared" ref="C93" si="130">M18-L18</f>
        <v>0</v>
      </c>
      <c r="D93" s="11">
        <f t="shared" ref="D93" si="131">Q18-R18</f>
        <v>0</v>
      </c>
      <c r="E93" s="16">
        <f t="shared" si="97"/>
        <v>9999</v>
      </c>
      <c r="G93" s="4" t="s">
        <v>26</v>
      </c>
      <c r="H93" s="11">
        <f t="shared" si="98"/>
        <v>0</v>
      </c>
      <c r="I93" s="11">
        <f t="shared" si="99"/>
        <v>0</v>
      </c>
      <c r="J93" s="16">
        <f t="shared" si="100"/>
        <v>9999</v>
      </c>
      <c r="L93" s="4" t="s">
        <v>26</v>
      </c>
      <c r="M93" s="11">
        <f t="shared" si="101"/>
        <v>0</v>
      </c>
      <c r="N93" s="11">
        <f t="shared" si="102"/>
        <v>0</v>
      </c>
      <c r="O93" s="16">
        <f t="shared" si="103"/>
        <v>9999</v>
      </c>
      <c r="P93" s="13"/>
      <c r="Q93" s="4" t="s">
        <v>26</v>
      </c>
      <c r="R93" s="11">
        <f t="shared" si="104"/>
        <v>0</v>
      </c>
      <c r="S93" s="11">
        <f t="shared" si="105"/>
        <v>0</v>
      </c>
      <c r="T93" s="16">
        <f t="shared" si="106"/>
        <v>9999</v>
      </c>
      <c r="V93" s="4" t="s">
        <v>26</v>
      </c>
      <c r="W93" s="16">
        <f>BD$18</f>
        <v>0</v>
      </c>
    </row>
    <row r="94" spans="1:25" x14ac:dyDescent="0.2">
      <c r="A94" s="4" t="s">
        <v>27</v>
      </c>
      <c r="B94" s="15">
        <f t="shared" si="109"/>
        <v>9999</v>
      </c>
      <c r="C94" s="11">
        <f t="shared" ref="C94" si="132">L19-M19</f>
        <v>0</v>
      </c>
      <c r="D94" s="11">
        <f t="shared" ref="D94" si="133">R19-Q19</f>
        <v>0</v>
      </c>
      <c r="E94" s="16">
        <f t="shared" si="97"/>
        <v>9999</v>
      </c>
      <c r="G94" s="4" t="s">
        <v>27</v>
      </c>
      <c r="H94" s="11">
        <f t="shared" si="98"/>
        <v>0</v>
      </c>
      <c r="I94" s="11">
        <f t="shared" si="99"/>
        <v>0</v>
      </c>
      <c r="J94" s="16">
        <f t="shared" si="100"/>
        <v>9999</v>
      </c>
      <c r="L94" s="4" t="s">
        <v>27</v>
      </c>
      <c r="M94" s="11">
        <f t="shared" si="101"/>
        <v>0</v>
      </c>
      <c r="N94" s="11">
        <f t="shared" si="102"/>
        <v>0</v>
      </c>
      <c r="O94" s="16">
        <f t="shared" si="103"/>
        <v>9999</v>
      </c>
      <c r="P94" s="13"/>
      <c r="Q94" s="4" t="s">
        <v>27</v>
      </c>
      <c r="R94" s="11">
        <f t="shared" si="104"/>
        <v>0</v>
      </c>
      <c r="S94" s="11">
        <f t="shared" si="105"/>
        <v>0</v>
      </c>
      <c r="T94" s="16">
        <f t="shared" si="106"/>
        <v>9999</v>
      </c>
      <c r="V94" s="4" t="s">
        <v>27</v>
      </c>
      <c r="W94" s="16">
        <f>BD$19</f>
        <v>0</v>
      </c>
    </row>
    <row r="95" spans="1:25" x14ac:dyDescent="0.2">
      <c r="A95" s="9" t="s">
        <v>28</v>
      </c>
      <c r="B95" s="15">
        <f t="shared" si="109"/>
        <v>9999</v>
      </c>
      <c r="C95" s="11">
        <f t="shared" ref="C95" si="134">M20-L20</f>
        <v>0</v>
      </c>
      <c r="D95" s="11">
        <f t="shared" ref="D95" si="135">Q20-R20</f>
        <v>0</v>
      </c>
      <c r="E95" s="16">
        <f t="shared" si="97"/>
        <v>9999</v>
      </c>
      <c r="G95" s="9" t="s">
        <v>28</v>
      </c>
      <c r="H95" s="11">
        <f t="shared" si="98"/>
        <v>0</v>
      </c>
      <c r="I95" s="11">
        <f t="shared" si="99"/>
        <v>0</v>
      </c>
      <c r="J95" s="16">
        <f t="shared" si="100"/>
        <v>9999</v>
      </c>
      <c r="L95" s="9" t="s">
        <v>28</v>
      </c>
      <c r="M95" s="11">
        <f t="shared" si="101"/>
        <v>0</v>
      </c>
      <c r="N95" s="11">
        <f t="shared" si="102"/>
        <v>0</v>
      </c>
      <c r="O95" s="16">
        <f t="shared" si="103"/>
        <v>9999</v>
      </c>
      <c r="P95" s="13"/>
      <c r="Q95" s="9" t="s">
        <v>28</v>
      </c>
      <c r="R95" s="11">
        <f t="shared" si="104"/>
        <v>0</v>
      </c>
      <c r="S95" s="11">
        <f t="shared" si="105"/>
        <v>0</v>
      </c>
      <c r="T95" s="16">
        <f t="shared" si="106"/>
        <v>9999</v>
      </c>
      <c r="V95" s="9" t="s">
        <v>28</v>
      </c>
      <c r="W95" s="16">
        <f>BD$20</f>
        <v>0</v>
      </c>
    </row>
    <row r="96" spans="1:25" x14ac:dyDescent="0.2">
      <c r="A96" s="9" t="s">
        <v>29</v>
      </c>
      <c r="B96" s="15">
        <f t="shared" si="109"/>
        <v>9999</v>
      </c>
      <c r="C96" s="11">
        <f t="shared" ref="C96" si="136">L21-M21</f>
        <v>0</v>
      </c>
      <c r="D96" s="11">
        <f t="shared" ref="D96" si="137">R21-Q21</f>
        <v>0</v>
      </c>
      <c r="E96" s="16">
        <f t="shared" si="97"/>
        <v>9999</v>
      </c>
      <c r="G96" s="9" t="s">
        <v>29</v>
      </c>
      <c r="H96" s="11">
        <f t="shared" si="98"/>
        <v>0</v>
      </c>
      <c r="I96" s="11">
        <f t="shared" si="99"/>
        <v>0</v>
      </c>
      <c r="J96" s="16">
        <f t="shared" si="100"/>
        <v>9999</v>
      </c>
      <c r="L96" s="9" t="s">
        <v>29</v>
      </c>
      <c r="M96" s="11">
        <f t="shared" si="101"/>
        <v>0</v>
      </c>
      <c r="N96" s="11">
        <f t="shared" si="102"/>
        <v>0</v>
      </c>
      <c r="O96" s="16">
        <f t="shared" si="103"/>
        <v>9999</v>
      </c>
      <c r="P96" s="13"/>
      <c r="Q96" s="9" t="s">
        <v>29</v>
      </c>
      <c r="R96" s="11">
        <f t="shared" si="104"/>
        <v>0</v>
      </c>
      <c r="S96" s="11">
        <f t="shared" si="105"/>
        <v>0</v>
      </c>
      <c r="T96" s="16">
        <f t="shared" si="106"/>
        <v>9999</v>
      </c>
      <c r="V96" s="9" t="s">
        <v>29</v>
      </c>
      <c r="W96" s="16">
        <f>BD$21</f>
        <v>0</v>
      </c>
    </row>
    <row r="97" spans="1:25" x14ac:dyDescent="0.2">
      <c r="A97" s="9" t="s">
        <v>30</v>
      </c>
      <c r="B97" s="15">
        <f t="shared" si="109"/>
        <v>9999</v>
      </c>
      <c r="C97" s="11">
        <f t="shared" ref="C97" si="138">M22-L22</f>
        <v>0</v>
      </c>
      <c r="D97" s="11">
        <f t="shared" ref="D97" si="139">Q22-R22</f>
        <v>0</v>
      </c>
      <c r="E97" s="16">
        <f t="shared" si="97"/>
        <v>9999</v>
      </c>
      <c r="G97" s="9" t="s">
        <v>30</v>
      </c>
      <c r="H97" s="11">
        <f t="shared" si="98"/>
        <v>0</v>
      </c>
      <c r="I97" s="11">
        <f t="shared" si="99"/>
        <v>0</v>
      </c>
      <c r="J97" s="16">
        <f t="shared" si="100"/>
        <v>9999</v>
      </c>
      <c r="L97" s="9" t="s">
        <v>30</v>
      </c>
      <c r="M97" s="11">
        <f t="shared" si="101"/>
        <v>0</v>
      </c>
      <c r="N97" s="11">
        <f t="shared" si="102"/>
        <v>0</v>
      </c>
      <c r="O97" s="16">
        <f t="shared" si="103"/>
        <v>9999</v>
      </c>
      <c r="P97" s="13"/>
      <c r="Q97" s="9" t="s">
        <v>30</v>
      </c>
      <c r="R97" s="11">
        <f t="shared" si="104"/>
        <v>0</v>
      </c>
      <c r="S97" s="11">
        <f t="shared" si="105"/>
        <v>0</v>
      </c>
      <c r="T97" s="16">
        <f t="shared" si="106"/>
        <v>9999</v>
      </c>
      <c r="V97" s="9" t="s">
        <v>30</v>
      </c>
      <c r="W97" s="16">
        <f>BD$22</f>
        <v>0</v>
      </c>
    </row>
    <row r="98" spans="1:25" x14ac:dyDescent="0.2">
      <c r="A98" s="9" t="s">
        <v>31</v>
      </c>
      <c r="B98" s="15">
        <f t="shared" si="109"/>
        <v>9999</v>
      </c>
      <c r="C98" s="11">
        <f t="shared" ref="C98" si="140">L23-M23</f>
        <v>0</v>
      </c>
      <c r="D98" s="11">
        <f t="shared" ref="D98" si="141">R23-Q23</f>
        <v>0</v>
      </c>
      <c r="E98" s="16">
        <f t="shared" si="97"/>
        <v>9999</v>
      </c>
      <c r="G98" s="9" t="s">
        <v>31</v>
      </c>
      <c r="H98" s="11">
        <f t="shared" si="98"/>
        <v>0</v>
      </c>
      <c r="I98" s="11">
        <f t="shared" si="99"/>
        <v>0</v>
      </c>
      <c r="J98" s="16">
        <f t="shared" si="100"/>
        <v>9999</v>
      </c>
      <c r="L98" s="9" t="s">
        <v>31</v>
      </c>
      <c r="M98" s="11">
        <f t="shared" si="101"/>
        <v>0</v>
      </c>
      <c r="N98" s="11">
        <f t="shared" si="102"/>
        <v>0</v>
      </c>
      <c r="O98" s="16">
        <f t="shared" si="103"/>
        <v>9999</v>
      </c>
      <c r="P98" s="13"/>
      <c r="Q98" s="9" t="s">
        <v>31</v>
      </c>
      <c r="R98" s="11">
        <f t="shared" si="104"/>
        <v>0</v>
      </c>
      <c r="S98" s="11">
        <f t="shared" si="105"/>
        <v>0</v>
      </c>
      <c r="T98" s="16">
        <f t="shared" si="106"/>
        <v>9999</v>
      </c>
      <c r="V98" s="9" t="s">
        <v>31</v>
      </c>
      <c r="W98" s="16">
        <f>BD$23</f>
        <v>0</v>
      </c>
    </row>
    <row r="99" spans="1:25" x14ac:dyDescent="0.2">
      <c r="A99" s="10" t="s">
        <v>32</v>
      </c>
      <c r="B99" s="17">
        <f t="shared" si="109"/>
        <v>9999</v>
      </c>
      <c r="C99" s="12">
        <f t="shared" ref="C99" si="142">M24-L24</f>
        <v>0</v>
      </c>
      <c r="D99" s="12">
        <f t="shared" ref="D99" si="143">Q24-R24</f>
        <v>0</v>
      </c>
      <c r="E99" s="18">
        <f t="shared" si="97"/>
        <v>9999</v>
      </c>
      <c r="G99" s="10" t="s">
        <v>32</v>
      </c>
      <c r="H99" s="12">
        <f t="shared" si="98"/>
        <v>0</v>
      </c>
      <c r="I99" s="12">
        <f t="shared" si="99"/>
        <v>0</v>
      </c>
      <c r="J99" s="18">
        <f t="shared" si="100"/>
        <v>9999</v>
      </c>
      <c r="L99" s="10" t="s">
        <v>32</v>
      </c>
      <c r="M99" s="12">
        <f t="shared" si="101"/>
        <v>0</v>
      </c>
      <c r="N99" s="12">
        <f t="shared" si="102"/>
        <v>0</v>
      </c>
      <c r="O99" s="18">
        <f t="shared" si="103"/>
        <v>9999</v>
      </c>
      <c r="P99" s="13"/>
      <c r="Q99" s="10" t="s">
        <v>32</v>
      </c>
      <c r="R99" s="12">
        <f t="shared" si="104"/>
        <v>0</v>
      </c>
      <c r="S99" s="12">
        <f t="shared" si="105"/>
        <v>0</v>
      </c>
      <c r="T99" s="18">
        <f t="shared" si="106"/>
        <v>9999</v>
      </c>
      <c r="V99" s="10" t="s">
        <v>32</v>
      </c>
      <c r="W99" s="18">
        <f>BD$24</f>
        <v>0</v>
      </c>
    </row>
    <row r="100" spans="1:25" x14ac:dyDescent="0.2">
      <c r="P100" s="13"/>
    </row>
    <row r="101" spans="1:25" x14ac:dyDescent="0.2">
      <c r="A101" s="14" t="s">
        <v>385</v>
      </c>
      <c r="E101" s="8"/>
      <c r="G101" s="26"/>
    </row>
    <row r="102" spans="1:25" x14ac:dyDescent="0.2">
      <c r="A102" s="28" t="s">
        <v>61</v>
      </c>
      <c r="B102" s="2"/>
      <c r="C102" s="2"/>
      <c r="D102" s="2"/>
      <c r="E102" s="3"/>
      <c r="G102" s="27" t="s">
        <v>60</v>
      </c>
      <c r="H102" s="2"/>
      <c r="I102" s="2"/>
      <c r="J102" s="3"/>
      <c r="L102" s="1" t="s">
        <v>2</v>
      </c>
      <c r="M102" s="2"/>
      <c r="N102" s="2"/>
      <c r="O102" s="3"/>
      <c r="P102" s="5"/>
      <c r="Q102" s="28" t="s">
        <v>63</v>
      </c>
      <c r="R102" s="2"/>
      <c r="S102" s="2"/>
      <c r="T102" s="3"/>
      <c r="V102" s="28" t="s">
        <v>320</v>
      </c>
      <c r="W102" s="36"/>
      <c r="Y102" s="24"/>
    </row>
    <row r="103" spans="1:25" x14ac:dyDescent="0.2">
      <c r="A103" s="4"/>
      <c r="B103" s="5"/>
      <c r="C103" s="5"/>
      <c r="D103" s="5"/>
      <c r="E103" s="6"/>
      <c r="G103" s="4"/>
      <c r="H103" s="5"/>
      <c r="I103" s="5"/>
      <c r="J103" s="6"/>
      <c r="L103" s="4"/>
      <c r="M103" s="5"/>
      <c r="N103" s="5"/>
      <c r="O103" s="6"/>
      <c r="P103" s="5"/>
      <c r="Q103" s="4"/>
      <c r="R103" s="5"/>
      <c r="S103" s="5"/>
      <c r="T103" s="6"/>
      <c r="V103" s="4"/>
      <c r="W103" s="6"/>
    </row>
    <row r="104" spans="1:25" x14ac:dyDescent="0.2">
      <c r="A104" s="4"/>
      <c r="B104" s="42" t="s">
        <v>384</v>
      </c>
      <c r="C104" s="5"/>
      <c r="D104" s="5"/>
      <c r="E104" s="16" t="s">
        <v>3</v>
      </c>
      <c r="G104" s="4"/>
      <c r="H104" s="5"/>
      <c r="I104" s="5"/>
      <c r="J104" s="16" t="s">
        <v>4</v>
      </c>
      <c r="L104" s="4"/>
      <c r="M104" s="5"/>
      <c r="N104" s="5"/>
      <c r="O104" s="16" t="s">
        <v>4</v>
      </c>
      <c r="P104" s="11"/>
      <c r="Q104" s="4"/>
      <c r="R104" s="5"/>
      <c r="S104" s="5"/>
      <c r="T104" s="16" t="s">
        <v>4</v>
      </c>
      <c r="V104" s="4"/>
      <c r="W104" s="6"/>
    </row>
    <row r="105" spans="1:25" x14ac:dyDescent="0.2">
      <c r="A105" s="4" t="s">
        <v>13</v>
      </c>
      <c r="B105" s="15">
        <f>IF(OR(S5="",E105=9999),9999,IF(AND(S5&lt;&gt;"gz",S5&lt;&gt;"z"),9999,S5))</f>
        <v>9999</v>
      </c>
      <c r="C105" s="11">
        <f>Q5-R5</f>
        <v>0</v>
      </c>
      <c r="D105" s="11">
        <f>W5-V5</f>
        <v>0</v>
      </c>
      <c r="E105" s="16">
        <f>IF(ISERROR(C105-D105),9999,IF(OR(C105=0,D105=0),9999,IF(S5=X5,(C105+D105)/10,(C105+D105+1000)/10)))</f>
        <v>9999</v>
      </c>
      <c r="G105" s="4" t="s">
        <v>13</v>
      </c>
      <c r="H105" s="11">
        <f>U5</f>
        <v>0</v>
      </c>
      <c r="I105" s="11">
        <f>P5</f>
        <v>0</v>
      </c>
      <c r="J105" s="16">
        <f>IF(ISERROR(I105-H105),9999,IF(OR(H105=0,I105=0),9999,H105-I105))</f>
        <v>9999</v>
      </c>
      <c r="L105" s="4" t="s">
        <v>13</v>
      </c>
      <c r="M105" s="11">
        <f>Y5</f>
        <v>0</v>
      </c>
      <c r="N105" s="11">
        <f>U5</f>
        <v>0</v>
      </c>
      <c r="O105" s="16">
        <f>IF(ISERROR(M105-N105),9999,IF(OR(M105=0,N105=0),9999,IF(SUM(M105-N105)&lt;=0,9999,SUM(M105-N105))))</f>
        <v>9999</v>
      </c>
      <c r="P105" s="13"/>
      <c r="Q105" s="4" t="s">
        <v>13</v>
      </c>
      <c r="R105" s="11">
        <f>Y5</f>
        <v>0</v>
      </c>
      <c r="S105" s="11">
        <f>P5</f>
        <v>0</v>
      </c>
      <c r="T105" s="16">
        <f>IF(ISERROR(R105-S105),9999,IF(OR(R105=0,S105=0),9999,IF(SUM(R105-S105)&lt;=0,9999,SUM(R105-S105))))</f>
        <v>9999</v>
      </c>
      <c r="V105" s="4" t="s">
        <v>13</v>
      </c>
      <c r="W105" s="16">
        <f>BD$5</f>
        <v>0</v>
      </c>
    </row>
    <row r="106" spans="1:25" x14ac:dyDescent="0.2">
      <c r="A106" s="4" t="s">
        <v>14</v>
      </c>
      <c r="B106" s="15">
        <f t="shared" ref="B106:B107" si="144">IF(OR(S6="",E106=9999),9999,IF(AND(S6&lt;&gt;"gz",S6&lt;&gt;"z"),9999,S6))</f>
        <v>9999</v>
      </c>
      <c r="C106" s="11">
        <f>R6-Q6</f>
        <v>0</v>
      </c>
      <c r="D106" s="11">
        <f>V6-W6</f>
        <v>0</v>
      </c>
      <c r="E106" s="16">
        <f t="shared" ref="E106:E124" si="145">IF(ISERROR(C106-D106),9999,IF(OR(C106=0,D106=0),9999,IF(S6=X6,(C106+D106)/10,(C106+D106+1000)/10)))</f>
        <v>9999</v>
      </c>
      <c r="G106" s="4" t="s">
        <v>14</v>
      </c>
      <c r="H106" s="11">
        <f t="shared" ref="H106:H124" si="146">U6</f>
        <v>0</v>
      </c>
      <c r="I106" s="11">
        <f t="shared" ref="I106:I124" si="147">P6</f>
        <v>0</v>
      </c>
      <c r="J106" s="16">
        <f t="shared" ref="J106:J124" si="148">IF(ISERROR(I106-H106),9999,IF(OR(H106=0,I106=0),9999,H106-I106))</f>
        <v>9999</v>
      </c>
      <c r="L106" s="4" t="s">
        <v>14</v>
      </c>
      <c r="M106" s="11">
        <f t="shared" ref="M106:M124" si="149">Y6</f>
        <v>0</v>
      </c>
      <c r="N106" s="11">
        <f t="shared" ref="N106:N124" si="150">U6</f>
        <v>0</v>
      </c>
      <c r="O106" s="16">
        <f t="shared" ref="O106:O124" si="151">IF(ISERROR(M106-N106),9999,IF(OR(M106=0,N106=0),9999,IF(SUM(M106-N106)&lt;=0,9999,SUM(M106-N106))))</f>
        <v>9999</v>
      </c>
      <c r="P106" s="13"/>
      <c r="Q106" s="4" t="s">
        <v>14</v>
      </c>
      <c r="R106" s="11">
        <f t="shared" ref="R106:R124" si="152">Y6</f>
        <v>0</v>
      </c>
      <c r="S106" s="11">
        <f t="shared" ref="S106:S124" si="153">P6</f>
        <v>0</v>
      </c>
      <c r="T106" s="16">
        <f t="shared" ref="T106:T124" si="154">IF(ISERROR(R106-S106),9999,IF(OR(R106=0,S106=0),9999,IF(SUM(R106-S106)&lt;=0,9999,SUM(R106-S106))))</f>
        <v>9999</v>
      </c>
      <c r="V106" s="4" t="s">
        <v>14</v>
      </c>
      <c r="W106" s="16">
        <f>BD$6</f>
        <v>0</v>
      </c>
      <c r="Y106" s="29"/>
    </row>
    <row r="107" spans="1:25" x14ac:dyDescent="0.2">
      <c r="A107" s="4" t="s">
        <v>15</v>
      </c>
      <c r="B107" s="15">
        <f t="shared" si="144"/>
        <v>9999</v>
      </c>
      <c r="C107" s="11">
        <f t="shared" ref="C107" si="155">Q7-R7</f>
        <v>0</v>
      </c>
      <c r="D107" s="11">
        <f t="shared" ref="D107" si="156">W7-V7</f>
        <v>0</v>
      </c>
      <c r="E107" s="16">
        <f t="shared" si="145"/>
        <v>9999</v>
      </c>
      <c r="G107" s="4" t="s">
        <v>15</v>
      </c>
      <c r="H107" s="11">
        <f t="shared" si="146"/>
        <v>0</v>
      </c>
      <c r="I107" s="11">
        <f t="shared" si="147"/>
        <v>0</v>
      </c>
      <c r="J107" s="16">
        <f t="shared" si="148"/>
        <v>9999</v>
      </c>
      <c r="L107" s="4" t="s">
        <v>15</v>
      </c>
      <c r="M107" s="11">
        <f t="shared" si="149"/>
        <v>0</v>
      </c>
      <c r="N107" s="11">
        <f t="shared" si="150"/>
        <v>0</v>
      </c>
      <c r="O107" s="16">
        <f t="shared" si="151"/>
        <v>9999</v>
      </c>
      <c r="P107" s="13"/>
      <c r="Q107" s="4" t="s">
        <v>15</v>
      </c>
      <c r="R107" s="11">
        <f t="shared" si="152"/>
        <v>0</v>
      </c>
      <c r="S107" s="11">
        <f t="shared" si="153"/>
        <v>0</v>
      </c>
      <c r="T107" s="16">
        <f t="shared" si="154"/>
        <v>9999</v>
      </c>
      <c r="V107" s="4" t="s">
        <v>15</v>
      </c>
      <c r="W107" s="16">
        <f>BD$7</f>
        <v>0</v>
      </c>
    </row>
    <row r="108" spans="1:25" x14ac:dyDescent="0.2">
      <c r="A108" s="4" t="s">
        <v>16</v>
      </c>
      <c r="B108" s="15">
        <f t="shared" ref="B108:B124" si="157">IF(OR(S8="",E108=9999),9999,IF(AND(S8&lt;&gt;"gz",S8&lt;&gt;"z"),9999,S8))</f>
        <v>9999</v>
      </c>
      <c r="C108" s="11">
        <f t="shared" ref="C108" si="158">R8-Q8</f>
        <v>0</v>
      </c>
      <c r="D108" s="11">
        <f t="shared" ref="D108" si="159">V8-W8</f>
        <v>0</v>
      </c>
      <c r="E108" s="16">
        <f t="shared" si="145"/>
        <v>9999</v>
      </c>
      <c r="G108" s="4" t="s">
        <v>16</v>
      </c>
      <c r="H108" s="11">
        <f t="shared" si="146"/>
        <v>0</v>
      </c>
      <c r="I108" s="11">
        <f t="shared" si="147"/>
        <v>0</v>
      </c>
      <c r="J108" s="16">
        <f t="shared" si="148"/>
        <v>9999</v>
      </c>
      <c r="L108" s="4" t="s">
        <v>16</v>
      </c>
      <c r="M108" s="11">
        <f t="shared" si="149"/>
        <v>0</v>
      </c>
      <c r="N108" s="11">
        <f t="shared" si="150"/>
        <v>0</v>
      </c>
      <c r="O108" s="16">
        <f t="shared" si="151"/>
        <v>9999</v>
      </c>
      <c r="P108" s="13"/>
      <c r="Q108" s="4" t="s">
        <v>16</v>
      </c>
      <c r="R108" s="11">
        <f t="shared" si="152"/>
        <v>0</v>
      </c>
      <c r="S108" s="11">
        <f t="shared" si="153"/>
        <v>0</v>
      </c>
      <c r="T108" s="16">
        <f t="shared" si="154"/>
        <v>9999</v>
      </c>
      <c r="V108" s="4" t="s">
        <v>16</v>
      </c>
      <c r="W108" s="16">
        <f>BD$8</f>
        <v>0</v>
      </c>
    </row>
    <row r="109" spans="1:25" x14ac:dyDescent="0.2">
      <c r="A109" s="4" t="s">
        <v>17</v>
      </c>
      <c r="B109" s="15">
        <f t="shared" si="157"/>
        <v>9999</v>
      </c>
      <c r="C109" s="11">
        <f t="shared" ref="C109" si="160">Q9-R9</f>
        <v>0</v>
      </c>
      <c r="D109" s="11">
        <f t="shared" ref="D109" si="161">W9-V9</f>
        <v>0</v>
      </c>
      <c r="E109" s="16">
        <f t="shared" si="145"/>
        <v>9999</v>
      </c>
      <c r="G109" s="4" t="s">
        <v>17</v>
      </c>
      <c r="H109" s="11">
        <f t="shared" si="146"/>
        <v>0</v>
      </c>
      <c r="I109" s="11">
        <f t="shared" si="147"/>
        <v>0</v>
      </c>
      <c r="J109" s="16">
        <f t="shared" si="148"/>
        <v>9999</v>
      </c>
      <c r="L109" s="4" t="s">
        <v>17</v>
      </c>
      <c r="M109" s="11">
        <f t="shared" si="149"/>
        <v>0</v>
      </c>
      <c r="N109" s="11">
        <f t="shared" si="150"/>
        <v>0</v>
      </c>
      <c r="O109" s="16">
        <f t="shared" si="151"/>
        <v>9999</v>
      </c>
      <c r="P109" s="13"/>
      <c r="Q109" s="4" t="s">
        <v>17</v>
      </c>
      <c r="R109" s="11">
        <f t="shared" si="152"/>
        <v>0</v>
      </c>
      <c r="S109" s="11">
        <f t="shared" si="153"/>
        <v>0</v>
      </c>
      <c r="T109" s="16">
        <f t="shared" si="154"/>
        <v>9999</v>
      </c>
      <c r="V109" s="4" t="s">
        <v>17</v>
      </c>
      <c r="W109" s="16">
        <f>BD$9</f>
        <v>0</v>
      </c>
    </row>
    <row r="110" spans="1:25" x14ac:dyDescent="0.2">
      <c r="A110" s="4" t="s">
        <v>18</v>
      </c>
      <c r="B110" s="15">
        <f t="shared" si="157"/>
        <v>9999</v>
      </c>
      <c r="C110" s="11">
        <f t="shared" ref="C110" si="162">R10-Q10</f>
        <v>0</v>
      </c>
      <c r="D110" s="11">
        <f t="shared" ref="D110" si="163">V10-W10</f>
        <v>0</v>
      </c>
      <c r="E110" s="16">
        <f t="shared" si="145"/>
        <v>9999</v>
      </c>
      <c r="G110" s="4" t="s">
        <v>18</v>
      </c>
      <c r="H110" s="11">
        <f t="shared" si="146"/>
        <v>0</v>
      </c>
      <c r="I110" s="11">
        <f t="shared" si="147"/>
        <v>0</v>
      </c>
      <c r="J110" s="16">
        <f t="shared" si="148"/>
        <v>9999</v>
      </c>
      <c r="L110" s="4" t="s">
        <v>18</v>
      </c>
      <c r="M110" s="11">
        <f t="shared" si="149"/>
        <v>0</v>
      </c>
      <c r="N110" s="11">
        <f t="shared" si="150"/>
        <v>0</v>
      </c>
      <c r="O110" s="16">
        <f t="shared" si="151"/>
        <v>9999</v>
      </c>
      <c r="P110" s="13"/>
      <c r="Q110" s="4" t="s">
        <v>18</v>
      </c>
      <c r="R110" s="11">
        <f t="shared" si="152"/>
        <v>0</v>
      </c>
      <c r="S110" s="11">
        <f t="shared" si="153"/>
        <v>0</v>
      </c>
      <c r="T110" s="16">
        <f t="shared" si="154"/>
        <v>9999</v>
      </c>
      <c r="V110" s="4" t="s">
        <v>18</v>
      </c>
      <c r="W110" s="16">
        <f>BD$10</f>
        <v>0</v>
      </c>
    </row>
    <row r="111" spans="1:25" x14ac:dyDescent="0.2">
      <c r="A111" s="4" t="s">
        <v>19</v>
      </c>
      <c r="B111" s="15">
        <f t="shared" si="157"/>
        <v>9999</v>
      </c>
      <c r="C111" s="11">
        <f t="shared" ref="C111" si="164">Q11-R11</f>
        <v>0</v>
      </c>
      <c r="D111" s="11">
        <f t="shared" ref="D111" si="165">W11-V11</f>
        <v>0</v>
      </c>
      <c r="E111" s="16">
        <f t="shared" si="145"/>
        <v>9999</v>
      </c>
      <c r="G111" s="4" t="s">
        <v>19</v>
      </c>
      <c r="H111" s="11">
        <f t="shared" si="146"/>
        <v>0</v>
      </c>
      <c r="I111" s="11">
        <f t="shared" si="147"/>
        <v>0</v>
      </c>
      <c r="J111" s="16">
        <f t="shared" si="148"/>
        <v>9999</v>
      </c>
      <c r="L111" s="4" t="s">
        <v>19</v>
      </c>
      <c r="M111" s="11">
        <f t="shared" si="149"/>
        <v>0</v>
      </c>
      <c r="N111" s="11">
        <f t="shared" si="150"/>
        <v>0</v>
      </c>
      <c r="O111" s="16">
        <f t="shared" si="151"/>
        <v>9999</v>
      </c>
      <c r="P111" s="13"/>
      <c r="Q111" s="4" t="s">
        <v>19</v>
      </c>
      <c r="R111" s="11">
        <f t="shared" si="152"/>
        <v>0</v>
      </c>
      <c r="S111" s="11">
        <f t="shared" si="153"/>
        <v>0</v>
      </c>
      <c r="T111" s="16">
        <f t="shared" si="154"/>
        <v>9999</v>
      </c>
      <c r="V111" s="4" t="s">
        <v>19</v>
      </c>
      <c r="W111" s="16">
        <f>BD$11</f>
        <v>0</v>
      </c>
    </row>
    <row r="112" spans="1:25" x14ac:dyDescent="0.2">
      <c r="A112" s="9" t="s">
        <v>20</v>
      </c>
      <c r="B112" s="15">
        <f t="shared" si="157"/>
        <v>9999</v>
      </c>
      <c r="C112" s="11">
        <f t="shared" ref="C112" si="166">R12-Q12</f>
        <v>0</v>
      </c>
      <c r="D112" s="11">
        <f t="shared" ref="D112" si="167">V12-W12</f>
        <v>0</v>
      </c>
      <c r="E112" s="16">
        <f t="shared" si="145"/>
        <v>9999</v>
      </c>
      <c r="G112" s="9" t="s">
        <v>20</v>
      </c>
      <c r="H112" s="11">
        <f t="shared" si="146"/>
        <v>0</v>
      </c>
      <c r="I112" s="11">
        <f t="shared" si="147"/>
        <v>0</v>
      </c>
      <c r="J112" s="16">
        <f t="shared" si="148"/>
        <v>9999</v>
      </c>
      <c r="L112" s="9" t="s">
        <v>20</v>
      </c>
      <c r="M112" s="11">
        <f t="shared" si="149"/>
        <v>0</v>
      </c>
      <c r="N112" s="11">
        <f t="shared" si="150"/>
        <v>0</v>
      </c>
      <c r="O112" s="16">
        <f t="shared" si="151"/>
        <v>9999</v>
      </c>
      <c r="P112" s="13"/>
      <c r="Q112" s="9" t="s">
        <v>20</v>
      </c>
      <c r="R112" s="11">
        <f t="shared" si="152"/>
        <v>0</v>
      </c>
      <c r="S112" s="11">
        <f t="shared" si="153"/>
        <v>0</v>
      </c>
      <c r="T112" s="16">
        <f t="shared" si="154"/>
        <v>9999</v>
      </c>
      <c r="V112" s="9" t="s">
        <v>20</v>
      </c>
      <c r="W112" s="16">
        <f>BD$12</f>
        <v>0</v>
      </c>
    </row>
    <row r="113" spans="1:25" x14ac:dyDescent="0.2">
      <c r="A113" s="9" t="s">
        <v>21</v>
      </c>
      <c r="B113" s="15">
        <f t="shared" si="157"/>
        <v>9999</v>
      </c>
      <c r="C113" s="11">
        <f t="shared" ref="C113" si="168">Q13-R13</f>
        <v>0</v>
      </c>
      <c r="D113" s="11">
        <f t="shared" ref="D113" si="169">W13-V13</f>
        <v>0</v>
      </c>
      <c r="E113" s="16">
        <f t="shared" si="145"/>
        <v>9999</v>
      </c>
      <c r="G113" s="9" t="s">
        <v>21</v>
      </c>
      <c r="H113" s="11">
        <f t="shared" si="146"/>
        <v>0</v>
      </c>
      <c r="I113" s="11">
        <f t="shared" si="147"/>
        <v>0</v>
      </c>
      <c r="J113" s="16">
        <f t="shared" si="148"/>
        <v>9999</v>
      </c>
      <c r="L113" s="9" t="s">
        <v>21</v>
      </c>
      <c r="M113" s="11">
        <f t="shared" si="149"/>
        <v>0</v>
      </c>
      <c r="N113" s="11">
        <f t="shared" si="150"/>
        <v>0</v>
      </c>
      <c r="O113" s="16">
        <f t="shared" si="151"/>
        <v>9999</v>
      </c>
      <c r="P113" s="13"/>
      <c r="Q113" s="9" t="s">
        <v>21</v>
      </c>
      <c r="R113" s="11">
        <f t="shared" si="152"/>
        <v>0</v>
      </c>
      <c r="S113" s="11">
        <f t="shared" si="153"/>
        <v>0</v>
      </c>
      <c r="T113" s="16">
        <f t="shared" si="154"/>
        <v>9999</v>
      </c>
      <c r="V113" s="9" t="s">
        <v>21</v>
      </c>
      <c r="W113" s="16">
        <f>BD$13</f>
        <v>0</v>
      </c>
    </row>
    <row r="114" spans="1:25" x14ac:dyDescent="0.2">
      <c r="A114" s="9" t="s">
        <v>22</v>
      </c>
      <c r="B114" s="15">
        <f t="shared" si="157"/>
        <v>9999</v>
      </c>
      <c r="C114" s="11">
        <f t="shared" ref="C114" si="170">R14-Q14</f>
        <v>0</v>
      </c>
      <c r="D114" s="11">
        <f t="shared" ref="D114" si="171">V14-W14</f>
        <v>0</v>
      </c>
      <c r="E114" s="16">
        <f t="shared" si="145"/>
        <v>9999</v>
      </c>
      <c r="G114" s="9" t="s">
        <v>22</v>
      </c>
      <c r="H114" s="11">
        <f t="shared" si="146"/>
        <v>0</v>
      </c>
      <c r="I114" s="11">
        <f t="shared" si="147"/>
        <v>0</v>
      </c>
      <c r="J114" s="16">
        <f t="shared" si="148"/>
        <v>9999</v>
      </c>
      <c r="L114" s="9" t="s">
        <v>22</v>
      </c>
      <c r="M114" s="11">
        <f t="shared" si="149"/>
        <v>0</v>
      </c>
      <c r="N114" s="11">
        <f t="shared" si="150"/>
        <v>0</v>
      </c>
      <c r="O114" s="16">
        <f t="shared" si="151"/>
        <v>9999</v>
      </c>
      <c r="P114" s="13"/>
      <c r="Q114" s="9" t="s">
        <v>22</v>
      </c>
      <c r="R114" s="11">
        <f t="shared" si="152"/>
        <v>0</v>
      </c>
      <c r="S114" s="11">
        <f t="shared" si="153"/>
        <v>0</v>
      </c>
      <c r="T114" s="16">
        <f t="shared" si="154"/>
        <v>9999</v>
      </c>
      <c r="V114" s="9" t="s">
        <v>22</v>
      </c>
      <c r="W114" s="16">
        <f>BD$14</f>
        <v>0</v>
      </c>
    </row>
    <row r="115" spans="1:25" x14ac:dyDescent="0.2">
      <c r="A115" s="9" t="s">
        <v>23</v>
      </c>
      <c r="B115" s="15">
        <f t="shared" si="157"/>
        <v>9999</v>
      </c>
      <c r="C115" s="11">
        <f t="shared" ref="C115" si="172">Q15-R15</f>
        <v>0</v>
      </c>
      <c r="D115" s="11">
        <f t="shared" ref="D115" si="173">W15-V15</f>
        <v>0</v>
      </c>
      <c r="E115" s="16">
        <f t="shared" si="145"/>
        <v>9999</v>
      </c>
      <c r="G115" s="9" t="s">
        <v>23</v>
      </c>
      <c r="H115" s="11">
        <f t="shared" si="146"/>
        <v>0</v>
      </c>
      <c r="I115" s="11">
        <f t="shared" si="147"/>
        <v>0</v>
      </c>
      <c r="J115" s="16">
        <f t="shared" si="148"/>
        <v>9999</v>
      </c>
      <c r="L115" s="9" t="s">
        <v>23</v>
      </c>
      <c r="M115" s="11">
        <f t="shared" si="149"/>
        <v>0</v>
      </c>
      <c r="N115" s="11">
        <f t="shared" si="150"/>
        <v>0</v>
      </c>
      <c r="O115" s="16">
        <f t="shared" si="151"/>
        <v>9999</v>
      </c>
      <c r="P115" s="13"/>
      <c r="Q115" s="9" t="s">
        <v>23</v>
      </c>
      <c r="R115" s="11">
        <f t="shared" si="152"/>
        <v>0</v>
      </c>
      <c r="S115" s="11">
        <f t="shared" si="153"/>
        <v>0</v>
      </c>
      <c r="T115" s="16">
        <f t="shared" si="154"/>
        <v>9999</v>
      </c>
      <c r="V115" s="9" t="s">
        <v>23</v>
      </c>
      <c r="W115" s="16">
        <f>BD$15</f>
        <v>0</v>
      </c>
    </row>
    <row r="116" spans="1:25" x14ac:dyDescent="0.2">
      <c r="A116" s="9" t="s">
        <v>24</v>
      </c>
      <c r="B116" s="15">
        <f t="shared" si="157"/>
        <v>9999</v>
      </c>
      <c r="C116" s="11">
        <f t="shared" ref="C116" si="174">R16-Q16</f>
        <v>0</v>
      </c>
      <c r="D116" s="11">
        <f t="shared" ref="D116" si="175">V16-W16</f>
        <v>0</v>
      </c>
      <c r="E116" s="16">
        <f t="shared" si="145"/>
        <v>9999</v>
      </c>
      <c r="G116" s="9" t="s">
        <v>24</v>
      </c>
      <c r="H116" s="11">
        <f t="shared" si="146"/>
        <v>0</v>
      </c>
      <c r="I116" s="11">
        <f t="shared" si="147"/>
        <v>0</v>
      </c>
      <c r="J116" s="16">
        <f t="shared" si="148"/>
        <v>9999</v>
      </c>
      <c r="L116" s="9" t="s">
        <v>24</v>
      </c>
      <c r="M116" s="11">
        <f t="shared" si="149"/>
        <v>0</v>
      </c>
      <c r="N116" s="11">
        <f t="shared" si="150"/>
        <v>0</v>
      </c>
      <c r="O116" s="16">
        <f t="shared" si="151"/>
        <v>9999</v>
      </c>
      <c r="P116" s="13"/>
      <c r="Q116" s="9" t="s">
        <v>24</v>
      </c>
      <c r="R116" s="11">
        <f t="shared" si="152"/>
        <v>0</v>
      </c>
      <c r="S116" s="11">
        <f t="shared" si="153"/>
        <v>0</v>
      </c>
      <c r="T116" s="16">
        <f t="shared" si="154"/>
        <v>9999</v>
      </c>
      <c r="V116" s="9" t="s">
        <v>24</v>
      </c>
      <c r="W116" s="16">
        <f>BD$16</f>
        <v>0</v>
      </c>
    </row>
    <row r="117" spans="1:25" x14ac:dyDescent="0.2">
      <c r="A117" s="4" t="s">
        <v>25</v>
      </c>
      <c r="B117" s="15">
        <f t="shared" si="157"/>
        <v>9999</v>
      </c>
      <c r="C117" s="11">
        <f t="shared" ref="C117" si="176">Q17-R17</f>
        <v>0</v>
      </c>
      <c r="D117" s="11">
        <f t="shared" ref="D117" si="177">W17-V17</f>
        <v>0</v>
      </c>
      <c r="E117" s="16">
        <f t="shared" si="145"/>
        <v>9999</v>
      </c>
      <c r="G117" s="4" t="s">
        <v>25</v>
      </c>
      <c r="H117" s="11">
        <f t="shared" si="146"/>
        <v>0</v>
      </c>
      <c r="I117" s="11">
        <f t="shared" si="147"/>
        <v>0</v>
      </c>
      <c r="J117" s="16">
        <f t="shared" si="148"/>
        <v>9999</v>
      </c>
      <c r="L117" s="4" t="s">
        <v>25</v>
      </c>
      <c r="M117" s="11">
        <f t="shared" si="149"/>
        <v>0</v>
      </c>
      <c r="N117" s="11">
        <f t="shared" si="150"/>
        <v>0</v>
      </c>
      <c r="O117" s="16">
        <f t="shared" si="151"/>
        <v>9999</v>
      </c>
      <c r="P117" s="13"/>
      <c r="Q117" s="4" t="s">
        <v>25</v>
      </c>
      <c r="R117" s="11">
        <f t="shared" si="152"/>
        <v>0</v>
      </c>
      <c r="S117" s="11">
        <f t="shared" si="153"/>
        <v>0</v>
      </c>
      <c r="T117" s="16">
        <f t="shared" si="154"/>
        <v>9999</v>
      </c>
      <c r="V117" s="4" t="s">
        <v>25</v>
      </c>
      <c r="W117" s="16">
        <f>BD$17</f>
        <v>0</v>
      </c>
    </row>
    <row r="118" spans="1:25" x14ac:dyDescent="0.2">
      <c r="A118" s="4" t="s">
        <v>26</v>
      </c>
      <c r="B118" s="15">
        <f t="shared" si="157"/>
        <v>9999</v>
      </c>
      <c r="C118" s="11">
        <f t="shared" ref="C118" si="178">R18-Q18</f>
        <v>0</v>
      </c>
      <c r="D118" s="11">
        <f t="shared" ref="D118" si="179">V18-W18</f>
        <v>0</v>
      </c>
      <c r="E118" s="16">
        <f t="shared" si="145"/>
        <v>9999</v>
      </c>
      <c r="G118" s="4" t="s">
        <v>26</v>
      </c>
      <c r="H118" s="11">
        <f t="shared" si="146"/>
        <v>0</v>
      </c>
      <c r="I118" s="11">
        <f t="shared" si="147"/>
        <v>0</v>
      </c>
      <c r="J118" s="16">
        <f t="shared" si="148"/>
        <v>9999</v>
      </c>
      <c r="L118" s="4" t="s">
        <v>26</v>
      </c>
      <c r="M118" s="11">
        <f t="shared" si="149"/>
        <v>0</v>
      </c>
      <c r="N118" s="11">
        <f t="shared" si="150"/>
        <v>0</v>
      </c>
      <c r="O118" s="16">
        <f t="shared" si="151"/>
        <v>9999</v>
      </c>
      <c r="P118" s="13"/>
      <c r="Q118" s="4" t="s">
        <v>26</v>
      </c>
      <c r="R118" s="11">
        <f t="shared" si="152"/>
        <v>0</v>
      </c>
      <c r="S118" s="11">
        <f t="shared" si="153"/>
        <v>0</v>
      </c>
      <c r="T118" s="16">
        <f t="shared" si="154"/>
        <v>9999</v>
      </c>
      <c r="V118" s="4" t="s">
        <v>26</v>
      </c>
      <c r="W118" s="16">
        <f>BD$18</f>
        <v>0</v>
      </c>
    </row>
    <row r="119" spans="1:25" x14ac:dyDescent="0.2">
      <c r="A119" s="4" t="s">
        <v>27</v>
      </c>
      <c r="B119" s="15">
        <f t="shared" si="157"/>
        <v>9999</v>
      </c>
      <c r="C119" s="11">
        <f t="shared" ref="C119" si="180">Q19-R19</f>
        <v>0</v>
      </c>
      <c r="D119" s="11">
        <f t="shared" ref="D119" si="181">W19-V19</f>
        <v>0</v>
      </c>
      <c r="E119" s="16">
        <f t="shared" si="145"/>
        <v>9999</v>
      </c>
      <c r="G119" s="4" t="s">
        <v>27</v>
      </c>
      <c r="H119" s="11">
        <f t="shared" si="146"/>
        <v>0</v>
      </c>
      <c r="I119" s="11">
        <f t="shared" si="147"/>
        <v>0</v>
      </c>
      <c r="J119" s="16">
        <f t="shared" si="148"/>
        <v>9999</v>
      </c>
      <c r="L119" s="4" t="s">
        <v>27</v>
      </c>
      <c r="M119" s="11">
        <f t="shared" si="149"/>
        <v>0</v>
      </c>
      <c r="N119" s="11">
        <f t="shared" si="150"/>
        <v>0</v>
      </c>
      <c r="O119" s="16">
        <f t="shared" si="151"/>
        <v>9999</v>
      </c>
      <c r="P119" s="13"/>
      <c r="Q119" s="4" t="s">
        <v>27</v>
      </c>
      <c r="R119" s="11">
        <f t="shared" si="152"/>
        <v>0</v>
      </c>
      <c r="S119" s="11">
        <f t="shared" si="153"/>
        <v>0</v>
      </c>
      <c r="T119" s="16">
        <f t="shared" si="154"/>
        <v>9999</v>
      </c>
      <c r="V119" s="4" t="s">
        <v>27</v>
      </c>
      <c r="W119" s="16">
        <f>BD$19</f>
        <v>0</v>
      </c>
    </row>
    <row r="120" spans="1:25" x14ac:dyDescent="0.2">
      <c r="A120" s="9" t="s">
        <v>28</v>
      </c>
      <c r="B120" s="15">
        <f t="shared" si="157"/>
        <v>9999</v>
      </c>
      <c r="C120" s="11">
        <f t="shared" ref="C120" si="182">R20-Q20</f>
        <v>0</v>
      </c>
      <c r="D120" s="11">
        <f t="shared" ref="D120" si="183">V20-W20</f>
        <v>0</v>
      </c>
      <c r="E120" s="16">
        <f t="shared" si="145"/>
        <v>9999</v>
      </c>
      <c r="G120" s="9" t="s">
        <v>28</v>
      </c>
      <c r="H120" s="11">
        <f t="shared" si="146"/>
        <v>0</v>
      </c>
      <c r="I120" s="11">
        <f t="shared" si="147"/>
        <v>0</v>
      </c>
      <c r="J120" s="16">
        <f t="shared" si="148"/>
        <v>9999</v>
      </c>
      <c r="L120" s="9" t="s">
        <v>28</v>
      </c>
      <c r="M120" s="11">
        <f t="shared" si="149"/>
        <v>0</v>
      </c>
      <c r="N120" s="11">
        <f t="shared" si="150"/>
        <v>0</v>
      </c>
      <c r="O120" s="16">
        <f t="shared" si="151"/>
        <v>9999</v>
      </c>
      <c r="P120" s="13"/>
      <c r="Q120" s="9" t="s">
        <v>28</v>
      </c>
      <c r="R120" s="11">
        <f t="shared" si="152"/>
        <v>0</v>
      </c>
      <c r="S120" s="11">
        <f t="shared" si="153"/>
        <v>0</v>
      </c>
      <c r="T120" s="16">
        <f t="shared" si="154"/>
        <v>9999</v>
      </c>
      <c r="V120" s="9" t="s">
        <v>28</v>
      </c>
      <c r="W120" s="16">
        <f>BD$20</f>
        <v>0</v>
      </c>
    </row>
    <row r="121" spans="1:25" x14ac:dyDescent="0.2">
      <c r="A121" s="9" t="s">
        <v>29</v>
      </c>
      <c r="B121" s="15">
        <f t="shared" si="157"/>
        <v>9999</v>
      </c>
      <c r="C121" s="11">
        <f t="shared" ref="C121" si="184">Q21-R21</f>
        <v>0</v>
      </c>
      <c r="D121" s="11">
        <f t="shared" ref="D121" si="185">W21-V21</f>
        <v>0</v>
      </c>
      <c r="E121" s="16">
        <f t="shared" si="145"/>
        <v>9999</v>
      </c>
      <c r="G121" s="9" t="s">
        <v>29</v>
      </c>
      <c r="H121" s="11">
        <f t="shared" si="146"/>
        <v>0</v>
      </c>
      <c r="I121" s="11">
        <f t="shared" si="147"/>
        <v>0</v>
      </c>
      <c r="J121" s="16">
        <f t="shared" si="148"/>
        <v>9999</v>
      </c>
      <c r="L121" s="9" t="s">
        <v>29</v>
      </c>
      <c r="M121" s="11">
        <f t="shared" si="149"/>
        <v>0</v>
      </c>
      <c r="N121" s="11">
        <f t="shared" si="150"/>
        <v>0</v>
      </c>
      <c r="O121" s="16">
        <f t="shared" si="151"/>
        <v>9999</v>
      </c>
      <c r="P121" s="13"/>
      <c r="Q121" s="9" t="s">
        <v>29</v>
      </c>
      <c r="R121" s="11">
        <f t="shared" si="152"/>
        <v>0</v>
      </c>
      <c r="S121" s="11">
        <f t="shared" si="153"/>
        <v>0</v>
      </c>
      <c r="T121" s="16">
        <f t="shared" si="154"/>
        <v>9999</v>
      </c>
      <c r="V121" s="9" t="s">
        <v>29</v>
      </c>
      <c r="W121" s="16">
        <f>BD$21</f>
        <v>0</v>
      </c>
    </row>
    <row r="122" spans="1:25" x14ac:dyDescent="0.2">
      <c r="A122" s="9" t="s">
        <v>30</v>
      </c>
      <c r="B122" s="15">
        <f t="shared" si="157"/>
        <v>9999</v>
      </c>
      <c r="C122" s="11">
        <f t="shared" ref="C122" si="186">R22-Q22</f>
        <v>0</v>
      </c>
      <c r="D122" s="11">
        <f t="shared" ref="D122" si="187">V22-W22</f>
        <v>0</v>
      </c>
      <c r="E122" s="16">
        <f t="shared" si="145"/>
        <v>9999</v>
      </c>
      <c r="G122" s="9" t="s">
        <v>30</v>
      </c>
      <c r="H122" s="11">
        <f t="shared" si="146"/>
        <v>0</v>
      </c>
      <c r="I122" s="11">
        <f t="shared" si="147"/>
        <v>0</v>
      </c>
      <c r="J122" s="16">
        <f t="shared" si="148"/>
        <v>9999</v>
      </c>
      <c r="L122" s="9" t="s">
        <v>30</v>
      </c>
      <c r="M122" s="11">
        <f t="shared" si="149"/>
        <v>0</v>
      </c>
      <c r="N122" s="11">
        <f t="shared" si="150"/>
        <v>0</v>
      </c>
      <c r="O122" s="16">
        <f t="shared" si="151"/>
        <v>9999</v>
      </c>
      <c r="P122" s="13"/>
      <c r="Q122" s="9" t="s">
        <v>30</v>
      </c>
      <c r="R122" s="11">
        <f t="shared" si="152"/>
        <v>0</v>
      </c>
      <c r="S122" s="11">
        <f t="shared" si="153"/>
        <v>0</v>
      </c>
      <c r="T122" s="16">
        <f t="shared" si="154"/>
        <v>9999</v>
      </c>
      <c r="V122" s="9" t="s">
        <v>30</v>
      </c>
      <c r="W122" s="16">
        <f>BD$22</f>
        <v>0</v>
      </c>
    </row>
    <row r="123" spans="1:25" x14ac:dyDescent="0.2">
      <c r="A123" s="9" t="s">
        <v>31</v>
      </c>
      <c r="B123" s="15">
        <f t="shared" si="157"/>
        <v>9999</v>
      </c>
      <c r="C123" s="11">
        <f t="shared" ref="C123" si="188">Q23-R23</f>
        <v>0</v>
      </c>
      <c r="D123" s="11">
        <f t="shared" ref="D123" si="189">W23-V23</f>
        <v>0</v>
      </c>
      <c r="E123" s="16">
        <f t="shared" si="145"/>
        <v>9999</v>
      </c>
      <c r="G123" s="9" t="s">
        <v>31</v>
      </c>
      <c r="H123" s="11">
        <f t="shared" si="146"/>
        <v>0</v>
      </c>
      <c r="I123" s="11">
        <f t="shared" si="147"/>
        <v>0</v>
      </c>
      <c r="J123" s="16">
        <f t="shared" si="148"/>
        <v>9999</v>
      </c>
      <c r="L123" s="9" t="s">
        <v>31</v>
      </c>
      <c r="M123" s="11">
        <f t="shared" si="149"/>
        <v>0</v>
      </c>
      <c r="N123" s="11">
        <f t="shared" si="150"/>
        <v>0</v>
      </c>
      <c r="O123" s="16">
        <f t="shared" si="151"/>
        <v>9999</v>
      </c>
      <c r="P123" s="13"/>
      <c r="Q123" s="9" t="s">
        <v>31</v>
      </c>
      <c r="R123" s="11">
        <f t="shared" si="152"/>
        <v>0</v>
      </c>
      <c r="S123" s="11">
        <f t="shared" si="153"/>
        <v>0</v>
      </c>
      <c r="T123" s="16">
        <f t="shared" si="154"/>
        <v>9999</v>
      </c>
      <c r="V123" s="9" t="s">
        <v>31</v>
      </c>
      <c r="W123" s="16">
        <f>BD$23</f>
        <v>0</v>
      </c>
    </row>
    <row r="124" spans="1:25" x14ac:dyDescent="0.2">
      <c r="A124" s="10" t="s">
        <v>32</v>
      </c>
      <c r="B124" s="17">
        <f t="shared" si="157"/>
        <v>9999</v>
      </c>
      <c r="C124" s="12">
        <f t="shared" ref="C124" si="190">R24-Q24</f>
        <v>0</v>
      </c>
      <c r="D124" s="12">
        <f t="shared" ref="D124" si="191">V24-W24</f>
        <v>0</v>
      </c>
      <c r="E124" s="18">
        <f t="shared" si="145"/>
        <v>9999</v>
      </c>
      <c r="G124" s="10" t="s">
        <v>32</v>
      </c>
      <c r="H124" s="12">
        <f t="shared" si="146"/>
        <v>0</v>
      </c>
      <c r="I124" s="12">
        <f t="shared" si="147"/>
        <v>0</v>
      </c>
      <c r="J124" s="18">
        <f t="shared" si="148"/>
        <v>9999</v>
      </c>
      <c r="L124" s="10" t="s">
        <v>32</v>
      </c>
      <c r="M124" s="12">
        <f t="shared" si="149"/>
        <v>0</v>
      </c>
      <c r="N124" s="12">
        <f t="shared" si="150"/>
        <v>0</v>
      </c>
      <c r="O124" s="18">
        <f t="shared" si="151"/>
        <v>9999</v>
      </c>
      <c r="P124" s="13"/>
      <c r="Q124" s="10" t="s">
        <v>32</v>
      </c>
      <c r="R124" s="12">
        <f t="shared" si="152"/>
        <v>0</v>
      </c>
      <c r="S124" s="12">
        <f t="shared" si="153"/>
        <v>0</v>
      </c>
      <c r="T124" s="18">
        <f t="shared" si="154"/>
        <v>9999</v>
      </c>
      <c r="V124" s="10" t="s">
        <v>32</v>
      </c>
      <c r="W124" s="18">
        <f>BD$24</f>
        <v>0</v>
      </c>
    </row>
    <row r="125" spans="1:25" x14ac:dyDescent="0.2">
      <c r="P125" s="13"/>
    </row>
    <row r="126" spans="1:25" x14ac:dyDescent="0.2">
      <c r="A126" s="14" t="s">
        <v>386</v>
      </c>
      <c r="E126" s="8"/>
      <c r="G126" s="26"/>
    </row>
    <row r="127" spans="1:25" x14ac:dyDescent="0.2">
      <c r="A127" s="28" t="s">
        <v>61</v>
      </c>
      <c r="B127" s="2"/>
      <c r="C127" s="2"/>
      <c r="D127" s="2"/>
      <c r="E127" s="3"/>
      <c r="G127" s="27" t="s">
        <v>60</v>
      </c>
      <c r="H127" s="2"/>
      <c r="I127" s="2"/>
      <c r="J127" s="3"/>
      <c r="L127" s="1" t="s">
        <v>2</v>
      </c>
      <c r="M127" s="2"/>
      <c r="N127" s="2"/>
      <c r="O127" s="3"/>
      <c r="P127" s="5"/>
      <c r="Q127" s="28" t="s">
        <v>63</v>
      </c>
      <c r="R127" s="2"/>
      <c r="S127" s="2"/>
      <c r="T127" s="3"/>
      <c r="V127" s="28" t="s">
        <v>320</v>
      </c>
      <c r="W127" s="36"/>
      <c r="Y127" s="24"/>
    </row>
    <row r="128" spans="1:25" x14ac:dyDescent="0.2">
      <c r="A128" s="4"/>
      <c r="B128" s="5"/>
      <c r="C128" s="5"/>
      <c r="D128" s="5"/>
      <c r="E128" s="6"/>
      <c r="G128" s="4"/>
      <c r="H128" s="5"/>
      <c r="I128" s="5"/>
      <c r="J128" s="6"/>
      <c r="L128" s="4"/>
      <c r="M128" s="5"/>
      <c r="N128" s="5"/>
      <c r="O128" s="6"/>
      <c r="P128" s="5"/>
      <c r="Q128" s="4"/>
      <c r="R128" s="5"/>
      <c r="S128" s="5"/>
      <c r="T128" s="6"/>
      <c r="V128" s="4"/>
      <c r="W128" s="6"/>
    </row>
    <row r="129" spans="1:25" x14ac:dyDescent="0.2">
      <c r="A129" s="4"/>
      <c r="B129" s="42" t="s">
        <v>384</v>
      </c>
      <c r="C129" s="5"/>
      <c r="D129" s="5"/>
      <c r="E129" s="16" t="s">
        <v>3</v>
      </c>
      <c r="G129" s="4"/>
      <c r="H129" s="5"/>
      <c r="I129" s="5"/>
      <c r="J129" s="16" t="s">
        <v>4</v>
      </c>
      <c r="L129" s="4"/>
      <c r="M129" s="5"/>
      <c r="N129" s="5"/>
      <c r="O129" s="16" t="s">
        <v>4</v>
      </c>
      <c r="P129" s="11"/>
      <c r="Q129" s="4"/>
      <c r="R129" s="5"/>
      <c r="S129" s="5"/>
      <c r="T129" s="16" t="s">
        <v>4</v>
      </c>
      <c r="V129" s="4"/>
      <c r="W129" s="6"/>
    </row>
    <row r="130" spans="1:25" x14ac:dyDescent="0.2">
      <c r="A130" s="4" t="s">
        <v>13</v>
      </c>
      <c r="B130" s="15">
        <f>IF(OR(X5="",E130=9999),9999,IF(AND(X5&lt;&gt;"gz",X5&lt;&gt;"z"),9999,X5))</f>
        <v>9999</v>
      </c>
      <c r="C130" s="11">
        <f>V5-W5</f>
        <v>0</v>
      </c>
      <c r="D130" s="11">
        <f>AB5-AA5</f>
        <v>0</v>
      </c>
      <c r="E130" s="16">
        <f>IF(ISERROR(C130-D130),9999,IF(OR(C130=0,D130=0),9999,IF(X5=AC5,(C130+D130)/10,(C130+D130+1000)/10)))</f>
        <v>9999</v>
      </c>
      <c r="G130" s="4" t="s">
        <v>13</v>
      </c>
      <c r="H130" s="11">
        <f>Z5</f>
        <v>0</v>
      </c>
      <c r="I130" s="11">
        <f>U5</f>
        <v>0</v>
      </c>
      <c r="J130" s="16">
        <f>IF(ISERROR(I130-H130),9999,IF(OR(H130=0,I130=0),9999,H130-I130))</f>
        <v>9999</v>
      </c>
      <c r="L130" s="4" t="s">
        <v>13</v>
      </c>
      <c r="M130" s="11">
        <f>AD5</f>
        <v>0</v>
      </c>
      <c r="N130" s="11">
        <f>Z5</f>
        <v>0</v>
      </c>
      <c r="O130" s="16">
        <f>IF(ISERROR(M130-N130),9999,IF(OR(M130=0,N130=0),9999,IF(SUM(M130-N130)&lt;=0,9999,SUM(M130-N130))))</f>
        <v>9999</v>
      </c>
      <c r="P130" s="13"/>
      <c r="Q130" s="4" t="s">
        <v>13</v>
      </c>
      <c r="R130" s="11">
        <f>AD5</f>
        <v>0</v>
      </c>
      <c r="S130" s="11">
        <f>U5</f>
        <v>0</v>
      </c>
      <c r="T130" s="16">
        <f>IF(ISERROR(R130-S130),9999,IF(OR(R130=0,S130=0),9999,IF(SUM(R130-S130)&lt;=0,9999,SUM(R130-S130))))</f>
        <v>9999</v>
      </c>
      <c r="V130" s="4" t="s">
        <v>13</v>
      </c>
      <c r="W130" s="16">
        <f>BD$5</f>
        <v>0</v>
      </c>
    </row>
    <row r="131" spans="1:25" x14ac:dyDescent="0.2">
      <c r="A131" s="4" t="s">
        <v>14</v>
      </c>
      <c r="B131" s="15">
        <f t="shared" ref="B131:B132" si="192">IF(OR(X6="",E131=9999),9999,IF(AND(X6&lt;&gt;"gz",X6&lt;&gt;"z"),9999,X6))</f>
        <v>9999</v>
      </c>
      <c r="C131" s="11">
        <f>W6-V6</f>
        <v>0</v>
      </c>
      <c r="D131" s="11">
        <f>AA6-AB6</f>
        <v>0</v>
      </c>
      <c r="E131" s="16">
        <f t="shared" ref="E131:E149" si="193">IF(ISERROR(C131-D131),9999,IF(OR(C131=0,D131=0),9999,IF(X6=AC6,(C131+D131)/10,(C131+D131+1000)/10)))</f>
        <v>9999</v>
      </c>
      <c r="G131" s="4" t="s">
        <v>14</v>
      </c>
      <c r="H131" s="11">
        <f t="shared" ref="H131:H149" si="194">Z6</f>
        <v>0</v>
      </c>
      <c r="I131" s="11">
        <f t="shared" ref="I131:I149" si="195">U6</f>
        <v>0</v>
      </c>
      <c r="J131" s="16">
        <f t="shared" ref="J131:J149" si="196">IF(ISERROR(I131-H131),9999,IF(OR(H131=0,I131=0),9999,H131-I131))</f>
        <v>9999</v>
      </c>
      <c r="L131" s="4" t="s">
        <v>14</v>
      </c>
      <c r="M131" s="11">
        <f t="shared" ref="M131:M149" si="197">AD6</f>
        <v>0</v>
      </c>
      <c r="N131" s="11">
        <f t="shared" ref="N131:N149" si="198">Z6</f>
        <v>0</v>
      </c>
      <c r="O131" s="16">
        <f t="shared" ref="O131:O149" si="199">IF(ISERROR(M131-N131),9999,IF(OR(M131=0,N131=0),9999,IF(SUM(M131-N131)&lt;=0,9999,SUM(M131-N131))))</f>
        <v>9999</v>
      </c>
      <c r="P131" s="13"/>
      <c r="Q131" s="4" t="s">
        <v>14</v>
      </c>
      <c r="R131" s="11">
        <f t="shared" ref="R131:R149" si="200">AD6</f>
        <v>0</v>
      </c>
      <c r="S131" s="11">
        <f t="shared" ref="S131:S149" si="201">U6</f>
        <v>0</v>
      </c>
      <c r="T131" s="16">
        <f t="shared" ref="T131:T149" si="202">IF(ISERROR(R131-S131),9999,IF(OR(R131=0,S131=0),9999,IF(SUM(R131-S131)&lt;=0,9999,SUM(R131-S131))))</f>
        <v>9999</v>
      </c>
      <c r="V131" s="4" t="s">
        <v>14</v>
      </c>
      <c r="W131" s="16">
        <f>BD$6</f>
        <v>0</v>
      </c>
      <c r="Y131" s="29"/>
    </row>
    <row r="132" spans="1:25" x14ac:dyDescent="0.2">
      <c r="A132" s="4" t="s">
        <v>15</v>
      </c>
      <c r="B132" s="15">
        <f t="shared" si="192"/>
        <v>9999</v>
      </c>
      <c r="C132" s="11">
        <f t="shared" ref="C132" si="203">V7-W7</f>
        <v>0</v>
      </c>
      <c r="D132" s="11">
        <f t="shared" ref="D132" si="204">AB7-AA7</f>
        <v>0</v>
      </c>
      <c r="E132" s="16">
        <f t="shared" si="193"/>
        <v>9999</v>
      </c>
      <c r="G132" s="4" t="s">
        <v>15</v>
      </c>
      <c r="H132" s="11">
        <f t="shared" si="194"/>
        <v>0</v>
      </c>
      <c r="I132" s="11">
        <f t="shared" si="195"/>
        <v>0</v>
      </c>
      <c r="J132" s="16">
        <f t="shared" si="196"/>
        <v>9999</v>
      </c>
      <c r="L132" s="4" t="s">
        <v>15</v>
      </c>
      <c r="M132" s="11">
        <f t="shared" si="197"/>
        <v>0</v>
      </c>
      <c r="N132" s="11">
        <f t="shared" si="198"/>
        <v>0</v>
      </c>
      <c r="O132" s="16">
        <f t="shared" si="199"/>
        <v>9999</v>
      </c>
      <c r="P132" s="13"/>
      <c r="Q132" s="4" t="s">
        <v>15</v>
      </c>
      <c r="R132" s="11">
        <f t="shared" si="200"/>
        <v>0</v>
      </c>
      <c r="S132" s="11">
        <f t="shared" si="201"/>
        <v>0</v>
      </c>
      <c r="T132" s="16">
        <f t="shared" si="202"/>
        <v>9999</v>
      </c>
      <c r="V132" s="4" t="s">
        <v>15</v>
      </c>
      <c r="W132" s="16">
        <f>BD$7</f>
        <v>0</v>
      </c>
    </row>
    <row r="133" spans="1:25" x14ac:dyDescent="0.2">
      <c r="A133" s="4" t="s">
        <v>16</v>
      </c>
      <c r="B133" s="15">
        <f t="shared" ref="B133:B149" si="205">IF(OR(X8="",E133=9999),9999,IF(AND(X8&lt;&gt;"gz",X8&lt;&gt;"z"),9999,X8))</f>
        <v>9999</v>
      </c>
      <c r="C133" s="11">
        <f t="shared" ref="C133" si="206">W8-V8</f>
        <v>0</v>
      </c>
      <c r="D133" s="11">
        <f t="shared" ref="D133" si="207">AA8-AB8</f>
        <v>0</v>
      </c>
      <c r="E133" s="16">
        <f t="shared" si="193"/>
        <v>9999</v>
      </c>
      <c r="G133" s="4" t="s">
        <v>16</v>
      </c>
      <c r="H133" s="11">
        <f t="shared" si="194"/>
        <v>0</v>
      </c>
      <c r="I133" s="11">
        <f t="shared" si="195"/>
        <v>0</v>
      </c>
      <c r="J133" s="16">
        <f t="shared" si="196"/>
        <v>9999</v>
      </c>
      <c r="L133" s="4" t="s">
        <v>16</v>
      </c>
      <c r="M133" s="11">
        <f t="shared" si="197"/>
        <v>0</v>
      </c>
      <c r="N133" s="11">
        <f t="shared" si="198"/>
        <v>0</v>
      </c>
      <c r="O133" s="16">
        <f t="shared" si="199"/>
        <v>9999</v>
      </c>
      <c r="P133" s="13"/>
      <c r="Q133" s="4" t="s">
        <v>16</v>
      </c>
      <c r="R133" s="11">
        <f t="shared" si="200"/>
        <v>0</v>
      </c>
      <c r="S133" s="11">
        <f t="shared" si="201"/>
        <v>0</v>
      </c>
      <c r="T133" s="16">
        <f t="shared" si="202"/>
        <v>9999</v>
      </c>
      <c r="V133" s="4" t="s">
        <v>16</v>
      </c>
      <c r="W133" s="16">
        <f>BD$8</f>
        <v>0</v>
      </c>
    </row>
    <row r="134" spans="1:25" x14ac:dyDescent="0.2">
      <c r="A134" s="4" t="s">
        <v>17</v>
      </c>
      <c r="B134" s="15">
        <f t="shared" si="205"/>
        <v>9999</v>
      </c>
      <c r="C134" s="11">
        <f t="shared" ref="C134" si="208">V9-W9</f>
        <v>0</v>
      </c>
      <c r="D134" s="11">
        <f t="shared" ref="D134" si="209">AB9-AA9</f>
        <v>0</v>
      </c>
      <c r="E134" s="16">
        <f t="shared" si="193"/>
        <v>9999</v>
      </c>
      <c r="G134" s="4" t="s">
        <v>17</v>
      </c>
      <c r="H134" s="11">
        <f t="shared" si="194"/>
        <v>0</v>
      </c>
      <c r="I134" s="11">
        <f t="shared" si="195"/>
        <v>0</v>
      </c>
      <c r="J134" s="16">
        <f t="shared" si="196"/>
        <v>9999</v>
      </c>
      <c r="L134" s="4" t="s">
        <v>17</v>
      </c>
      <c r="M134" s="11">
        <f t="shared" si="197"/>
        <v>0</v>
      </c>
      <c r="N134" s="11">
        <f t="shared" si="198"/>
        <v>0</v>
      </c>
      <c r="O134" s="16">
        <f t="shared" si="199"/>
        <v>9999</v>
      </c>
      <c r="P134" s="13"/>
      <c r="Q134" s="4" t="s">
        <v>17</v>
      </c>
      <c r="R134" s="11">
        <f t="shared" si="200"/>
        <v>0</v>
      </c>
      <c r="S134" s="11">
        <f t="shared" si="201"/>
        <v>0</v>
      </c>
      <c r="T134" s="16">
        <f t="shared" si="202"/>
        <v>9999</v>
      </c>
      <c r="V134" s="4" t="s">
        <v>17</v>
      </c>
      <c r="W134" s="16">
        <f>BD$9</f>
        <v>0</v>
      </c>
    </row>
    <row r="135" spans="1:25" x14ac:dyDescent="0.2">
      <c r="A135" s="4" t="s">
        <v>18</v>
      </c>
      <c r="B135" s="15">
        <f t="shared" si="205"/>
        <v>9999</v>
      </c>
      <c r="C135" s="11">
        <f t="shared" ref="C135" si="210">W10-V10</f>
        <v>0</v>
      </c>
      <c r="D135" s="11">
        <f t="shared" ref="D135" si="211">AA10-AB10</f>
        <v>0</v>
      </c>
      <c r="E135" s="16">
        <f t="shared" si="193"/>
        <v>9999</v>
      </c>
      <c r="G135" s="4" t="s">
        <v>18</v>
      </c>
      <c r="H135" s="11">
        <f t="shared" si="194"/>
        <v>0</v>
      </c>
      <c r="I135" s="11">
        <f t="shared" si="195"/>
        <v>0</v>
      </c>
      <c r="J135" s="16">
        <f t="shared" si="196"/>
        <v>9999</v>
      </c>
      <c r="L135" s="4" t="s">
        <v>18</v>
      </c>
      <c r="M135" s="11">
        <f t="shared" si="197"/>
        <v>0</v>
      </c>
      <c r="N135" s="11">
        <f t="shared" si="198"/>
        <v>0</v>
      </c>
      <c r="O135" s="16">
        <f t="shared" si="199"/>
        <v>9999</v>
      </c>
      <c r="P135" s="13"/>
      <c r="Q135" s="4" t="s">
        <v>18</v>
      </c>
      <c r="R135" s="11">
        <f t="shared" si="200"/>
        <v>0</v>
      </c>
      <c r="S135" s="11">
        <f t="shared" si="201"/>
        <v>0</v>
      </c>
      <c r="T135" s="16">
        <f t="shared" si="202"/>
        <v>9999</v>
      </c>
      <c r="V135" s="4" t="s">
        <v>18</v>
      </c>
      <c r="W135" s="16">
        <f>BD$10</f>
        <v>0</v>
      </c>
    </row>
    <row r="136" spans="1:25" x14ac:dyDescent="0.2">
      <c r="A136" s="4" t="s">
        <v>19</v>
      </c>
      <c r="B136" s="15">
        <f t="shared" si="205"/>
        <v>9999</v>
      </c>
      <c r="C136" s="11">
        <f t="shared" ref="C136" si="212">V11-W11</f>
        <v>0</v>
      </c>
      <c r="D136" s="11">
        <f t="shared" ref="D136" si="213">AB11-AA11</f>
        <v>0</v>
      </c>
      <c r="E136" s="16">
        <f t="shared" si="193"/>
        <v>9999</v>
      </c>
      <c r="G136" s="4" t="s">
        <v>19</v>
      </c>
      <c r="H136" s="11">
        <f t="shared" si="194"/>
        <v>0</v>
      </c>
      <c r="I136" s="11">
        <f t="shared" si="195"/>
        <v>0</v>
      </c>
      <c r="J136" s="16">
        <f t="shared" si="196"/>
        <v>9999</v>
      </c>
      <c r="L136" s="4" t="s">
        <v>19</v>
      </c>
      <c r="M136" s="11">
        <f t="shared" si="197"/>
        <v>0</v>
      </c>
      <c r="N136" s="11">
        <f t="shared" si="198"/>
        <v>0</v>
      </c>
      <c r="O136" s="16">
        <f t="shared" si="199"/>
        <v>9999</v>
      </c>
      <c r="P136" s="13"/>
      <c r="Q136" s="4" t="s">
        <v>19</v>
      </c>
      <c r="R136" s="11">
        <f t="shared" si="200"/>
        <v>0</v>
      </c>
      <c r="S136" s="11">
        <f t="shared" si="201"/>
        <v>0</v>
      </c>
      <c r="T136" s="16">
        <f t="shared" si="202"/>
        <v>9999</v>
      </c>
      <c r="V136" s="4" t="s">
        <v>19</v>
      </c>
      <c r="W136" s="16">
        <f>BD$11</f>
        <v>0</v>
      </c>
    </row>
    <row r="137" spans="1:25" x14ac:dyDescent="0.2">
      <c r="A137" s="9" t="s">
        <v>20</v>
      </c>
      <c r="B137" s="15">
        <f t="shared" si="205"/>
        <v>9999</v>
      </c>
      <c r="C137" s="11">
        <f t="shared" ref="C137" si="214">W12-V12</f>
        <v>0</v>
      </c>
      <c r="D137" s="11">
        <f t="shared" ref="D137" si="215">AA12-AB12</f>
        <v>0</v>
      </c>
      <c r="E137" s="16">
        <f t="shared" si="193"/>
        <v>9999</v>
      </c>
      <c r="G137" s="9" t="s">
        <v>20</v>
      </c>
      <c r="H137" s="11">
        <f t="shared" si="194"/>
        <v>0</v>
      </c>
      <c r="I137" s="11">
        <f t="shared" si="195"/>
        <v>0</v>
      </c>
      <c r="J137" s="16">
        <f t="shared" si="196"/>
        <v>9999</v>
      </c>
      <c r="L137" s="9" t="s">
        <v>20</v>
      </c>
      <c r="M137" s="11">
        <f t="shared" si="197"/>
        <v>0</v>
      </c>
      <c r="N137" s="11">
        <f t="shared" si="198"/>
        <v>0</v>
      </c>
      <c r="O137" s="16">
        <f t="shared" si="199"/>
        <v>9999</v>
      </c>
      <c r="P137" s="13"/>
      <c r="Q137" s="9" t="s">
        <v>20</v>
      </c>
      <c r="R137" s="11">
        <f t="shared" si="200"/>
        <v>0</v>
      </c>
      <c r="S137" s="11">
        <f t="shared" si="201"/>
        <v>0</v>
      </c>
      <c r="T137" s="16">
        <f t="shared" si="202"/>
        <v>9999</v>
      </c>
      <c r="V137" s="9" t="s">
        <v>20</v>
      </c>
      <c r="W137" s="16">
        <f>BD$12</f>
        <v>0</v>
      </c>
    </row>
    <row r="138" spans="1:25" x14ac:dyDescent="0.2">
      <c r="A138" s="9" t="s">
        <v>21</v>
      </c>
      <c r="B138" s="15">
        <f t="shared" si="205"/>
        <v>9999</v>
      </c>
      <c r="C138" s="11">
        <f t="shared" ref="C138" si="216">V13-W13</f>
        <v>0</v>
      </c>
      <c r="D138" s="11">
        <f t="shared" ref="D138" si="217">AB13-AA13</f>
        <v>0</v>
      </c>
      <c r="E138" s="16">
        <f t="shared" si="193"/>
        <v>9999</v>
      </c>
      <c r="G138" s="9" t="s">
        <v>21</v>
      </c>
      <c r="H138" s="11">
        <f t="shared" si="194"/>
        <v>0</v>
      </c>
      <c r="I138" s="11">
        <f t="shared" si="195"/>
        <v>0</v>
      </c>
      <c r="J138" s="16">
        <f t="shared" si="196"/>
        <v>9999</v>
      </c>
      <c r="L138" s="9" t="s">
        <v>21</v>
      </c>
      <c r="M138" s="11">
        <f t="shared" si="197"/>
        <v>0</v>
      </c>
      <c r="N138" s="11">
        <f t="shared" si="198"/>
        <v>0</v>
      </c>
      <c r="O138" s="16">
        <f t="shared" si="199"/>
        <v>9999</v>
      </c>
      <c r="P138" s="13"/>
      <c r="Q138" s="9" t="s">
        <v>21</v>
      </c>
      <c r="R138" s="11">
        <f t="shared" si="200"/>
        <v>0</v>
      </c>
      <c r="S138" s="11">
        <f t="shared" si="201"/>
        <v>0</v>
      </c>
      <c r="T138" s="16">
        <f t="shared" si="202"/>
        <v>9999</v>
      </c>
      <c r="V138" s="9" t="s">
        <v>21</v>
      </c>
      <c r="W138" s="16">
        <f>BD$13</f>
        <v>0</v>
      </c>
    </row>
    <row r="139" spans="1:25" x14ac:dyDescent="0.2">
      <c r="A139" s="9" t="s">
        <v>22</v>
      </c>
      <c r="B139" s="15">
        <f t="shared" si="205"/>
        <v>9999</v>
      </c>
      <c r="C139" s="11">
        <f t="shared" ref="C139" si="218">W14-V14</f>
        <v>0</v>
      </c>
      <c r="D139" s="11">
        <f t="shared" ref="D139" si="219">AA14-AB14</f>
        <v>0</v>
      </c>
      <c r="E139" s="16">
        <f t="shared" si="193"/>
        <v>9999</v>
      </c>
      <c r="G139" s="9" t="s">
        <v>22</v>
      </c>
      <c r="H139" s="11">
        <f t="shared" si="194"/>
        <v>0</v>
      </c>
      <c r="I139" s="11">
        <f t="shared" si="195"/>
        <v>0</v>
      </c>
      <c r="J139" s="16">
        <f t="shared" si="196"/>
        <v>9999</v>
      </c>
      <c r="L139" s="9" t="s">
        <v>22</v>
      </c>
      <c r="M139" s="11">
        <f t="shared" si="197"/>
        <v>0</v>
      </c>
      <c r="N139" s="11">
        <f t="shared" si="198"/>
        <v>0</v>
      </c>
      <c r="O139" s="16">
        <f t="shared" si="199"/>
        <v>9999</v>
      </c>
      <c r="P139" s="13"/>
      <c r="Q139" s="9" t="s">
        <v>22</v>
      </c>
      <c r="R139" s="11">
        <f t="shared" si="200"/>
        <v>0</v>
      </c>
      <c r="S139" s="11">
        <f t="shared" si="201"/>
        <v>0</v>
      </c>
      <c r="T139" s="16">
        <f t="shared" si="202"/>
        <v>9999</v>
      </c>
      <c r="V139" s="9" t="s">
        <v>22</v>
      </c>
      <c r="W139" s="16">
        <f>BD$14</f>
        <v>0</v>
      </c>
    </row>
    <row r="140" spans="1:25" x14ac:dyDescent="0.2">
      <c r="A140" s="9" t="s">
        <v>23</v>
      </c>
      <c r="B140" s="15">
        <f t="shared" si="205"/>
        <v>9999</v>
      </c>
      <c r="C140" s="11">
        <f t="shared" ref="C140" si="220">V15-W15</f>
        <v>0</v>
      </c>
      <c r="D140" s="11">
        <f t="shared" ref="D140" si="221">AB15-AA15</f>
        <v>0</v>
      </c>
      <c r="E140" s="16">
        <f t="shared" si="193"/>
        <v>9999</v>
      </c>
      <c r="G140" s="9" t="s">
        <v>23</v>
      </c>
      <c r="H140" s="11">
        <f t="shared" si="194"/>
        <v>0</v>
      </c>
      <c r="I140" s="11">
        <f t="shared" si="195"/>
        <v>0</v>
      </c>
      <c r="J140" s="16">
        <f t="shared" si="196"/>
        <v>9999</v>
      </c>
      <c r="L140" s="9" t="s">
        <v>23</v>
      </c>
      <c r="M140" s="11">
        <f t="shared" si="197"/>
        <v>0</v>
      </c>
      <c r="N140" s="11">
        <f t="shared" si="198"/>
        <v>0</v>
      </c>
      <c r="O140" s="16">
        <f t="shared" si="199"/>
        <v>9999</v>
      </c>
      <c r="P140" s="13"/>
      <c r="Q140" s="9" t="s">
        <v>23</v>
      </c>
      <c r="R140" s="11">
        <f t="shared" si="200"/>
        <v>0</v>
      </c>
      <c r="S140" s="11">
        <f t="shared" si="201"/>
        <v>0</v>
      </c>
      <c r="T140" s="16">
        <f t="shared" si="202"/>
        <v>9999</v>
      </c>
      <c r="V140" s="9" t="s">
        <v>23</v>
      </c>
      <c r="W140" s="16">
        <f>BD$15</f>
        <v>0</v>
      </c>
    </row>
    <row r="141" spans="1:25" x14ac:dyDescent="0.2">
      <c r="A141" s="9" t="s">
        <v>24</v>
      </c>
      <c r="B141" s="15">
        <f t="shared" si="205"/>
        <v>9999</v>
      </c>
      <c r="C141" s="11">
        <f t="shared" ref="C141" si="222">W16-V16</f>
        <v>0</v>
      </c>
      <c r="D141" s="11">
        <f t="shared" ref="D141" si="223">AA16-AB16</f>
        <v>0</v>
      </c>
      <c r="E141" s="16">
        <f t="shared" si="193"/>
        <v>9999</v>
      </c>
      <c r="G141" s="9" t="s">
        <v>24</v>
      </c>
      <c r="H141" s="11">
        <f t="shared" si="194"/>
        <v>0</v>
      </c>
      <c r="I141" s="11">
        <f t="shared" si="195"/>
        <v>0</v>
      </c>
      <c r="J141" s="16">
        <f t="shared" si="196"/>
        <v>9999</v>
      </c>
      <c r="L141" s="9" t="s">
        <v>24</v>
      </c>
      <c r="M141" s="11">
        <f t="shared" si="197"/>
        <v>0</v>
      </c>
      <c r="N141" s="11">
        <f t="shared" si="198"/>
        <v>0</v>
      </c>
      <c r="O141" s="16">
        <f t="shared" si="199"/>
        <v>9999</v>
      </c>
      <c r="P141" s="13"/>
      <c r="Q141" s="9" t="s">
        <v>24</v>
      </c>
      <c r="R141" s="11">
        <f t="shared" si="200"/>
        <v>0</v>
      </c>
      <c r="S141" s="11">
        <f t="shared" si="201"/>
        <v>0</v>
      </c>
      <c r="T141" s="16">
        <f t="shared" si="202"/>
        <v>9999</v>
      </c>
      <c r="V141" s="9" t="s">
        <v>24</v>
      </c>
      <c r="W141" s="16">
        <f>BD$16</f>
        <v>0</v>
      </c>
    </row>
    <row r="142" spans="1:25" x14ac:dyDescent="0.2">
      <c r="A142" s="4" t="s">
        <v>25</v>
      </c>
      <c r="B142" s="15">
        <f t="shared" si="205"/>
        <v>9999</v>
      </c>
      <c r="C142" s="11">
        <f t="shared" ref="C142" si="224">V17-W17</f>
        <v>0</v>
      </c>
      <c r="D142" s="11">
        <f t="shared" ref="D142" si="225">AB17-AA17</f>
        <v>0</v>
      </c>
      <c r="E142" s="16">
        <f t="shared" si="193"/>
        <v>9999</v>
      </c>
      <c r="G142" s="4" t="s">
        <v>25</v>
      </c>
      <c r="H142" s="11">
        <f t="shared" si="194"/>
        <v>0</v>
      </c>
      <c r="I142" s="11">
        <f t="shared" si="195"/>
        <v>0</v>
      </c>
      <c r="J142" s="16">
        <f t="shared" si="196"/>
        <v>9999</v>
      </c>
      <c r="L142" s="4" t="s">
        <v>25</v>
      </c>
      <c r="M142" s="11">
        <f t="shared" si="197"/>
        <v>0</v>
      </c>
      <c r="N142" s="11">
        <f t="shared" si="198"/>
        <v>0</v>
      </c>
      <c r="O142" s="16">
        <f t="shared" si="199"/>
        <v>9999</v>
      </c>
      <c r="P142" s="13"/>
      <c r="Q142" s="4" t="s">
        <v>25</v>
      </c>
      <c r="R142" s="11">
        <f t="shared" si="200"/>
        <v>0</v>
      </c>
      <c r="S142" s="11">
        <f t="shared" si="201"/>
        <v>0</v>
      </c>
      <c r="T142" s="16">
        <f t="shared" si="202"/>
        <v>9999</v>
      </c>
      <c r="V142" s="4" t="s">
        <v>25</v>
      </c>
      <c r="W142" s="16">
        <f>BD$17</f>
        <v>0</v>
      </c>
    </row>
    <row r="143" spans="1:25" x14ac:dyDescent="0.2">
      <c r="A143" s="4" t="s">
        <v>26</v>
      </c>
      <c r="B143" s="15">
        <f t="shared" si="205"/>
        <v>9999</v>
      </c>
      <c r="C143" s="11">
        <f t="shared" ref="C143" si="226">W18-V18</f>
        <v>0</v>
      </c>
      <c r="D143" s="11">
        <f t="shared" ref="D143" si="227">AA18-AB18</f>
        <v>0</v>
      </c>
      <c r="E143" s="16">
        <f t="shared" si="193"/>
        <v>9999</v>
      </c>
      <c r="G143" s="4" t="s">
        <v>26</v>
      </c>
      <c r="H143" s="11">
        <f t="shared" si="194"/>
        <v>0</v>
      </c>
      <c r="I143" s="11">
        <f t="shared" si="195"/>
        <v>0</v>
      </c>
      <c r="J143" s="16">
        <f t="shared" si="196"/>
        <v>9999</v>
      </c>
      <c r="L143" s="4" t="s">
        <v>26</v>
      </c>
      <c r="M143" s="11">
        <f t="shared" si="197"/>
        <v>0</v>
      </c>
      <c r="N143" s="11">
        <f t="shared" si="198"/>
        <v>0</v>
      </c>
      <c r="O143" s="16">
        <f t="shared" si="199"/>
        <v>9999</v>
      </c>
      <c r="P143" s="13"/>
      <c r="Q143" s="4" t="s">
        <v>26</v>
      </c>
      <c r="R143" s="11">
        <f t="shared" si="200"/>
        <v>0</v>
      </c>
      <c r="S143" s="11">
        <f t="shared" si="201"/>
        <v>0</v>
      </c>
      <c r="T143" s="16">
        <f t="shared" si="202"/>
        <v>9999</v>
      </c>
      <c r="V143" s="4" t="s">
        <v>26</v>
      </c>
      <c r="W143" s="16">
        <f>BD$18</f>
        <v>0</v>
      </c>
    </row>
    <row r="144" spans="1:25" x14ac:dyDescent="0.2">
      <c r="A144" s="4" t="s">
        <v>27</v>
      </c>
      <c r="B144" s="15">
        <f t="shared" si="205"/>
        <v>9999</v>
      </c>
      <c r="C144" s="11">
        <f t="shared" ref="C144" si="228">V19-W19</f>
        <v>0</v>
      </c>
      <c r="D144" s="11">
        <f t="shared" ref="D144" si="229">AB19-AA19</f>
        <v>0</v>
      </c>
      <c r="E144" s="16">
        <f t="shared" si="193"/>
        <v>9999</v>
      </c>
      <c r="G144" s="4" t="s">
        <v>27</v>
      </c>
      <c r="H144" s="11">
        <f t="shared" si="194"/>
        <v>0</v>
      </c>
      <c r="I144" s="11">
        <f t="shared" si="195"/>
        <v>0</v>
      </c>
      <c r="J144" s="16">
        <f t="shared" si="196"/>
        <v>9999</v>
      </c>
      <c r="L144" s="4" t="s">
        <v>27</v>
      </c>
      <c r="M144" s="11">
        <f t="shared" si="197"/>
        <v>0</v>
      </c>
      <c r="N144" s="11">
        <f t="shared" si="198"/>
        <v>0</v>
      </c>
      <c r="O144" s="16">
        <f t="shared" si="199"/>
        <v>9999</v>
      </c>
      <c r="P144" s="13"/>
      <c r="Q144" s="4" t="s">
        <v>27</v>
      </c>
      <c r="R144" s="11">
        <f t="shared" si="200"/>
        <v>0</v>
      </c>
      <c r="S144" s="11">
        <f t="shared" si="201"/>
        <v>0</v>
      </c>
      <c r="T144" s="16">
        <f t="shared" si="202"/>
        <v>9999</v>
      </c>
      <c r="V144" s="4" t="s">
        <v>27</v>
      </c>
      <c r="W144" s="16">
        <f>BD$19</f>
        <v>0</v>
      </c>
    </row>
    <row r="145" spans="1:23" x14ac:dyDescent="0.2">
      <c r="A145" s="9" t="s">
        <v>28</v>
      </c>
      <c r="B145" s="15">
        <f t="shared" si="205"/>
        <v>9999</v>
      </c>
      <c r="C145" s="11">
        <f t="shared" ref="C145" si="230">W20-V20</f>
        <v>0</v>
      </c>
      <c r="D145" s="11">
        <f t="shared" ref="D145" si="231">AA20-AB20</f>
        <v>0</v>
      </c>
      <c r="E145" s="16">
        <f t="shared" si="193"/>
        <v>9999</v>
      </c>
      <c r="G145" s="9" t="s">
        <v>28</v>
      </c>
      <c r="H145" s="11">
        <f t="shared" si="194"/>
        <v>0</v>
      </c>
      <c r="I145" s="11">
        <f t="shared" si="195"/>
        <v>0</v>
      </c>
      <c r="J145" s="16">
        <f t="shared" si="196"/>
        <v>9999</v>
      </c>
      <c r="L145" s="9" t="s">
        <v>28</v>
      </c>
      <c r="M145" s="11">
        <f t="shared" si="197"/>
        <v>0</v>
      </c>
      <c r="N145" s="11">
        <f t="shared" si="198"/>
        <v>0</v>
      </c>
      <c r="O145" s="16">
        <f t="shared" si="199"/>
        <v>9999</v>
      </c>
      <c r="P145" s="13"/>
      <c r="Q145" s="9" t="s">
        <v>28</v>
      </c>
      <c r="R145" s="11">
        <f t="shared" si="200"/>
        <v>0</v>
      </c>
      <c r="S145" s="11">
        <f t="shared" si="201"/>
        <v>0</v>
      </c>
      <c r="T145" s="16">
        <f t="shared" si="202"/>
        <v>9999</v>
      </c>
      <c r="V145" s="9" t="s">
        <v>28</v>
      </c>
      <c r="W145" s="16">
        <f>BD$20</f>
        <v>0</v>
      </c>
    </row>
    <row r="146" spans="1:23" x14ac:dyDescent="0.2">
      <c r="A146" s="9" t="s">
        <v>29</v>
      </c>
      <c r="B146" s="15">
        <f t="shared" si="205"/>
        <v>9999</v>
      </c>
      <c r="C146" s="11">
        <f t="shared" ref="C146" si="232">V21-W21</f>
        <v>0</v>
      </c>
      <c r="D146" s="11">
        <f t="shared" ref="D146" si="233">AB21-AA21</f>
        <v>0</v>
      </c>
      <c r="E146" s="16">
        <f t="shared" si="193"/>
        <v>9999</v>
      </c>
      <c r="G146" s="9" t="s">
        <v>29</v>
      </c>
      <c r="H146" s="11">
        <f t="shared" si="194"/>
        <v>0</v>
      </c>
      <c r="I146" s="11">
        <f t="shared" si="195"/>
        <v>0</v>
      </c>
      <c r="J146" s="16">
        <f t="shared" si="196"/>
        <v>9999</v>
      </c>
      <c r="L146" s="9" t="s">
        <v>29</v>
      </c>
      <c r="M146" s="11">
        <f t="shared" si="197"/>
        <v>0</v>
      </c>
      <c r="N146" s="11">
        <f t="shared" si="198"/>
        <v>0</v>
      </c>
      <c r="O146" s="16">
        <f t="shared" si="199"/>
        <v>9999</v>
      </c>
      <c r="P146" s="13"/>
      <c r="Q146" s="9" t="s">
        <v>29</v>
      </c>
      <c r="R146" s="11">
        <f t="shared" si="200"/>
        <v>0</v>
      </c>
      <c r="S146" s="11">
        <f t="shared" si="201"/>
        <v>0</v>
      </c>
      <c r="T146" s="16">
        <f t="shared" si="202"/>
        <v>9999</v>
      </c>
      <c r="V146" s="9" t="s">
        <v>29</v>
      </c>
      <c r="W146" s="16">
        <f>BD$21</f>
        <v>0</v>
      </c>
    </row>
    <row r="147" spans="1:23" x14ac:dyDescent="0.2">
      <c r="A147" s="9" t="s">
        <v>30</v>
      </c>
      <c r="B147" s="15">
        <f t="shared" si="205"/>
        <v>9999</v>
      </c>
      <c r="C147" s="11">
        <f t="shared" ref="C147" si="234">W22-V22</f>
        <v>0</v>
      </c>
      <c r="D147" s="11">
        <f t="shared" ref="D147" si="235">AA22-AB22</f>
        <v>0</v>
      </c>
      <c r="E147" s="16">
        <f t="shared" si="193"/>
        <v>9999</v>
      </c>
      <c r="G147" s="9" t="s">
        <v>30</v>
      </c>
      <c r="H147" s="11">
        <f t="shared" si="194"/>
        <v>0</v>
      </c>
      <c r="I147" s="11">
        <f t="shared" si="195"/>
        <v>0</v>
      </c>
      <c r="J147" s="16">
        <f t="shared" si="196"/>
        <v>9999</v>
      </c>
      <c r="L147" s="9" t="s">
        <v>30</v>
      </c>
      <c r="M147" s="11">
        <f t="shared" si="197"/>
        <v>0</v>
      </c>
      <c r="N147" s="11">
        <f t="shared" si="198"/>
        <v>0</v>
      </c>
      <c r="O147" s="16">
        <f t="shared" si="199"/>
        <v>9999</v>
      </c>
      <c r="P147" s="13"/>
      <c r="Q147" s="9" t="s">
        <v>30</v>
      </c>
      <c r="R147" s="11">
        <f t="shared" si="200"/>
        <v>0</v>
      </c>
      <c r="S147" s="11">
        <f t="shared" si="201"/>
        <v>0</v>
      </c>
      <c r="T147" s="16">
        <f t="shared" si="202"/>
        <v>9999</v>
      </c>
      <c r="V147" s="9" t="s">
        <v>30</v>
      </c>
      <c r="W147" s="16">
        <f>BD$22</f>
        <v>0</v>
      </c>
    </row>
    <row r="148" spans="1:23" x14ac:dyDescent="0.2">
      <c r="A148" s="9" t="s">
        <v>31</v>
      </c>
      <c r="B148" s="15">
        <f t="shared" si="205"/>
        <v>9999</v>
      </c>
      <c r="C148" s="11">
        <f t="shared" ref="C148" si="236">V23-W23</f>
        <v>0</v>
      </c>
      <c r="D148" s="11">
        <f t="shared" ref="D148" si="237">AB23-AA23</f>
        <v>0</v>
      </c>
      <c r="E148" s="16">
        <f t="shared" si="193"/>
        <v>9999</v>
      </c>
      <c r="G148" s="9" t="s">
        <v>31</v>
      </c>
      <c r="H148" s="11">
        <f t="shared" si="194"/>
        <v>0</v>
      </c>
      <c r="I148" s="11">
        <f t="shared" si="195"/>
        <v>0</v>
      </c>
      <c r="J148" s="16">
        <f t="shared" si="196"/>
        <v>9999</v>
      </c>
      <c r="L148" s="9" t="s">
        <v>31</v>
      </c>
      <c r="M148" s="11">
        <f t="shared" si="197"/>
        <v>0</v>
      </c>
      <c r="N148" s="11">
        <f t="shared" si="198"/>
        <v>0</v>
      </c>
      <c r="O148" s="16">
        <f t="shared" si="199"/>
        <v>9999</v>
      </c>
      <c r="P148" s="13"/>
      <c r="Q148" s="9" t="s">
        <v>31</v>
      </c>
      <c r="R148" s="11">
        <f t="shared" si="200"/>
        <v>0</v>
      </c>
      <c r="S148" s="11">
        <f t="shared" si="201"/>
        <v>0</v>
      </c>
      <c r="T148" s="16">
        <f t="shared" si="202"/>
        <v>9999</v>
      </c>
      <c r="V148" s="9" t="s">
        <v>31</v>
      </c>
      <c r="W148" s="16">
        <f>BD$23</f>
        <v>0</v>
      </c>
    </row>
    <row r="149" spans="1:23" x14ac:dyDescent="0.2">
      <c r="A149" s="10" t="s">
        <v>32</v>
      </c>
      <c r="B149" s="17">
        <f t="shared" si="205"/>
        <v>9999</v>
      </c>
      <c r="C149" s="12">
        <f t="shared" ref="C149" si="238">W24-V24</f>
        <v>0</v>
      </c>
      <c r="D149" s="12">
        <f t="shared" ref="D149" si="239">AA24-AB24</f>
        <v>0</v>
      </c>
      <c r="E149" s="18">
        <f t="shared" si="193"/>
        <v>9999</v>
      </c>
      <c r="G149" s="10" t="s">
        <v>32</v>
      </c>
      <c r="H149" s="12">
        <f t="shared" si="194"/>
        <v>0</v>
      </c>
      <c r="I149" s="12">
        <f t="shared" si="195"/>
        <v>0</v>
      </c>
      <c r="J149" s="18">
        <f t="shared" si="196"/>
        <v>9999</v>
      </c>
      <c r="L149" s="10" t="s">
        <v>32</v>
      </c>
      <c r="M149" s="12">
        <f t="shared" si="197"/>
        <v>0</v>
      </c>
      <c r="N149" s="12">
        <f t="shared" si="198"/>
        <v>0</v>
      </c>
      <c r="O149" s="18">
        <f t="shared" si="199"/>
        <v>9999</v>
      </c>
      <c r="P149" s="13"/>
      <c r="Q149" s="10" t="s">
        <v>32</v>
      </c>
      <c r="R149" s="12">
        <f t="shared" si="200"/>
        <v>0</v>
      </c>
      <c r="S149" s="12">
        <f t="shared" si="201"/>
        <v>0</v>
      </c>
      <c r="T149" s="18">
        <f t="shared" si="202"/>
        <v>9999</v>
      </c>
      <c r="V149" s="10" t="s">
        <v>32</v>
      </c>
      <c r="W149" s="18">
        <f>BD$24</f>
        <v>0</v>
      </c>
    </row>
    <row r="150" spans="1:23" x14ac:dyDescent="0.2">
      <c r="P150" s="13"/>
    </row>
    <row r="151" spans="1:23" x14ac:dyDescent="0.2">
      <c r="A151" s="14" t="s">
        <v>387</v>
      </c>
      <c r="E151" s="8"/>
      <c r="G151" s="26"/>
    </row>
    <row r="152" spans="1:23" x14ac:dyDescent="0.2">
      <c r="A152" s="28" t="s">
        <v>61</v>
      </c>
      <c r="B152" s="2"/>
      <c r="C152" s="2"/>
      <c r="D152" s="2"/>
      <c r="E152" s="3"/>
      <c r="G152" s="27" t="s">
        <v>60</v>
      </c>
      <c r="H152" s="2"/>
      <c r="I152" s="2"/>
      <c r="J152" s="3"/>
      <c r="L152" s="1" t="s">
        <v>2</v>
      </c>
      <c r="M152" s="2"/>
      <c r="N152" s="2"/>
      <c r="O152" s="3"/>
      <c r="P152" s="5"/>
      <c r="Q152" s="28" t="s">
        <v>63</v>
      </c>
      <c r="R152" s="2"/>
      <c r="S152" s="2"/>
      <c r="T152" s="3"/>
      <c r="V152" s="28" t="s">
        <v>320</v>
      </c>
      <c r="W152" s="36"/>
    </row>
    <row r="153" spans="1:23" x14ac:dyDescent="0.2">
      <c r="A153" s="4"/>
      <c r="B153" s="5"/>
      <c r="C153" s="5"/>
      <c r="D153" s="5"/>
      <c r="E153" s="6"/>
      <c r="G153" s="4"/>
      <c r="H153" s="5"/>
      <c r="I153" s="5"/>
      <c r="J153" s="6"/>
      <c r="L153" s="4"/>
      <c r="M153" s="5"/>
      <c r="N153" s="5"/>
      <c r="O153" s="6"/>
      <c r="P153" s="5"/>
      <c r="Q153" s="4"/>
      <c r="R153" s="5"/>
      <c r="S153" s="5"/>
      <c r="T153" s="6"/>
      <c r="V153" s="4"/>
      <c r="W153" s="6"/>
    </row>
    <row r="154" spans="1:23" x14ac:dyDescent="0.2">
      <c r="A154" s="4"/>
      <c r="B154" s="42" t="s">
        <v>384</v>
      </c>
      <c r="C154" s="5"/>
      <c r="D154" s="5"/>
      <c r="E154" s="16" t="s">
        <v>3</v>
      </c>
      <c r="G154" s="4"/>
      <c r="H154" s="5"/>
      <c r="I154" s="5"/>
      <c r="J154" s="16" t="s">
        <v>4</v>
      </c>
      <c r="L154" s="4"/>
      <c r="M154" s="5"/>
      <c r="N154" s="5"/>
      <c r="O154" s="16" t="s">
        <v>4</v>
      </c>
      <c r="P154" s="11"/>
      <c r="Q154" s="4"/>
      <c r="R154" s="5"/>
      <c r="S154" s="5"/>
      <c r="T154" s="16" t="s">
        <v>4</v>
      </c>
      <c r="V154" s="4"/>
      <c r="W154" s="6"/>
    </row>
    <row r="155" spans="1:23" x14ac:dyDescent="0.2">
      <c r="A155" s="4" t="s">
        <v>13</v>
      </c>
      <c r="B155" s="15">
        <f>IF(OR(AC5="",E155=9999),9999,IF(AND(AC5&lt;&gt;"gz",AC5&lt;&gt;"z"),9999,AC5))</f>
        <v>9999</v>
      </c>
      <c r="C155" s="11">
        <f>AA5-AB5</f>
        <v>0</v>
      </c>
      <c r="D155" s="11">
        <f>AG5-AF5</f>
        <v>0</v>
      </c>
      <c r="E155" s="16">
        <f>IF(ISERROR(C155-D155),9999,IF(OR(C155=0,D155=0),9999,IF(AC5=AH5,(C155+D155)/10,(C155+D155+1000)/10)))</f>
        <v>9999</v>
      </c>
      <c r="G155" s="4" t="s">
        <v>13</v>
      </c>
      <c r="H155" s="11">
        <f>AE5</f>
        <v>0</v>
      </c>
      <c r="I155" s="11">
        <f>Z5</f>
        <v>0</v>
      </c>
      <c r="J155" s="16">
        <f>IF(ISERROR(I155-H155),9999,IF(OR(H155=0,I155=0),9999,H155-I155))</f>
        <v>9999</v>
      </c>
      <c r="L155" s="4" t="s">
        <v>13</v>
      </c>
      <c r="M155" s="11">
        <f>AI5</f>
        <v>0</v>
      </c>
      <c r="N155" s="11">
        <f>AE5</f>
        <v>0</v>
      </c>
      <c r="O155" s="16">
        <f>IF(ISERROR(M155-N155),9999,IF(OR(M155=0,N155=0),9999,IF(SUM(M155-N155)&lt;=0,9999,SUM(M155-N155))))</f>
        <v>9999</v>
      </c>
      <c r="P155" s="13"/>
      <c r="Q155" s="4" t="s">
        <v>13</v>
      </c>
      <c r="R155" s="11">
        <f>AI5</f>
        <v>0</v>
      </c>
      <c r="S155" s="11">
        <f>Z5</f>
        <v>0</v>
      </c>
      <c r="T155" s="16">
        <f>IF(ISERROR(R155-S155),9999,IF(OR(R155=0,S155=0),9999,IF(SUM(R155-S155)&lt;=0,9999,SUM(R155-S155))))</f>
        <v>9999</v>
      </c>
      <c r="V155" s="4" t="s">
        <v>13</v>
      </c>
      <c r="W155" s="16">
        <f>BD$5</f>
        <v>0</v>
      </c>
    </row>
    <row r="156" spans="1:23" x14ac:dyDescent="0.2">
      <c r="A156" s="4" t="s">
        <v>14</v>
      </c>
      <c r="B156" s="15">
        <f t="shared" ref="B156:B157" si="240">IF(OR(AC6="",E156=9999),9999,IF(AND(AC6&lt;&gt;"gz",AC6&lt;&gt;"z"),9999,AC6))</f>
        <v>9999</v>
      </c>
      <c r="C156" s="11">
        <f>AB6-AA6</f>
        <v>0</v>
      </c>
      <c r="D156" s="11">
        <f>AF6-AG6</f>
        <v>0</v>
      </c>
      <c r="E156" s="16">
        <f t="shared" ref="E156:E174" si="241">IF(ISERROR(C156-D156),9999,IF(OR(C156=0,D156=0),9999,IF(AC6=AH6,(C156+D156)/10,(C156+D156+1000)/10)))</f>
        <v>9999</v>
      </c>
      <c r="G156" s="4" t="s">
        <v>14</v>
      </c>
      <c r="H156" s="11">
        <f t="shared" ref="H156:H174" si="242">AE6</f>
        <v>0</v>
      </c>
      <c r="I156" s="11">
        <f t="shared" ref="I156:I174" si="243">Z6</f>
        <v>0</v>
      </c>
      <c r="J156" s="16">
        <f t="shared" ref="J156:J174" si="244">IF(ISERROR(I156-H156),9999,IF(OR(H156=0,I156=0),9999,H156-I156))</f>
        <v>9999</v>
      </c>
      <c r="L156" s="4" t="s">
        <v>14</v>
      </c>
      <c r="M156" s="11">
        <f t="shared" ref="M156:M174" si="245">AI6</f>
        <v>0</v>
      </c>
      <c r="N156" s="11">
        <f t="shared" ref="N156:N174" si="246">AE6</f>
        <v>0</v>
      </c>
      <c r="O156" s="16">
        <f t="shared" ref="O156:O174" si="247">IF(ISERROR(M156-N156),9999,IF(OR(M156=0,N156=0),9999,IF(SUM(M156-N156)&lt;=0,9999,SUM(M156-N156))))</f>
        <v>9999</v>
      </c>
      <c r="P156" s="13"/>
      <c r="Q156" s="4" t="s">
        <v>14</v>
      </c>
      <c r="R156" s="11">
        <f t="shared" ref="R156:R174" si="248">AI6</f>
        <v>0</v>
      </c>
      <c r="S156" s="11">
        <f t="shared" ref="S156:S174" si="249">Z6</f>
        <v>0</v>
      </c>
      <c r="T156" s="16">
        <f t="shared" ref="T156:T174" si="250">IF(ISERROR(R156-S156),9999,IF(OR(R156=0,S156=0),9999,IF(SUM(R156-S156)&lt;=0,9999,SUM(R156-S156))))</f>
        <v>9999</v>
      </c>
      <c r="V156" s="4" t="s">
        <v>14</v>
      </c>
      <c r="W156" s="16">
        <f>BD$6</f>
        <v>0</v>
      </c>
    </row>
    <row r="157" spans="1:23" x14ac:dyDescent="0.2">
      <c r="A157" s="4" t="s">
        <v>15</v>
      </c>
      <c r="B157" s="15">
        <f t="shared" si="240"/>
        <v>9999</v>
      </c>
      <c r="C157" s="11">
        <f t="shared" ref="C157" si="251">AA7-AB7</f>
        <v>0</v>
      </c>
      <c r="D157" s="11">
        <f t="shared" ref="D157" si="252">AG7-AF7</f>
        <v>0</v>
      </c>
      <c r="E157" s="16">
        <f t="shared" si="241"/>
        <v>9999</v>
      </c>
      <c r="G157" s="4" t="s">
        <v>15</v>
      </c>
      <c r="H157" s="11">
        <f t="shared" si="242"/>
        <v>0</v>
      </c>
      <c r="I157" s="11">
        <f t="shared" si="243"/>
        <v>0</v>
      </c>
      <c r="J157" s="16">
        <f t="shared" si="244"/>
        <v>9999</v>
      </c>
      <c r="L157" s="4" t="s">
        <v>15</v>
      </c>
      <c r="M157" s="11">
        <f t="shared" si="245"/>
        <v>0</v>
      </c>
      <c r="N157" s="11">
        <f t="shared" si="246"/>
        <v>0</v>
      </c>
      <c r="O157" s="16">
        <f t="shared" si="247"/>
        <v>9999</v>
      </c>
      <c r="P157" s="13"/>
      <c r="Q157" s="4" t="s">
        <v>15</v>
      </c>
      <c r="R157" s="11">
        <f t="shared" si="248"/>
        <v>0</v>
      </c>
      <c r="S157" s="11">
        <f t="shared" si="249"/>
        <v>0</v>
      </c>
      <c r="T157" s="16">
        <f t="shared" si="250"/>
        <v>9999</v>
      </c>
      <c r="V157" s="4" t="s">
        <v>15</v>
      </c>
      <c r="W157" s="16">
        <f>BD$7</f>
        <v>0</v>
      </c>
    </row>
    <row r="158" spans="1:23" x14ac:dyDescent="0.2">
      <c r="A158" s="4" t="s">
        <v>16</v>
      </c>
      <c r="B158" s="15">
        <f t="shared" ref="B158:B174" si="253">IF(OR(AC8="",E158=9999),9999,IF(AND(AC8&lt;&gt;"gz",AC8&lt;&gt;"z"),9999,AC8))</f>
        <v>9999</v>
      </c>
      <c r="C158" s="11">
        <f t="shared" ref="C158" si="254">AB8-AA8</f>
        <v>0</v>
      </c>
      <c r="D158" s="11">
        <f t="shared" ref="D158" si="255">AF8-AG8</f>
        <v>0</v>
      </c>
      <c r="E158" s="16">
        <f t="shared" si="241"/>
        <v>9999</v>
      </c>
      <c r="G158" s="4" t="s">
        <v>16</v>
      </c>
      <c r="H158" s="11">
        <f t="shared" si="242"/>
        <v>0</v>
      </c>
      <c r="I158" s="11">
        <f t="shared" si="243"/>
        <v>0</v>
      </c>
      <c r="J158" s="16">
        <f t="shared" si="244"/>
        <v>9999</v>
      </c>
      <c r="L158" s="4" t="s">
        <v>16</v>
      </c>
      <c r="M158" s="11">
        <f t="shared" si="245"/>
        <v>0</v>
      </c>
      <c r="N158" s="11">
        <f t="shared" si="246"/>
        <v>0</v>
      </c>
      <c r="O158" s="16">
        <f t="shared" si="247"/>
        <v>9999</v>
      </c>
      <c r="P158" s="13"/>
      <c r="Q158" s="4" t="s">
        <v>16</v>
      </c>
      <c r="R158" s="11">
        <f t="shared" si="248"/>
        <v>0</v>
      </c>
      <c r="S158" s="11">
        <f t="shared" si="249"/>
        <v>0</v>
      </c>
      <c r="T158" s="16">
        <f t="shared" si="250"/>
        <v>9999</v>
      </c>
      <c r="V158" s="4" t="s">
        <v>16</v>
      </c>
      <c r="W158" s="16">
        <f>BD$8</f>
        <v>0</v>
      </c>
    </row>
    <row r="159" spans="1:23" x14ac:dyDescent="0.2">
      <c r="A159" s="4" t="s">
        <v>17</v>
      </c>
      <c r="B159" s="15">
        <f t="shared" si="253"/>
        <v>9999</v>
      </c>
      <c r="C159" s="11">
        <f t="shared" ref="C159" si="256">AA9-AB9</f>
        <v>0</v>
      </c>
      <c r="D159" s="11">
        <f t="shared" ref="D159" si="257">AG9-AF9</f>
        <v>0</v>
      </c>
      <c r="E159" s="16">
        <f t="shared" si="241"/>
        <v>9999</v>
      </c>
      <c r="G159" s="4" t="s">
        <v>17</v>
      </c>
      <c r="H159" s="11">
        <f t="shared" si="242"/>
        <v>0</v>
      </c>
      <c r="I159" s="11">
        <f t="shared" si="243"/>
        <v>0</v>
      </c>
      <c r="J159" s="16">
        <f t="shared" si="244"/>
        <v>9999</v>
      </c>
      <c r="L159" s="4" t="s">
        <v>17</v>
      </c>
      <c r="M159" s="11">
        <f t="shared" si="245"/>
        <v>0</v>
      </c>
      <c r="N159" s="11">
        <f t="shared" si="246"/>
        <v>0</v>
      </c>
      <c r="O159" s="16">
        <f t="shared" si="247"/>
        <v>9999</v>
      </c>
      <c r="P159" s="13"/>
      <c r="Q159" s="4" t="s">
        <v>17</v>
      </c>
      <c r="R159" s="11">
        <f t="shared" si="248"/>
        <v>0</v>
      </c>
      <c r="S159" s="11">
        <f t="shared" si="249"/>
        <v>0</v>
      </c>
      <c r="T159" s="16">
        <f t="shared" si="250"/>
        <v>9999</v>
      </c>
      <c r="V159" s="4" t="s">
        <v>17</v>
      </c>
      <c r="W159" s="16">
        <f>BD$9</f>
        <v>0</v>
      </c>
    </row>
    <row r="160" spans="1:23" x14ac:dyDescent="0.2">
      <c r="A160" s="4" t="s">
        <v>18</v>
      </c>
      <c r="B160" s="15">
        <f t="shared" si="253"/>
        <v>9999</v>
      </c>
      <c r="C160" s="11">
        <f t="shared" ref="C160" si="258">AB10-AA10</f>
        <v>0</v>
      </c>
      <c r="D160" s="11">
        <f t="shared" ref="D160" si="259">AF10-AG10</f>
        <v>0</v>
      </c>
      <c r="E160" s="16">
        <f t="shared" si="241"/>
        <v>9999</v>
      </c>
      <c r="G160" s="4" t="s">
        <v>18</v>
      </c>
      <c r="H160" s="11">
        <f t="shared" si="242"/>
        <v>0</v>
      </c>
      <c r="I160" s="11">
        <f t="shared" si="243"/>
        <v>0</v>
      </c>
      <c r="J160" s="16">
        <f t="shared" si="244"/>
        <v>9999</v>
      </c>
      <c r="L160" s="4" t="s">
        <v>18</v>
      </c>
      <c r="M160" s="11">
        <f t="shared" si="245"/>
        <v>0</v>
      </c>
      <c r="N160" s="11">
        <f t="shared" si="246"/>
        <v>0</v>
      </c>
      <c r="O160" s="16">
        <f t="shared" si="247"/>
        <v>9999</v>
      </c>
      <c r="P160" s="13"/>
      <c r="Q160" s="4" t="s">
        <v>18</v>
      </c>
      <c r="R160" s="11">
        <f t="shared" si="248"/>
        <v>0</v>
      </c>
      <c r="S160" s="11">
        <f t="shared" si="249"/>
        <v>0</v>
      </c>
      <c r="T160" s="16">
        <f t="shared" si="250"/>
        <v>9999</v>
      </c>
      <c r="V160" s="4" t="s">
        <v>18</v>
      </c>
      <c r="W160" s="16">
        <f>BD$10</f>
        <v>0</v>
      </c>
    </row>
    <row r="161" spans="1:23" x14ac:dyDescent="0.2">
      <c r="A161" s="4" t="s">
        <v>19</v>
      </c>
      <c r="B161" s="15">
        <f t="shared" si="253"/>
        <v>9999</v>
      </c>
      <c r="C161" s="11">
        <f t="shared" ref="C161" si="260">AA11-AB11</f>
        <v>0</v>
      </c>
      <c r="D161" s="11">
        <f t="shared" ref="D161" si="261">AG11-AF11</f>
        <v>0</v>
      </c>
      <c r="E161" s="16">
        <f t="shared" si="241"/>
        <v>9999</v>
      </c>
      <c r="G161" s="4" t="s">
        <v>19</v>
      </c>
      <c r="H161" s="11">
        <f t="shared" si="242"/>
        <v>0</v>
      </c>
      <c r="I161" s="11">
        <f t="shared" si="243"/>
        <v>0</v>
      </c>
      <c r="J161" s="16">
        <f t="shared" si="244"/>
        <v>9999</v>
      </c>
      <c r="L161" s="4" t="s">
        <v>19</v>
      </c>
      <c r="M161" s="11">
        <f t="shared" si="245"/>
        <v>0</v>
      </c>
      <c r="N161" s="11">
        <f t="shared" si="246"/>
        <v>0</v>
      </c>
      <c r="O161" s="16">
        <f t="shared" si="247"/>
        <v>9999</v>
      </c>
      <c r="P161" s="13"/>
      <c r="Q161" s="4" t="s">
        <v>19</v>
      </c>
      <c r="R161" s="11">
        <f t="shared" si="248"/>
        <v>0</v>
      </c>
      <c r="S161" s="11">
        <f t="shared" si="249"/>
        <v>0</v>
      </c>
      <c r="T161" s="16">
        <f t="shared" si="250"/>
        <v>9999</v>
      </c>
      <c r="V161" s="4" t="s">
        <v>19</v>
      </c>
      <c r="W161" s="16">
        <f>BD$11</f>
        <v>0</v>
      </c>
    </row>
    <row r="162" spans="1:23" x14ac:dyDescent="0.2">
      <c r="A162" s="9" t="s">
        <v>20</v>
      </c>
      <c r="B162" s="15">
        <f t="shared" si="253"/>
        <v>9999</v>
      </c>
      <c r="C162" s="11">
        <f t="shared" ref="C162" si="262">AB12-AA12</f>
        <v>0</v>
      </c>
      <c r="D162" s="11">
        <f t="shared" ref="D162" si="263">AF12-AG12</f>
        <v>0</v>
      </c>
      <c r="E162" s="16">
        <f t="shared" si="241"/>
        <v>9999</v>
      </c>
      <c r="G162" s="9" t="s">
        <v>20</v>
      </c>
      <c r="H162" s="11">
        <f t="shared" si="242"/>
        <v>0</v>
      </c>
      <c r="I162" s="11">
        <f t="shared" si="243"/>
        <v>0</v>
      </c>
      <c r="J162" s="16">
        <f t="shared" si="244"/>
        <v>9999</v>
      </c>
      <c r="L162" s="9" t="s">
        <v>20</v>
      </c>
      <c r="M162" s="11">
        <f t="shared" si="245"/>
        <v>0</v>
      </c>
      <c r="N162" s="11">
        <f t="shared" si="246"/>
        <v>0</v>
      </c>
      <c r="O162" s="16">
        <f t="shared" si="247"/>
        <v>9999</v>
      </c>
      <c r="P162" s="13"/>
      <c r="Q162" s="9" t="s">
        <v>20</v>
      </c>
      <c r="R162" s="11">
        <f t="shared" si="248"/>
        <v>0</v>
      </c>
      <c r="S162" s="11">
        <f t="shared" si="249"/>
        <v>0</v>
      </c>
      <c r="T162" s="16">
        <f t="shared" si="250"/>
        <v>9999</v>
      </c>
      <c r="V162" s="9" t="s">
        <v>20</v>
      </c>
      <c r="W162" s="16">
        <f>BD$12</f>
        <v>0</v>
      </c>
    </row>
    <row r="163" spans="1:23" x14ac:dyDescent="0.2">
      <c r="A163" s="9" t="s">
        <v>21</v>
      </c>
      <c r="B163" s="15">
        <f t="shared" si="253"/>
        <v>9999</v>
      </c>
      <c r="C163" s="11">
        <f t="shared" ref="C163" si="264">AA13-AB13</f>
        <v>0</v>
      </c>
      <c r="D163" s="11">
        <f t="shared" ref="D163" si="265">AG13-AF13</f>
        <v>0</v>
      </c>
      <c r="E163" s="16">
        <f t="shared" si="241"/>
        <v>9999</v>
      </c>
      <c r="G163" s="9" t="s">
        <v>21</v>
      </c>
      <c r="H163" s="11">
        <f t="shared" si="242"/>
        <v>0</v>
      </c>
      <c r="I163" s="11">
        <f t="shared" si="243"/>
        <v>0</v>
      </c>
      <c r="J163" s="16">
        <f t="shared" si="244"/>
        <v>9999</v>
      </c>
      <c r="L163" s="9" t="s">
        <v>21</v>
      </c>
      <c r="M163" s="11">
        <f t="shared" si="245"/>
        <v>0</v>
      </c>
      <c r="N163" s="11">
        <f t="shared" si="246"/>
        <v>0</v>
      </c>
      <c r="O163" s="16">
        <f t="shared" si="247"/>
        <v>9999</v>
      </c>
      <c r="P163" s="13"/>
      <c r="Q163" s="9" t="s">
        <v>21</v>
      </c>
      <c r="R163" s="11">
        <f t="shared" si="248"/>
        <v>0</v>
      </c>
      <c r="S163" s="11">
        <f t="shared" si="249"/>
        <v>0</v>
      </c>
      <c r="T163" s="16">
        <f t="shared" si="250"/>
        <v>9999</v>
      </c>
      <c r="V163" s="9" t="s">
        <v>21</v>
      </c>
      <c r="W163" s="16">
        <f>BD$13</f>
        <v>0</v>
      </c>
    </row>
    <row r="164" spans="1:23" x14ac:dyDescent="0.2">
      <c r="A164" s="9" t="s">
        <v>22</v>
      </c>
      <c r="B164" s="15">
        <f t="shared" si="253"/>
        <v>9999</v>
      </c>
      <c r="C164" s="11">
        <f t="shared" ref="C164" si="266">AB14-AA14</f>
        <v>0</v>
      </c>
      <c r="D164" s="11">
        <f t="shared" ref="D164" si="267">AF14-AG14</f>
        <v>0</v>
      </c>
      <c r="E164" s="16">
        <f t="shared" si="241"/>
        <v>9999</v>
      </c>
      <c r="G164" s="9" t="s">
        <v>22</v>
      </c>
      <c r="H164" s="11">
        <f t="shared" si="242"/>
        <v>0</v>
      </c>
      <c r="I164" s="11">
        <f t="shared" si="243"/>
        <v>0</v>
      </c>
      <c r="J164" s="16">
        <f t="shared" si="244"/>
        <v>9999</v>
      </c>
      <c r="L164" s="9" t="s">
        <v>22</v>
      </c>
      <c r="M164" s="11">
        <f t="shared" si="245"/>
        <v>0</v>
      </c>
      <c r="N164" s="11">
        <f t="shared" si="246"/>
        <v>0</v>
      </c>
      <c r="O164" s="16">
        <f t="shared" si="247"/>
        <v>9999</v>
      </c>
      <c r="P164" s="13"/>
      <c r="Q164" s="9" t="s">
        <v>22</v>
      </c>
      <c r="R164" s="11">
        <f t="shared" si="248"/>
        <v>0</v>
      </c>
      <c r="S164" s="11">
        <f t="shared" si="249"/>
        <v>0</v>
      </c>
      <c r="T164" s="16">
        <f t="shared" si="250"/>
        <v>9999</v>
      </c>
      <c r="V164" s="9" t="s">
        <v>22</v>
      </c>
      <c r="W164" s="16">
        <f>BD$14</f>
        <v>0</v>
      </c>
    </row>
    <row r="165" spans="1:23" x14ac:dyDescent="0.2">
      <c r="A165" s="9" t="s">
        <v>23</v>
      </c>
      <c r="B165" s="15">
        <f t="shared" si="253"/>
        <v>9999</v>
      </c>
      <c r="C165" s="11">
        <f t="shared" ref="C165" si="268">AA15-AB15</f>
        <v>0</v>
      </c>
      <c r="D165" s="11">
        <f t="shared" ref="D165" si="269">AG15-AF15</f>
        <v>0</v>
      </c>
      <c r="E165" s="16">
        <f t="shared" si="241"/>
        <v>9999</v>
      </c>
      <c r="G165" s="9" t="s">
        <v>23</v>
      </c>
      <c r="H165" s="11">
        <f t="shared" si="242"/>
        <v>0</v>
      </c>
      <c r="I165" s="11">
        <f t="shared" si="243"/>
        <v>0</v>
      </c>
      <c r="J165" s="16">
        <f t="shared" si="244"/>
        <v>9999</v>
      </c>
      <c r="L165" s="9" t="s">
        <v>23</v>
      </c>
      <c r="M165" s="11">
        <f t="shared" si="245"/>
        <v>0</v>
      </c>
      <c r="N165" s="11">
        <f t="shared" si="246"/>
        <v>0</v>
      </c>
      <c r="O165" s="16">
        <f t="shared" si="247"/>
        <v>9999</v>
      </c>
      <c r="P165" s="13"/>
      <c r="Q165" s="9" t="s">
        <v>23</v>
      </c>
      <c r="R165" s="11">
        <f t="shared" si="248"/>
        <v>0</v>
      </c>
      <c r="S165" s="11">
        <f t="shared" si="249"/>
        <v>0</v>
      </c>
      <c r="T165" s="16">
        <f t="shared" si="250"/>
        <v>9999</v>
      </c>
      <c r="V165" s="9" t="s">
        <v>23</v>
      </c>
      <c r="W165" s="16">
        <f>BD$15</f>
        <v>0</v>
      </c>
    </row>
    <row r="166" spans="1:23" x14ac:dyDescent="0.2">
      <c r="A166" s="9" t="s">
        <v>24</v>
      </c>
      <c r="B166" s="15">
        <f t="shared" si="253"/>
        <v>9999</v>
      </c>
      <c r="C166" s="11">
        <f t="shared" ref="C166" si="270">AB16-AA16</f>
        <v>0</v>
      </c>
      <c r="D166" s="11">
        <f t="shared" ref="D166" si="271">AF16-AG16</f>
        <v>0</v>
      </c>
      <c r="E166" s="16">
        <f t="shared" si="241"/>
        <v>9999</v>
      </c>
      <c r="G166" s="9" t="s">
        <v>24</v>
      </c>
      <c r="H166" s="11">
        <f t="shared" si="242"/>
        <v>0</v>
      </c>
      <c r="I166" s="11">
        <f t="shared" si="243"/>
        <v>0</v>
      </c>
      <c r="J166" s="16">
        <f t="shared" si="244"/>
        <v>9999</v>
      </c>
      <c r="L166" s="9" t="s">
        <v>24</v>
      </c>
      <c r="M166" s="11">
        <f t="shared" si="245"/>
        <v>0</v>
      </c>
      <c r="N166" s="11">
        <f t="shared" si="246"/>
        <v>0</v>
      </c>
      <c r="O166" s="16">
        <f t="shared" si="247"/>
        <v>9999</v>
      </c>
      <c r="P166" s="13"/>
      <c r="Q166" s="9" t="s">
        <v>24</v>
      </c>
      <c r="R166" s="11">
        <f t="shared" si="248"/>
        <v>0</v>
      </c>
      <c r="S166" s="11">
        <f t="shared" si="249"/>
        <v>0</v>
      </c>
      <c r="T166" s="16">
        <f t="shared" si="250"/>
        <v>9999</v>
      </c>
      <c r="V166" s="9" t="s">
        <v>24</v>
      </c>
      <c r="W166" s="16">
        <f>BD$16</f>
        <v>0</v>
      </c>
    </row>
    <row r="167" spans="1:23" x14ac:dyDescent="0.2">
      <c r="A167" s="4" t="s">
        <v>25</v>
      </c>
      <c r="B167" s="15">
        <f t="shared" si="253"/>
        <v>9999</v>
      </c>
      <c r="C167" s="11">
        <f t="shared" ref="C167" si="272">AA17-AB17</f>
        <v>0</v>
      </c>
      <c r="D167" s="11">
        <f t="shared" ref="D167" si="273">AG17-AF17</f>
        <v>0</v>
      </c>
      <c r="E167" s="16">
        <f t="shared" si="241"/>
        <v>9999</v>
      </c>
      <c r="G167" s="4" t="s">
        <v>25</v>
      </c>
      <c r="H167" s="11">
        <f t="shared" si="242"/>
        <v>0</v>
      </c>
      <c r="I167" s="11">
        <f t="shared" si="243"/>
        <v>0</v>
      </c>
      <c r="J167" s="16">
        <f t="shared" si="244"/>
        <v>9999</v>
      </c>
      <c r="L167" s="4" t="s">
        <v>25</v>
      </c>
      <c r="M167" s="11">
        <f t="shared" si="245"/>
        <v>0</v>
      </c>
      <c r="N167" s="11">
        <f t="shared" si="246"/>
        <v>0</v>
      </c>
      <c r="O167" s="16">
        <f t="shared" si="247"/>
        <v>9999</v>
      </c>
      <c r="P167" s="13"/>
      <c r="Q167" s="4" t="s">
        <v>25</v>
      </c>
      <c r="R167" s="11">
        <f t="shared" si="248"/>
        <v>0</v>
      </c>
      <c r="S167" s="11">
        <f t="shared" si="249"/>
        <v>0</v>
      </c>
      <c r="T167" s="16">
        <f t="shared" si="250"/>
        <v>9999</v>
      </c>
      <c r="V167" s="4" t="s">
        <v>25</v>
      </c>
      <c r="W167" s="16">
        <f>BD$17</f>
        <v>0</v>
      </c>
    </row>
    <row r="168" spans="1:23" x14ac:dyDescent="0.2">
      <c r="A168" s="4" t="s">
        <v>26</v>
      </c>
      <c r="B168" s="15">
        <f t="shared" si="253"/>
        <v>9999</v>
      </c>
      <c r="C168" s="11">
        <f t="shared" ref="C168" si="274">AB18-AA18</f>
        <v>0</v>
      </c>
      <c r="D168" s="11">
        <f t="shared" ref="D168" si="275">AF18-AG18</f>
        <v>0</v>
      </c>
      <c r="E168" s="16">
        <f t="shared" si="241"/>
        <v>9999</v>
      </c>
      <c r="G168" s="4" t="s">
        <v>26</v>
      </c>
      <c r="H168" s="11">
        <f t="shared" si="242"/>
        <v>0</v>
      </c>
      <c r="I168" s="11">
        <f t="shared" si="243"/>
        <v>0</v>
      </c>
      <c r="J168" s="16">
        <f t="shared" si="244"/>
        <v>9999</v>
      </c>
      <c r="L168" s="4" t="s">
        <v>26</v>
      </c>
      <c r="M168" s="11">
        <f t="shared" si="245"/>
        <v>0</v>
      </c>
      <c r="N168" s="11">
        <f t="shared" si="246"/>
        <v>0</v>
      </c>
      <c r="O168" s="16">
        <f t="shared" si="247"/>
        <v>9999</v>
      </c>
      <c r="P168" s="13"/>
      <c r="Q168" s="4" t="s">
        <v>26</v>
      </c>
      <c r="R168" s="11">
        <f t="shared" si="248"/>
        <v>0</v>
      </c>
      <c r="S168" s="11">
        <f t="shared" si="249"/>
        <v>0</v>
      </c>
      <c r="T168" s="16">
        <f t="shared" si="250"/>
        <v>9999</v>
      </c>
      <c r="V168" s="4" t="s">
        <v>26</v>
      </c>
      <c r="W168" s="16">
        <f>BD$18</f>
        <v>0</v>
      </c>
    </row>
    <row r="169" spans="1:23" x14ac:dyDescent="0.2">
      <c r="A169" s="4" t="s">
        <v>27</v>
      </c>
      <c r="B169" s="15">
        <f t="shared" si="253"/>
        <v>9999</v>
      </c>
      <c r="C169" s="11">
        <f t="shared" ref="C169" si="276">AA19-AB19</f>
        <v>0</v>
      </c>
      <c r="D169" s="11">
        <f t="shared" ref="D169" si="277">AG19-AF19</f>
        <v>0</v>
      </c>
      <c r="E169" s="16">
        <f t="shared" si="241"/>
        <v>9999</v>
      </c>
      <c r="G169" s="4" t="s">
        <v>27</v>
      </c>
      <c r="H169" s="11">
        <f t="shared" si="242"/>
        <v>0</v>
      </c>
      <c r="I169" s="11">
        <f t="shared" si="243"/>
        <v>0</v>
      </c>
      <c r="J169" s="16">
        <f t="shared" si="244"/>
        <v>9999</v>
      </c>
      <c r="L169" s="4" t="s">
        <v>27</v>
      </c>
      <c r="M169" s="11">
        <f t="shared" si="245"/>
        <v>0</v>
      </c>
      <c r="N169" s="11">
        <f t="shared" si="246"/>
        <v>0</v>
      </c>
      <c r="O169" s="16">
        <f t="shared" si="247"/>
        <v>9999</v>
      </c>
      <c r="P169" s="13"/>
      <c r="Q169" s="4" t="s">
        <v>27</v>
      </c>
      <c r="R169" s="11">
        <f t="shared" si="248"/>
        <v>0</v>
      </c>
      <c r="S169" s="11">
        <f t="shared" si="249"/>
        <v>0</v>
      </c>
      <c r="T169" s="16">
        <f t="shared" si="250"/>
        <v>9999</v>
      </c>
      <c r="V169" s="4" t="s">
        <v>27</v>
      </c>
      <c r="W169" s="16">
        <f>BD$19</f>
        <v>0</v>
      </c>
    </row>
    <row r="170" spans="1:23" x14ac:dyDescent="0.2">
      <c r="A170" s="9" t="s">
        <v>28</v>
      </c>
      <c r="B170" s="15">
        <f t="shared" si="253"/>
        <v>9999</v>
      </c>
      <c r="C170" s="11">
        <f t="shared" ref="C170" si="278">AB20-AA20</f>
        <v>0</v>
      </c>
      <c r="D170" s="11">
        <f t="shared" ref="D170" si="279">AF20-AG20</f>
        <v>0</v>
      </c>
      <c r="E170" s="16">
        <f t="shared" si="241"/>
        <v>9999</v>
      </c>
      <c r="G170" s="9" t="s">
        <v>28</v>
      </c>
      <c r="H170" s="11">
        <f t="shared" si="242"/>
        <v>0</v>
      </c>
      <c r="I170" s="11">
        <f t="shared" si="243"/>
        <v>0</v>
      </c>
      <c r="J170" s="16">
        <f t="shared" si="244"/>
        <v>9999</v>
      </c>
      <c r="L170" s="9" t="s">
        <v>28</v>
      </c>
      <c r="M170" s="11">
        <f t="shared" si="245"/>
        <v>0</v>
      </c>
      <c r="N170" s="11">
        <f t="shared" si="246"/>
        <v>0</v>
      </c>
      <c r="O170" s="16">
        <f t="shared" si="247"/>
        <v>9999</v>
      </c>
      <c r="P170" s="13"/>
      <c r="Q170" s="9" t="s">
        <v>28</v>
      </c>
      <c r="R170" s="11">
        <f t="shared" si="248"/>
        <v>0</v>
      </c>
      <c r="S170" s="11">
        <f t="shared" si="249"/>
        <v>0</v>
      </c>
      <c r="T170" s="16">
        <f t="shared" si="250"/>
        <v>9999</v>
      </c>
      <c r="V170" s="9" t="s">
        <v>28</v>
      </c>
      <c r="W170" s="16">
        <f>BD$20</f>
        <v>0</v>
      </c>
    </row>
    <row r="171" spans="1:23" x14ac:dyDescent="0.2">
      <c r="A171" s="9" t="s">
        <v>29</v>
      </c>
      <c r="B171" s="15">
        <f t="shared" si="253"/>
        <v>9999</v>
      </c>
      <c r="C171" s="11">
        <f t="shared" ref="C171" si="280">AA21-AB21</f>
        <v>0</v>
      </c>
      <c r="D171" s="11">
        <f t="shared" ref="D171" si="281">AG21-AF21</f>
        <v>0</v>
      </c>
      <c r="E171" s="16">
        <f t="shared" si="241"/>
        <v>9999</v>
      </c>
      <c r="G171" s="9" t="s">
        <v>29</v>
      </c>
      <c r="H171" s="11">
        <f t="shared" si="242"/>
        <v>0</v>
      </c>
      <c r="I171" s="11">
        <f t="shared" si="243"/>
        <v>0</v>
      </c>
      <c r="J171" s="16">
        <f t="shared" si="244"/>
        <v>9999</v>
      </c>
      <c r="L171" s="9" t="s">
        <v>29</v>
      </c>
      <c r="M171" s="11">
        <f t="shared" si="245"/>
        <v>0</v>
      </c>
      <c r="N171" s="11">
        <f t="shared" si="246"/>
        <v>0</v>
      </c>
      <c r="O171" s="16">
        <f t="shared" si="247"/>
        <v>9999</v>
      </c>
      <c r="P171" s="13"/>
      <c r="Q171" s="9" t="s">
        <v>29</v>
      </c>
      <c r="R171" s="11">
        <f t="shared" si="248"/>
        <v>0</v>
      </c>
      <c r="S171" s="11">
        <f t="shared" si="249"/>
        <v>0</v>
      </c>
      <c r="T171" s="16">
        <f t="shared" si="250"/>
        <v>9999</v>
      </c>
      <c r="V171" s="9" t="s">
        <v>29</v>
      </c>
      <c r="W171" s="16">
        <f>BD$21</f>
        <v>0</v>
      </c>
    </row>
    <row r="172" spans="1:23" x14ac:dyDescent="0.2">
      <c r="A172" s="9" t="s">
        <v>30</v>
      </c>
      <c r="B172" s="15">
        <f t="shared" si="253"/>
        <v>9999</v>
      </c>
      <c r="C172" s="11">
        <f t="shared" ref="C172" si="282">AB22-AA22</f>
        <v>0</v>
      </c>
      <c r="D172" s="11">
        <f t="shared" ref="D172" si="283">AF22-AG22</f>
        <v>0</v>
      </c>
      <c r="E172" s="16">
        <f t="shared" si="241"/>
        <v>9999</v>
      </c>
      <c r="G172" s="9" t="s">
        <v>30</v>
      </c>
      <c r="H172" s="11">
        <f t="shared" si="242"/>
        <v>0</v>
      </c>
      <c r="I172" s="11">
        <f t="shared" si="243"/>
        <v>0</v>
      </c>
      <c r="J172" s="16">
        <f t="shared" si="244"/>
        <v>9999</v>
      </c>
      <c r="L172" s="9" t="s">
        <v>30</v>
      </c>
      <c r="M172" s="11">
        <f t="shared" si="245"/>
        <v>0</v>
      </c>
      <c r="N172" s="11">
        <f t="shared" si="246"/>
        <v>0</v>
      </c>
      <c r="O172" s="16">
        <f t="shared" si="247"/>
        <v>9999</v>
      </c>
      <c r="P172" s="13"/>
      <c r="Q172" s="9" t="s">
        <v>30</v>
      </c>
      <c r="R172" s="11">
        <f t="shared" si="248"/>
        <v>0</v>
      </c>
      <c r="S172" s="11">
        <f t="shared" si="249"/>
        <v>0</v>
      </c>
      <c r="T172" s="16">
        <f t="shared" si="250"/>
        <v>9999</v>
      </c>
      <c r="V172" s="9" t="s">
        <v>30</v>
      </c>
      <c r="W172" s="16">
        <f>BD$22</f>
        <v>0</v>
      </c>
    </row>
    <row r="173" spans="1:23" x14ac:dyDescent="0.2">
      <c r="A173" s="9" t="s">
        <v>31</v>
      </c>
      <c r="B173" s="15">
        <f t="shared" si="253"/>
        <v>9999</v>
      </c>
      <c r="C173" s="11">
        <f t="shared" ref="C173" si="284">AA23-AB23</f>
        <v>0</v>
      </c>
      <c r="D173" s="11">
        <f t="shared" ref="D173" si="285">AG23-AF23</f>
        <v>0</v>
      </c>
      <c r="E173" s="16">
        <f t="shared" si="241"/>
        <v>9999</v>
      </c>
      <c r="G173" s="9" t="s">
        <v>31</v>
      </c>
      <c r="H173" s="11">
        <f t="shared" si="242"/>
        <v>0</v>
      </c>
      <c r="I173" s="11">
        <f t="shared" si="243"/>
        <v>0</v>
      </c>
      <c r="J173" s="16">
        <f t="shared" si="244"/>
        <v>9999</v>
      </c>
      <c r="L173" s="9" t="s">
        <v>31</v>
      </c>
      <c r="M173" s="11">
        <f t="shared" si="245"/>
        <v>0</v>
      </c>
      <c r="N173" s="11">
        <f t="shared" si="246"/>
        <v>0</v>
      </c>
      <c r="O173" s="16">
        <f t="shared" si="247"/>
        <v>9999</v>
      </c>
      <c r="P173" s="13"/>
      <c r="Q173" s="9" t="s">
        <v>31</v>
      </c>
      <c r="R173" s="11">
        <f t="shared" si="248"/>
        <v>0</v>
      </c>
      <c r="S173" s="11">
        <f t="shared" si="249"/>
        <v>0</v>
      </c>
      <c r="T173" s="16">
        <f t="shared" si="250"/>
        <v>9999</v>
      </c>
      <c r="V173" s="9" t="s">
        <v>31</v>
      </c>
      <c r="W173" s="16">
        <f>BD$23</f>
        <v>0</v>
      </c>
    </row>
    <row r="174" spans="1:23" x14ac:dyDescent="0.2">
      <c r="A174" s="10" t="s">
        <v>32</v>
      </c>
      <c r="B174" s="17">
        <f t="shared" si="253"/>
        <v>9999</v>
      </c>
      <c r="C174" s="12">
        <f t="shared" ref="C174" si="286">AB24-AA24</f>
        <v>0</v>
      </c>
      <c r="D174" s="12">
        <f t="shared" ref="D174" si="287">AF24-AG24</f>
        <v>0</v>
      </c>
      <c r="E174" s="16">
        <f t="shared" si="241"/>
        <v>9999</v>
      </c>
      <c r="G174" s="10" t="s">
        <v>32</v>
      </c>
      <c r="H174" s="12">
        <f t="shared" si="242"/>
        <v>0</v>
      </c>
      <c r="I174" s="12">
        <f t="shared" si="243"/>
        <v>0</v>
      </c>
      <c r="J174" s="18">
        <f t="shared" si="244"/>
        <v>9999</v>
      </c>
      <c r="L174" s="10" t="s">
        <v>32</v>
      </c>
      <c r="M174" s="12">
        <f t="shared" si="245"/>
        <v>0</v>
      </c>
      <c r="N174" s="12">
        <f t="shared" si="246"/>
        <v>0</v>
      </c>
      <c r="O174" s="18">
        <f t="shared" si="247"/>
        <v>9999</v>
      </c>
      <c r="P174" s="13"/>
      <c r="Q174" s="10" t="s">
        <v>32</v>
      </c>
      <c r="R174" s="12">
        <f t="shared" si="248"/>
        <v>0</v>
      </c>
      <c r="S174" s="12">
        <f t="shared" si="249"/>
        <v>0</v>
      </c>
      <c r="T174" s="18">
        <f t="shared" si="250"/>
        <v>9999</v>
      </c>
      <c r="V174" s="10" t="s">
        <v>32</v>
      </c>
      <c r="W174" s="18">
        <f>BD$24</f>
        <v>0</v>
      </c>
    </row>
    <row r="175" spans="1:23" x14ac:dyDescent="0.2">
      <c r="P175" s="13"/>
    </row>
    <row r="176" spans="1:23" x14ac:dyDescent="0.2">
      <c r="A176" s="14" t="s">
        <v>388</v>
      </c>
      <c r="E176" s="8"/>
      <c r="G176" s="26"/>
    </row>
    <row r="177" spans="1:23" x14ac:dyDescent="0.2">
      <c r="A177" s="28" t="s">
        <v>61</v>
      </c>
      <c r="B177" s="2"/>
      <c r="C177" s="2"/>
      <c r="D177" s="2"/>
      <c r="E177" s="3"/>
      <c r="G177" s="27" t="s">
        <v>60</v>
      </c>
      <c r="H177" s="2"/>
      <c r="I177" s="2"/>
      <c r="J177" s="3"/>
      <c r="L177" s="1" t="s">
        <v>2</v>
      </c>
      <c r="M177" s="2"/>
      <c r="N177" s="2"/>
      <c r="O177" s="3"/>
      <c r="P177" s="5"/>
      <c r="Q177" s="28" t="s">
        <v>63</v>
      </c>
      <c r="R177" s="2"/>
      <c r="S177" s="2"/>
      <c r="T177" s="3"/>
      <c r="V177" s="28" t="s">
        <v>320</v>
      </c>
      <c r="W177" s="36"/>
    </row>
    <row r="178" spans="1:23" x14ac:dyDescent="0.2">
      <c r="A178" s="4"/>
      <c r="B178" s="5"/>
      <c r="C178" s="5"/>
      <c r="D178" s="5"/>
      <c r="E178" s="6"/>
      <c r="G178" s="4"/>
      <c r="H178" s="5"/>
      <c r="I178" s="5"/>
      <c r="J178" s="6"/>
      <c r="L178" s="4"/>
      <c r="M178" s="5"/>
      <c r="N178" s="5"/>
      <c r="O178" s="6"/>
      <c r="P178" s="5"/>
      <c r="Q178" s="4"/>
      <c r="R178" s="5"/>
      <c r="S178" s="5"/>
      <c r="T178" s="6"/>
      <c r="V178" s="4"/>
      <c r="W178" s="6"/>
    </row>
    <row r="179" spans="1:23" x14ac:dyDescent="0.2">
      <c r="A179" s="4"/>
      <c r="B179" s="42" t="s">
        <v>384</v>
      </c>
      <c r="C179" s="5"/>
      <c r="D179" s="5"/>
      <c r="E179" s="16" t="s">
        <v>3</v>
      </c>
      <c r="G179" s="4"/>
      <c r="H179" s="5"/>
      <c r="I179" s="5"/>
      <c r="J179" s="16" t="s">
        <v>4</v>
      </c>
      <c r="L179" s="4"/>
      <c r="M179" s="5"/>
      <c r="N179" s="5"/>
      <c r="O179" s="16" t="s">
        <v>4</v>
      </c>
      <c r="P179" s="11"/>
      <c r="Q179" s="4"/>
      <c r="R179" s="5"/>
      <c r="S179" s="5"/>
      <c r="T179" s="16" t="s">
        <v>4</v>
      </c>
      <c r="V179" s="4"/>
      <c r="W179" s="6"/>
    </row>
    <row r="180" spans="1:23" x14ac:dyDescent="0.2">
      <c r="A180" s="4" t="s">
        <v>13</v>
      </c>
      <c r="B180" s="15">
        <f>IF(OR(AH5="",E180=9999),9999,IF(AND(AH5&lt;&gt;"gz",AH5&lt;&gt;"z"),9999,AH5))</f>
        <v>9999</v>
      </c>
      <c r="C180" s="11">
        <f>AF5-AG5</f>
        <v>0</v>
      </c>
      <c r="D180" s="11">
        <f>AL5-AK5</f>
        <v>0</v>
      </c>
      <c r="E180" s="16">
        <f>IF(ISERROR(C180-D180),9999,IF(OR(C180=0,D180=0),9999,IF(AH5=AM5,(C180+D180)/10,(C180+D180+1000)/10)))</f>
        <v>9999</v>
      </c>
      <c r="G180" s="4" t="s">
        <v>13</v>
      </c>
      <c r="H180" s="11">
        <f>AJ5</f>
        <v>0</v>
      </c>
      <c r="I180" s="11">
        <f>AE5</f>
        <v>0</v>
      </c>
      <c r="J180" s="16">
        <f>IF(ISERROR(I180-H180),9999,IF(OR(H180=0,I180=0),9999,H180-I180))</f>
        <v>9999</v>
      </c>
      <c r="L180" s="4" t="s">
        <v>13</v>
      </c>
      <c r="M180" s="11">
        <f>AN5</f>
        <v>0</v>
      </c>
      <c r="N180" s="11">
        <f>AJ5</f>
        <v>0</v>
      </c>
      <c r="O180" s="16">
        <f>IF(ISERROR(M180-N180),9999,IF(OR(M180=0,N180=0),9999,IF(SUM(M180-N180)&lt;=0,9999,SUM(M180-N180))))</f>
        <v>9999</v>
      </c>
      <c r="P180" s="13"/>
      <c r="Q180" s="4" t="s">
        <v>13</v>
      </c>
      <c r="R180" s="11">
        <f>AN5</f>
        <v>0</v>
      </c>
      <c r="S180" s="11">
        <f>AE5</f>
        <v>0</v>
      </c>
      <c r="T180" s="16">
        <f>IF(ISERROR(R180-S180),9999,IF(OR(R180=0,S180=0),9999,IF(SUM(R180-S180)&lt;=0,9999,SUM(R180-S180))))</f>
        <v>9999</v>
      </c>
      <c r="V180" s="4" t="s">
        <v>13</v>
      </c>
      <c r="W180" s="16">
        <f>BD$5</f>
        <v>0</v>
      </c>
    </row>
    <row r="181" spans="1:23" x14ac:dyDescent="0.2">
      <c r="A181" s="4" t="s">
        <v>14</v>
      </c>
      <c r="B181" s="15">
        <f t="shared" ref="B181:B182" si="288">IF(OR(AH6="",E181=9999),9999,IF(AND(AH6&lt;&gt;"gz",AH6&lt;&gt;"z"),9999,AH6))</f>
        <v>9999</v>
      </c>
      <c r="C181" s="11">
        <f>AG6-AF6</f>
        <v>0</v>
      </c>
      <c r="D181" s="11">
        <f>AK6-AL6</f>
        <v>0</v>
      </c>
      <c r="E181" s="16">
        <f t="shared" ref="E181:E199" si="289">IF(ISERROR(C181-D181),9999,IF(OR(C181=0,D181=0),9999,IF(AH6=AM6,(C181+D181)/10,(C181+D181+1000)/10)))</f>
        <v>9999</v>
      </c>
      <c r="G181" s="4" t="s">
        <v>14</v>
      </c>
      <c r="H181" s="11">
        <f t="shared" ref="H181:H199" si="290">AJ6</f>
        <v>0</v>
      </c>
      <c r="I181" s="11">
        <f t="shared" ref="I181:I199" si="291">AE6</f>
        <v>0</v>
      </c>
      <c r="J181" s="16">
        <f t="shared" ref="J181:J199" si="292">IF(ISERROR(I181-H181),9999,IF(OR(H181=0,I181=0),9999,H181-I181))</f>
        <v>9999</v>
      </c>
      <c r="L181" s="4" t="s">
        <v>14</v>
      </c>
      <c r="M181" s="11">
        <f t="shared" ref="M181:M199" si="293">AN6</f>
        <v>0</v>
      </c>
      <c r="N181" s="11">
        <f t="shared" ref="N181:N199" si="294">AJ6</f>
        <v>0</v>
      </c>
      <c r="O181" s="16">
        <f t="shared" ref="O181:O199" si="295">IF(ISERROR(M181-N181),9999,IF(OR(M181=0,N181=0),9999,IF(SUM(M181-N181)&lt;=0,9999,SUM(M181-N181))))</f>
        <v>9999</v>
      </c>
      <c r="P181" s="13"/>
      <c r="Q181" s="4" t="s">
        <v>14</v>
      </c>
      <c r="R181" s="11">
        <f t="shared" ref="R181:R199" si="296">AN6</f>
        <v>0</v>
      </c>
      <c r="S181" s="11">
        <f t="shared" ref="S181:S199" si="297">AE6</f>
        <v>0</v>
      </c>
      <c r="T181" s="16">
        <f t="shared" ref="T181:T199" si="298">IF(ISERROR(R181-S181),9999,IF(OR(R181=0,S181=0),9999,IF(SUM(R181-S181)&lt;=0,9999,SUM(R181-S181))))</f>
        <v>9999</v>
      </c>
      <c r="V181" s="4" t="s">
        <v>14</v>
      </c>
      <c r="W181" s="16">
        <f>BD$6</f>
        <v>0</v>
      </c>
    </row>
    <row r="182" spans="1:23" x14ac:dyDescent="0.2">
      <c r="A182" s="4" t="s">
        <v>15</v>
      </c>
      <c r="B182" s="15">
        <f t="shared" si="288"/>
        <v>9999</v>
      </c>
      <c r="C182" s="11">
        <f t="shared" ref="C182" si="299">AF7-AG7</f>
        <v>0</v>
      </c>
      <c r="D182" s="11">
        <f t="shared" ref="D182" si="300">AL7-AK7</f>
        <v>0</v>
      </c>
      <c r="E182" s="16">
        <f t="shared" si="289"/>
        <v>9999</v>
      </c>
      <c r="G182" s="4" t="s">
        <v>15</v>
      </c>
      <c r="H182" s="11">
        <f t="shared" si="290"/>
        <v>0</v>
      </c>
      <c r="I182" s="11">
        <f t="shared" si="291"/>
        <v>0</v>
      </c>
      <c r="J182" s="16">
        <f t="shared" si="292"/>
        <v>9999</v>
      </c>
      <c r="L182" s="4" t="s">
        <v>15</v>
      </c>
      <c r="M182" s="11">
        <f t="shared" si="293"/>
        <v>0</v>
      </c>
      <c r="N182" s="11">
        <f t="shared" si="294"/>
        <v>0</v>
      </c>
      <c r="O182" s="16">
        <f t="shared" si="295"/>
        <v>9999</v>
      </c>
      <c r="P182" s="13"/>
      <c r="Q182" s="4" t="s">
        <v>15</v>
      </c>
      <c r="R182" s="11">
        <f t="shared" si="296"/>
        <v>0</v>
      </c>
      <c r="S182" s="11">
        <f t="shared" si="297"/>
        <v>0</v>
      </c>
      <c r="T182" s="16">
        <f t="shared" si="298"/>
        <v>9999</v>
      </c>
      <c r="V182" s="4" t="s">
        <v>15</v>
      </c>
      <c r="W182" s="16">
        <f>BD$7</f>
        <v>0</v>
      </c>
    </row>
    <row r="183" spans="1:23" x14ac:dyDescent="0.2">
      <c r="A183" s="4" t="s">
        <v>16</v>
      </c>
      <c r="B183" s="15">
        <f t="shared" ref="B183:B199" si="301">IF(OR(AH8="",E183=9999),9999,IF(AND(AH8&lt;&gt;"gz",AH8&lt;&gt;"z"),9999,AH8))</f>
        <v>9999</v>
      </c>
      <c r="C183" s="11">
        <f t="shared" ref="C183" si="302">AG8-AF8</f>
        <v>0</v>
      </c>
      <c r="D183" s="11">
        <f t="shared" ref="D183" si="303">AK8-AL8</f>
        <v>0</v>
      </c>
      <c r="E183" s="16">
        <f t="shared" si="289"/>
        <v>9999</v>
      </c>
      <c r="G183" s="4" t="s">
        <v>16</v>
      </c>
      <c r="H183" s="11">
        <f t="shared" si="290"/>
        <v>0</v>
      </c>
      <c r="I183" s="11">
        <f t="shared" si="291"/>
        <v>0</v>
      </c>
      <c r="J183" s="16">
        <f t="shared" si="292"/>
        <v>9999</v>
      </c>
      <c r="L183" s="4" t="s">
        <v>16</v>
      </c>
      <c r="M183" s="11">
        <f t="shared" si="293"/>
        <v>0</v>
      </c>
      <c r="N183" s="11">
        <f t="shared" si="294"/>
        <v>0</v>
      </c>
      <c r="O183" s="16">
        <f t="shared" si="295"/>
        <v>9999</v>
      </c>
      <c r="P183" s="13"/>
      <c r="Q183" s="4" t="s">
        <v>16</v>
      </c>
      <c r="R183" s="11">
        <f t="shared" si="296"/>
        <v>0</v>
      </c>
      <c r="S183" s="11">
        <f t="shared" si="297"/>
        <v>0</v>
      </c>
      <c r="T183" s="16">
        <f t="shared" si="298"/>
        <v>9999</v>
      </c>
      <c r="V183" s="4" t="s">
        <v>16</v>
      </c>
      <c r="W183" s="16">
        <f>BD$8</f>
        <v>0</v>
      </c>
    </row>
    <row r="184" spans="1:23" x14ac:dyDescent="0.2">
      <c r="A184" s="4" t="s">
        <v>17</v>
      </c>
      <c r="B184" s="15">
        <f t="shared" si="301"/>
        <v>9999</v>
      </c>
      <c r="C184" s="11">
        <f t="shared" ref="C184" si="304">AF9-AG9</f>
        <v>0</v>
      </c>
      <c r="D184" s="11">
        <f t="shared" ref="D184" si="305">AL9-AK9</f>
        <v>0</v>
      </c>
      <c r="E184" s="16">
        <f t="shared" si="289"/>
        <v>9999</v>
      </c>
      <c r="G184" s="4" t="s">
        <v>17</v>
      </c>
      <c r="H184" s="11">
        <f t="shared" si="290"/>
        <v>0</v>
      </c>
      <c r="I184" s="11">
        <f t="shared" si="291"/>
        <v>0</v>
      </c>
      <c r="J184" s="16">
        <f t="shared" si="292"/>
        <v>9999</v>
      </c>
      <c r="L184" s="4" t="s">
        <v>17</v>
      </c>
      <c r="M184" s="11">
        <f t="shared" si="293"/>
        <v>0</v>
      </c>
      <c r="N184" s="11">
        <f t="shared" si="294"/>
        <v>0</v>
      </c>
      <c r="O184" s="16">
        <f t="shared" si="295"/>
        <v>9999</v>
      </c>
      <c r="P184" s="13"/>
      <c r="Q184" s="4" t="s">
        <v>17</v>
      </c>
      <c r="R184" s="11">
        <f t="shared" si="296"/>
        <v>0</v>
      </c>
      <c r="S184" s="11">
        <f t="shared" si="297"/>
        <v>0</v>
      </c>
      <c r="T184" s="16">
        <f t="shared" si="298"/>
        <v>9999</v>
      </c>
      <c r="V184" s="4" t="s">
        <v>17</v>
      </c>
      <c r="W184" s="16">
        <f>BD$9</f>
        <v>0</v>
      </c>
    </row>
    <row r="185" spans="1:23" x14ac:dyDescent="0.2">
      <c r="A185" s="4" t="s">
        <v>18</v>
      </c>
      <c r="B185" s="15">
        <f t="shared" si="301"/>
        <v>9999</v>
      </c>
      <c r="C185" s="11">
        <f t="shared" ref="C185" si="306">AG10-AF10</f>
        <v>0</v>
      </c>
      <c r="D185" s="11">
        <f t="shared" ref="D185" si="307">AK10-AL10</f>
        <v>0</v>
      </c>
      <c r="E185" s="16">
        <f t="shared" si="289"/>
        <v>9999</v>
      </c>
      <c r="G185" s="4" t="s">
        <v>18</v>
      </c>
      <c r="H185" s="11">
        <f t="shared" si="290"/>
        <v>0</v>
      </c>
      <c r="I185" s="11">
        <f t="shared" si="291"/>
        <v>0</v>
      </c>
      <c r="J185" s="16">
        <f t="shared" si="292"/>
        <v>9999</v>
      </c>
      <c r="L185" s="4" t="s">
        <v>18</v>
      </c>
      <c r="M185" s="11">
        <f t="shared" si="293"/>
        <v>0</v>
      </c>
      <c r="N185" s="11">
        <f t="shared" si="294"/>
        <v>0</v>
      </c>
      <c r="O185" s="16">
        <f t="shared" si="295"/>
        <v>9999</v>
      </c>
      <c r="P185" s="13"/>
      <c r="Q185" s="4" t="s">
        <v>18</v>
      </c>
      <c r="R185" s="11">
        <f t="shared" si="296"/>
        <v>0</v>
      </c>
      <c r="S185" s="11">
        <f t="shared" si="297"/>
        <v>0</v>
      </c>
      <c r="T185" s="16">
        <f t="shared" si="298"/>
        <v>9999</v>
      </c>
      <c r="V185" s="4" t="s">
        <v>18</v>
      </c>
      <c r="W185" s="16">
        <f>BD$10</f>
        <v>0</v>
      </c>
    </row>
    <row r="186" spans="1:23" x14ac:dyDescent="0.2">
      <c r="A186" s="4" t="s">
        <v>19</v>
      </c>
      <c r="B186" s="15">
        <f t="shared" si="301"/>
        <v>9999</v>
      </c>
      <c r="C186" s="11">
        <f t="shared" ref="C186" si="308">AF11-AG11</f>
        <v>0</v>
      </c>
      <c r="D186" s="11">
        <f t="shared" ref="D186" si="309">AL11-AK11</f>
        <v>0</v>
      </c>
      <c r="E186" s="16">
        <f t="shared" si="289"/>
        <v>9999</v>
      </c>
      <c r="G186" s="4" t="s">
        <v>19</v>
      </c>
      <c r="H186" s="11">
        <f t="shared" si="290"/>
        <v>0</v>
      </c>
      <c r="I186" s="11">
        <f t="shared" si="291"/>
        <v>0</v>
      </c>
      <c r="J186" s="16">
        <f t="shared" si="292"/>
        <v>9999</v>
      </c>
      <c r="L186" s="4" t="s">
        <v>19</v>
      </c>
      <c r="M186" s="11">
        <f t="shared" si="293"/>
        <v>0</v>
      </c>
      <c r="N186" s="11">
        <f t="shared" si="294"/>
        <v>0</v>
      </c>
      <c r="O186" s="16">
        <f t="shared" si="295"/>
        <v>9999</v>
      </c>
      <c r="P186" s="13"/>
      <c r="Q186" s="4" t="s">
        <v>19</v>
      </c>
      <c r="R186" s="11">
        <f t="shared" si="296"/>
        <v>0</v>
      </c>
      <c r="S186" s="11">
        <f t="shared" si="297"/>
        <v>0</v>
      </c>
      <c r="T186" s="16">
        <f t="shared" si="298"/>
        <v>9999</v>
      </c>
      <c r="V186" s="4" t="s">
        <v>19</v>
      </c>
      <c r="W186" s="16">
        <f>BD$11</f>
        <v>0</v>
      </c>
    </row>
    <row r="187" spans="1:23" x14ac:dyDescent="0.2">
      <c r="A187" s="9" t="s">
        <v>20</v>
      </c>
      <c r="B187" s="15">
        <f t="shared" si="301"/>
        <v>9999</v>
      </c>
      <c r="C187" s="11">
        <f t="shared" ref="C187" si="310">AG12-AF12</f>
        <v>0</v>
      </c>
      <c r="D187" s="11">
        <f t="shared" ref="D187" si="311">AK12-AL12</f>
        <v>0</v>
      </c>
      <c r="E187" s="16">
        <f t="shared" si="289"/>
        <v>9999</v>
      </c>
      <c r="G187" s="9" t="s">
        <v>20</v>
      </c>
      <c r="H187" s="11">
        <f t="shared" si="290"/>
        <v>0</v>
      </c>
      <c r="I187" s="11">
        <f t="shared" si="291"/>
        <v>0</v>
      </c>
      <c r="J187" s="16">
        <f t="shared" si="292"/>
        <v>9999</v>
      </c>
      <c r="L187" s="9" t="s">
        <v>20</v>
      </c>
      <c r="M187" s="11">
        <f t="shared" si="293"/>
        <v>0</v>
      </c>
      <c r="N187" s="11">
        <f t="shared" si="294"/>
        <v>0</v>
      </c>
      <c r="O187" s="16">
        <f t="shared" si="295"/>
        <v>9999</v>
      </c>
      <c r="P187" s="13"/>
      <c r="Q187" s="9" t="s">
        <v>20</v>
      </c>
      <c r="R187" s="11">
        <f t="shared" si="296"/>
        <v>0</v>
      </c>
      <c r="S187" s="11">
        <f t="shared" si="297"/>
        <v>0</v>
      </c>
      <c r="T187" s="16">
        <f t="shared" si="298"/>
        <v>9999</v>
      </c>
      <c r="V187" s="9" t="s">
        <v>20</v>
      </c>
      <c r="W187" s="16">
        <f>BD$12</f>
        <v>0</v>
      </c>
    </row>
    <row r="188" spans="1:23" x14ac:dyDescent="0.2">
      <c r="A188" s="9" t="s">
        <v>21</v>
      </c>
      <c r="B188" s="15">
        <f t="shared" si="301"/>
        <v>9999</v>
      </c>
      <c r="C188" s="11">
        <f t="shared" ref="C188" si="312">AF13-AG13</f>
        <v>0</v>
      </c>
      <c r="D188" s="11">
        <f t="shared" ref="D188" si="313">AL13-AK13</f>
        <v>0</v>
      </c>
      <c r="E188" s="16">
        <f t="shared" si="289"/>
        <v>9999</v>
      </c>
      <c r="G188" s="9" t="s">
        <v>21</v>
      </c>
      <c r="H188" s="11">
        <f t="shared" si="290"/>
        <v>0</v>
      </c>
      <c r="I188" s="11">
        <f t="shared" si="291"/>
        <v>0</v>
      </c>
      <c r="J188" s="16">
        <f t="shared" si="292"/>
        <v>9999</v>
      </c>
      <c r="L188" s="9" t="s">
        <v>21</v>
      </c>
      <c r="M188" s="11">
        <f t="shared" si="293"/>
        <v>0</v>
      </c>
      <c r="N188" s="11">
        <f t="shared" si="294"/>
        <v>0</v>
      </c>
      <c r="O188" s="16">
        <f t="shared" si="295"/>
        <v>9999</v>
      </c>
      <c r="P188" s="13"/>
      <c r="Q188" s="9" t="s">
        <v>21</v>
      </c>
      <c r="R188" s="11">
        <f t="shared" si="296"/>
        <v>0</v>
      </c>
      <c r="S188" s="11">
        <f t="shared" si="297"/>
        <v>0</v>
      </c>
      <c r="T188" s="16">
        <f t="shared" si="298"/>
        <v>9999</v>
      </c>
      <c r="V188" s="9" t="s">
        <v>21</v>
      </c>
      <c r="W188" s="16">
        <f>BD$13</f>
        <v>0</v>
      </c>
    </row>
    <row r="189" spans="1:23" x14ac:dyDescent="0.2">
      <c r="A189" s="9" t="s">
        <v>22</v>
      </c>
      <c r="B189" s="15">
        <f t="shared" si="301"/>
        <v>9999</v>
      </c>
      <c r="C189" s="11">
        <f t="shared" ref="C189" si="314">AG14-AF14</f>
        <v>0</v>
      </c>
      <c r="D189" s="11">
        <f t="shared" ref="D189" si="315">AK14-AL14</f>
        <v>0</v>
      </c>
      <c r="E189" s="16">
        <f t="shared" si="289"/>
        <v>9999</v>
      </c>
      <c r="G189" s="9" t="s">
        <v>22</v>
      </c>
      <c r="H189" s="11">
        <f t="shared" si="290"/>
        <v>0</v>
      </c>
      <c r="I189" s="11">
        <f t="shared" si="291"/>
        <v>0</v>
      </c>
      <c r="J189" s="16">
        <f t="shared" si="292"/>
        <v>9999</v>
      </c>
      <c r="L189" s="9" t="s">
        <v>22</v>
      </c>
      <c r="M189" s="11">
        <f t="shared" si="293"/>
        <v>0</v>
      </c>
      <c r="N189" s="11">
        <f t="shared" si="294"/>
        <v>0</v>
      </c>
      <c r="O189" s="16">
        <f t="shared" si="295"/>
        <v>9999</v>
      </c>
      <c r="P189" s="13"/>
      <c r="Q189" s="9" t="s">
        <v>22</v>
      </c>
      <c r="R189" s="11">
        <f t="shared" si="296"/>
        <v>0</v>
      </c>
      <c r="S189" s="11">
        <f t="shared" si="297"/>
        <v>0</v>
      </c>
      <c r="T189" s="16">
        <f t="shared" si="298"/>
        <v>9999</v>
      </c>
      <c r="V189" s="9" t="s">
        <v>22</v>
      </c>
      <c r="W189" s="16">
        <f>BD$14</f>
        <v>0</v>
      </c>
    </row>
    <row r="190" spans="1:23" x14ac:dyDescent="0.2">
      <c r="A190" s="9" t="s">
        <v>23</v>
      </c>
      <c r="B190" s="15">
        <f t="shared" si="301"/>
        <v>9999</v>
      </c>
      <c r="C190" s="11">
        <f t="shared" ref="C190" si="316">AF15-AG15</f>
        <v>0</v>
      </c>
      <c r="D190" s="11">
        <f t="shared" ref="D190" si="317">AL15-AK15</f>
        <v>0</v>
      </c>
      <c r="E190" s="16">
        <f t="shared" si="289"/>
        <v>9999</v>
      </c>
      <c r="G190" s="9" t="s">
        <v>23</v>
      </c>
      <c r="H190" s="11">
        <f t="shared" si="290"/>
        <v>0</v>
      </c>
      <c r="I190" s="11">
        <f t="shared" si="291"/>
        <v>0</v>
      </c>
      <c r="J190" s="16">
        <f t="shared" si="292"/>
        <v>9999</v>
      </c>
      <c r="L190" s="9" t="s">
        <v>23</v>
      </c>
      <c r="M190" s="11">
        <f t="shared" si="293"/>
        <v>0</v>
      </c>
      <c r="N190" s="11">
        <f t="shared" si="294"/>
        <v>0</v>
      </c>
      <c r="O190" s="16">
        <f t="shared" si="295"/>
        <v>9999</v>
      </c>
      <c r="P190" s="13"/>
      <c r="Q190" s="9" t="s">
        <v>23</v>
      </c>
      <c r="R190" s="11">
        <f t="shared" si="296"/>
        <v>0</v>
      </c>
      <c r="S190" s="11">
        <f t="shared" si="297"/>
        <v>0</v>
      </c>
      <c r="T190" s="16">
        <f t="shared" si="298"/>
        <v>9999</v>
      </c>
      <c r="V190" s="9" t="s">
        <v>23</v>
      </c>
      <c r="W190" s="16">
        <f>BD$15</f>
        <v>0</v>
      </c>
    </row>
    <row r="191" spans="1:23" x14ac:dyDescent="0.2">
      <c r="A191" s="9" t="s">
        <v>24</v>
      </c>
      <c r="B191" s="15">
        <f t="shared" si="301"/>
        <v>9999</v>
      </c>
      <c r="C191" s="11">
        <f t="shared" ref="C191" si="318">AG16-AF16</f>
        <v>0</v>
      </c>
      <c r="D191" s="11">
        <f t="shared" ref="D191" si="319">AK16-AL16</f>
        <v>0</v>
      </c>
      <c r="E191" s="16">
        <f t="shared" si="289"/>
        <v>9999</v>
      </c>
      <c r="G191" s="9" t="s">
        <v>24</v>
      </c>
      <c r="H191" s="11">
        <f t="shared" si="290"/>
        <v>0</v>
      </c>
      <c r="I191" s="11">
        <f t="shared" si="291"/>
        <v>0</v>
      </c>
      <c r="J191" s="16">
        <f t="shared" si="292"/>
        <v>9999</v>
      </c>
      <c r="L191" s="9" t="s">
        <v>24</v>
      </c>
      <c r="M191" s="11">
        <f t="shared" si="293"/>
        <v>0</v>
      </c>
      <c r="N191" s="11">
        <f t="shared" si="294"/>
        <v>0</v>
      </c>
      <c r="O191" s="16">
        <f t="shared" si="295"/>
        <v>9999</v>
      </c>
      <c r="P191" s="13"/>
      <c r="Q191" s="9" t="s">
        <v>24</v>
      </c>
      <c r="R191" s="11">
        <f t="shared" si="296"/>
        <v>0</v>
      </c>
      <c r="S191" s="11">
        <f t="shared" si="297"/>
        <v>0</v>
      </c>
      <c r="T191" s="16">
        <f t="shared" si="298"/>
        <v>9999</v>
      </c>
      <c r="V191" s="9" t="s">
        <v>24</v>
      </c>
      <c r="W191" s="16">
        <f>BD$16</f>
        <v>0</v>
      </c>
    </row>
    <row r="192" spans="1:23" x14ac:dyDescent="0.2">
      <c r="A192" s="4" t="s">
        <v>25</v>
      </c>
      <c r="B192" s="15">
        <f t="shared" si="301"/>
        <v>9999</v>
      </c>
      <c r="C192" s="11">
        <f t="shared" ref="C192" si="320">AF17-AG17</f>
        <v>0</v>
      </c>
      <c r="D192" s="11">
        <f t="shared" ref="D192" si="321">AL17-AK17</f>
        <v>0</v>
      </c>
      <c r="E192" s="16">
        <f t="shared" si="289"/>
        <v>9999</v>
      </c>
      <c r="G192" s="4" t="s">
        <v>25</v>
      </c>
      <c r="H192" s="11">
        <f t="shared" si="290"/>
        <v>0</v>
      </c>
      <c r="I192" s="11">
        <f t="shared" si="291"/>
        <v>0</v>
      </c>
      <c r="J192" s="16">
        <f t="shared" si="292"/>
        <v>9999</v>
      </c>
      <c r="L192" s="4" t="s">
        <v>25</v>
      </c>
      <c r="M192" s="11">
        <f t="shared" si="293"/>
        <v>0</v>
      </c>
      <c r="N192" s="11">
        <f t="shared" si="294"/>
        <v>0</v>
      </c>
      <c r="O192" s="16">
        <f t="shared" si="295"/>
        <v>9999</v>
      </c>
      <c r="P192" s="13"/>
      <c r="Q192" s="4" t="s">
        <v>25</v>
      </c>
      <c r="R192" s="11">
        <f t="shared" si="296"/>
        <v>0</v>
      </c>
      <c r="S192" s="11">
        <f t="shared" si="297"/>
        <v>0</v>
      </c>
      <c r="T192" s="16">
        <f t="shared" si="298"/>
        <v>9999</v>
      </c>
      <c r="V192" s="4" t="s">
        <v>25</v>
      </c>
      <c r="W192" s="16">
        <f>BD$17</f>
        <v>0</v>
      </c>
    </row>
    <row r="193" spans="1:23" x14ac:dyDescent="0.2">
      <c r="A193" s="4" t="s">
        <v>26</v>
      </c>
      <c r="B193" s="15">
        <f t="shared" si="301"/>
        <v>9999</v>
      </c>
      <c r="C193" s="11">
        <f t="shared" ref="C193" si="322">AG18-AF18</f>
        <v>0</v>
      </c>
      <c r="D193" s="11">
        <f t="shared" ref="D193" si="323">AK18-AL18</f>
        <v>0</v>
      </c>
      <c r="E193" s="16">
        <f t="shared" si="289"/>
        <v>9999</v>
      </c>
      <c r="G193" s="4" t="s">
        <v>26</v>
      </c>
      <c r="H193" s="11">
        <f t="shared" si="290"/>
        <v>0</v>
      </c>
      <c r="I193" s="11">
        <f t="shared" si="291"/>
        <v>0</v>
      </c>
      <c r="J193" s="16">
        <f t="shared" si="292"/>
        <v>9999</v>
      </c>
      <c r="L193" s="4" t="s">
        <v>26</v>
      </c>
      <c r="M193" s="11">
        <f t="shared" si="293"/>
        <v>0</v>
      </c>
      <c r="N193" s="11">
        <f t="shared" si="294"/>
        <v>0</v>
      </c>
      <c r="O193" s="16">
        <f t="shared" si="295"/>
        <v>9999</v>
      </c>
      <c r="P193" s="13"/>
      <c r="Q193" s="4" t="s">
        <v>26</v>
      </c>
      <c r="R193" s="11">
        <f t="shared" si="296"/>
        <v>0</v>
      </c>
      <c r="S193" s="11">
        <f t="shared" si="297"/>
        <v>0</v>
      </c>
      <c r="T193" s="16">
        <f t="shared" si="298"/>
        <v>9999</v>
      </c>
      <c r="V193" s="4" t="s">
        <v>26</v>
      </c>
      <c r="W193" s="16">
        <f>BD$18</f>
        <v>0</v>
      </c>
    </row>
    <row r="194" spans="1:23" x14ac:dyDescent="0.2">
      <c r="A194" s="4" t="s">
        <v>27</v>
      </c>
      <c r="B194" s="15">
        <f t="shared" si="301"/>
        <v>9999</v>
      </c>
      <c r="C194" s="11">
        <f t="shared" ref="C194" si="324">AF19-AG19</f>
        <v>0</v>
      </c>
      <c r="D194" s="11">
        <f t="shared" ref="D194" si="325">AL19-AK19</f>
        <v>0</v>
      </c>
      <c r="E194" s="16">
        <f t="shared" si="289"/>
        <v>9999</v>
      </c>
      <c r="G194" s="4" t="s">
        <v>27</v>
      </c>
      <c r="H194" s="11">
        <f t="shared" si="290"/>
        <v>0</v>
      </c>
      <c r="I194" s="11">
        <f t="shared" si="291"/>
        <v>0</v>
      </c>
      <c r="J194" s="16">
        <f t="shared" si="292"/>
        <v>9999</v>
      </c>
      <c r="L194" s="4" t="s">
        <v>27</v>
      </c>
      <c r="M194" s="11">
        <f t="shared" si="293"/>
        <v>0</v>
      </c>
      <c r="N194" s="11">
        <f t="shared" si="294"/>
        <v>0</v>
      </c>
      <c r="O194" s="16">
        <f t="shared" si="295"/>
        <v>9999</v>
      </c>
      <c r="P194" s="13"/>
      <c r="Q194" s="4" t="s">
        <v>27</v>
      </c>
      <c r="R194" s="11">
        <f t="shared" si="296"/>
        <v>0</v>
      </c>
      <c r="S194" s="11">
        <f t="shared" si="297"/>
        <v>0</v>
      </c>
      <c r="T194" s="16">
        <f t="shared" si="298"/>
        <v>9999</v>
      </c>
      <c r="V194" s="4" t="s">
        <v>27</v>
      </c>
      <c r="W194" s="16">
        <f>BD$19</f>
        <v>0</v>
      </c>
    </row>
    <row r="195" spans="1:23" x14ac:dyDescent="0.2">
      <c r="A195" s="9" t="s">
        <v>28</v>
      </c>
      <c r="B195" s="15">
        <f t="shared" si="301"/>
        <v>9999</v>
      </c>
      <c r="C195" s="11">
        <f t="shared" ref="C195" si="326">AG20-AF20</f>
        <v>0</v>
      </c>
      <c r="D195" s="11">
        <f t="shared" ref="D195" si="327">AK20-AL20</f>
        <v>0</v>
      </c>
      <c r="E195" s="16">
        <f t="shared" si="289"/>
        <v>9999</v>
      </c>
      <c r="G195" s="9" t="s">
        <v>28</v>
      </c>
      <c r="H195" s="11">
        <f t="shared" si="290"/>
        <v>0</v>
      </c>
      <c r="I195" s="11">
        <f t="shared" si="291"/>
        <v>0</v>
      </c>
      <c r="J195" s="16">
        <f t="shared" si="292"/>
        <v>9999</v>
      </c>
      <c r="L195" s="9" t="s">
        <v>28</v>
      </c>
      <c r="M195" s="11">
        <f t="shared" si="293"/>
        <v>0</v>
      </c>
      <c r="N195" s="11">
        <f t="shared" si="294"/>
        <v>0</v>
      </c>
      <c r="O195" s="16">
        <f t="shared" si="295"/>
        <v>9999</v>
      </c>
      <c r="P195" s="13"/>
      <c r="Q195" s="9" t="s">
        <v>28</v>
      </c>
      <c r="R195" s="11">
        <f t="shared" si="296"/>
        <v>0</v>
      </c>
      <c r="S195" s="11">
        <f t="shared" si="297"/>
        <v>0</v>
      </c>
      <c r="T195" s="16">
        <f t="shared" si="298"/>
        <v>9999</v>
      </c>
      <c r="V195" s="9" t="s">
        <v>28</v>
      </c>
      <c r="W195" s="16">
        <f>BD$20</f>
        <v>0</v>
      </c>
    </row>
    <row r="196" spans="1:23" x14ac:dyDescent="0.2">
      <c r="A196" s="9" t="s">
        <v>29</v>
      </c>
      <c r="B196" s="15">
        <f t="shared" si="301"/>
        <v>9999</v>
      </c>
      <c r="C196" s="11">
        <f t="shared" ref="C196" si="328">AF21-AG21</f>
        <v>0</v>
      </c>
      <c r="D196" s="11">
        <f t="shared" ref="D196" si="329">AL21-AK21</f>
        <v>0</v>
      </c>
      <c r="E196" s="16">
        <f t="shared" si="289"/>
        <v>9999</v>
      </c>
      <c r="G196" s="9" t="s">
        <v>29</v>
      </c>
      <c r="H196" s="11">
        <f t="shared" si="290"/>
        <v>0</v>
      </c>
      <c r="I196" s="11">
        <f t="shared" si="291"/>
        <v>0</v>
      </c>
      <c r="J196" s="16">
        <f t="shared" si="292"/>
        <v>9999</v>
      </c>
      <c r="L196" s="9" t="s">
        <v>29</v>
      </c>
      <c r="M196" s="11">
        <f t="shared" si="293"/>
        <v>0</v>
      </c>
      <c r="N196" s="11">
        <f t="shared" si="294"/>
        <v>0</v>
      </c>
      <c r="O196" s="16">
        <f t="shared" si="295"/>
        <v>9999</v>
      </c>
      <c r="P196" s="13"/>
      <c r="Q196" s="9" t="s">
        <v>29</v>
      </c>
      <c r="R196" s="11">
        <f t="shared" si="296"/>
        <v>0</v>
      </c>
      <c r="S196" s="11">
        <f t="shared" si="297"/>
        <v>0</v>
      </c>
      <c r="T196" s="16">
        <f t="shared" si="298"/>
        <v>9999</v>
      </c>
      <c r="V196" s="9" t="s">
        <v>29</v>
      </c>
      <c r="W196" s="16">
        <f>BD$21</f>
        <v>0</v>
      </c>
    </row>
    <row r="197" spans="1:23" x14ac:dyDescent="0.2">
      <c r="A197" s="9" t="s">
        <v>30</v>
      </c>
      <c r="B197" s="15">
        <f t="shared" si="301"/>
        <v>9999</v>
      </c>
      <c r="C197" s="11">
        <f t="shared" ref="C197" si="330">AG22-AF22</f>
        <v>0</v>
      </c>
      <c r="D197" s="11">
        <f t="shared" ref="D197" si="331">AK22-AL22</f>
        <v>0</v>
      </c>
      <c r="E197" s="16">
        <f t="shared" si="289"/>
        <v>9999</v>
      </c>
      <c r="G197" s="9" t="s">
        <v>30</v>
      </c>
      <c r="H197" s="11">
        <f t="shared" si="290"/>
        <v>0</v>
      </c>
      <c r="I197" s="11">
        <f t="shared" si="291"/>
        <v>0</v>
      </c>
      <c r="J197" s="16">
        <f t="shared" si="292"/>
        <v>9999</v>
      </c>
      <c r="L197" s="9" t="s">
        <v>30</v>
      </c>
      <c r="M197" s="11">
        <f t="shared" si="293"/>
        <v>0</v>
      </c>
      <c r="N197" s="11">
        <f t="shared" si="294"/>
        <v>0</v>
      </c>
      <c r="O197" s="16">
        <f t="shared" si="295"/>
        <v>9999</v>
      </c>
      <c r="P197" s="13"/>
      <c r="Q197" s="9" t="s">
        <v>30</v>
      </c>
      <c r="R197" s="11">
        <f t="shared" si="296"/>
        <v>0</v>
      </c>
      <c r="S197" s="11">
        <f t="shared" si="297"/>
        <v>0</v>
      </c>
      <c r="T197" s="16">
        <f t="shared" si="298"/>
        <v>9999</v>
      </c>
      <c r="V197" s="9" t="s">
        <v>30</v>
      </c>
      <c r="W197" s="16">
        <f>BD$22</f>
        <v>0</v>
      </c>
    </row>
    <row r="198" spans="1:23" x14ac:dyDescent="0.2">
      <c r="A198" s="9" t="s">
        <v>31</v>
      </c>
      <c r="B198" s="15">
        <f t="shared" si="301"/>
        <v>9999</v>
      </c>
      <c r="C198" s="11">
        <f t="shared" ref="C198" si="332">AF23-AG23</f>
        <v>0</v>
      </c>
      <c r="D198" s="11">
        <f t="shared" ref="D198" si="333">AL23-AK23</f>
        <v>0</v>
      </c>
      <c r="E198" s="16">
        <f t="shared" si="289"/>
        <v>9999</v>
      </c>
      <c r="G198" s="9" t="s">
        <v>31</v>
      </c>
      <c r="H198" s="11">
        <f t="shared" si="290"/>
        <v>0</v>
      </c>
      <c r="I198" s="11">
        <f t="shared" si="291"/>
        <v>0</v>
      </c>
      <c r="J198" s="16">
        <f t="shared" si="292"/>
        <v>9999</v>
      </c>
      <c r="L198" s="9" t="s">
        <v>31</v>
      </c>
      <c r="M198" s="11">
        <f t="shared" si="293"/>
        <v>0</v>
      </c>
      <c r="N198" s="11">
        <f t="shared" si="294"/>
        <v>0</v>
      </c>
      <c r="O198" s="16">
        <f t="shared" si="295"/>
        <v>9999</v>
      </c>
      <c r="P198" s="13"/>
      <c r="Q198" s="9" t="s">
        <v>31</v>
      </c>
      <c r="R198" s="11">
        <f t="shared" si="296"/>
        <v>0</v>
      </c>
      <c r="S198" s="11">
        <f t="shared" si="297"/>
        <v>0</v>
      </c>
      <c r="T198" s="16">
        <f t="shared" si="298"/>
        <v>9999</v>
      </c>
      <c r="V198" s="9" t="s">
        <v>31</v>
      </c>
      <c r="W198" s="16">
        <f>BD$23</f>
        <v>0</v>
      </c>
    </row>
    <row r="199" spans="1:23" x14ac:dyDescent="0.2">
      <c r="A199" s="10" t="s">
        <v>32</v>
      </c>
      <c r="B199" s="17">
        <f t="shared" si="301"/>
        <v>9999</v>
      </c>
      <c r="C199" s="12">
        <f t="shared" ref="C199" si="334">AG24-AF24</f>
        <v>0</v>
      </c>
      <c r="D199" s="12">
        <f t="shared" ref="D199" si="335">AK24-AL24</f>
        <v>0</v>
      </c>
      <c r="E199" s="16">
        <f t="shared" si="289"/>
        <v>9999</v>
      </c>
      <c r="G199" s="10" t="s">
        <v>32</v>
      </c>
      <c r="H199" s="12">
        <f t="shared" si="290"/>
        <v>0</v>
      </c>
      <c r="I199" s="12">
        <f t="shared" si="291"/>
        <v>0</v>
      </c>
      <c r="J199" s="18">
        <f t="shared" si="292"/>
        <v>9999</v>
      </c>
      <c r="L199" s="10" t="s">
        <v>32</v>
      </c>
      <c r="M199" s="12">
        <f t="shared" si="293"/>
        <v>0</v>
      </c>
      <c r="N199" s="12">
        <f t="shared" si="294"/>
        <v>0</v>
      </c>
      <c r="O199" s="18">
        <f t="shared" si="295"/>
        <v>9999</v>
      </c>
      <c r="P199" s="13"/>
      <c r="Q199" s="10" t="s">
        <v>32</v>
      </c>
      <c r="R199" s="12">
        <f t="shared" si="296"/>
        <v>0</v>
      </c>
      <c r="S199" s="12">
        <f t="shared" si="297"/>
        <v>0</v>
      </c>
      <c r="T199" s="18">
        <f t="shared" si="298"/>
        <v>9999</v>
      </c>
      <c r="V199" s="10" t="s">
        <v>32</v>
      </c>
      <c r="W199" s="18">
        <f>BD$24</f>
        <v>0</v>
      </c>
    </row>
    <row r="200" spans="1:23" x14ac:dyDescent="0.2">
      <c r="P200" s="13"/>
    </row>
    <row r="201" spans="1:23" x14ac:dyDescent="0.2">
      <c r="A201" s="14" t="s">
        <v>389</v>
      </c>
      <c r="E201" s="8"/>
      <c r="G201" s="26"/>
    </row>
    <row r="202" spans="1:23" x14ac:dyDescent="0.2">
      <c r="A202" s="28" t="s">
        <v>61</v>
      </c>
      <c r="B202" s="2"/>
      <c r="C202" s="2"/>
      <c r="D202" s="2"/>
      <c r="E202" s="3"/>
      <c r="G202" s="27" t="s">
        <v>60</v>
      </c>
      <c r="H202" s="2"/>
      <c r="I202" s="2"/>
      <c r="J202" s="3"/>
      <c r="L202" s="1" t="s">
        <v>2</v>
      </c>
      <c r="M202" s="2"/>
      <c r="N202" s="2"/>
      <c r="O202" s="3"/>
      <c r="P202" s="5"/>
      <c r="Q202" s="28" t="s">
        <v>63</v>
      </c>
      <c r="R202" s="2"/>
      <c r="S202" s="2"/>
      <c r="T202" s="3"/>
      <c r="V202" s="28" t="s">
        <v>320</v>
      </c>
      <c r="W202" s="36"/>
    </row>
    <row r="203" spans="1:23" x14ac:dyDescent="0.2">
      <c r="A203" s="4"/>
      <c r="B203" s="5"/>
      <c r="C203" s="5"/>
      <c r="D203" s="5"/>
      <c r="E203" s="6"/>
      <c r="G203" s="4"/>
      <c r="H203" s="5"/>
      <c r="I203" s="5"/>
      <c r="J203" s="6"/>
      <c r="L203" s="4"/>
      <c r="M203" s="5"/>
      <c r="N203" s="5"/>
      <c r="O203" s="6"/>
      <c r="P203" s="5"/>
      <c r="Q203" s="4"/>
      <c r="R203" s="5"/>
      <c r="S203" s="5"/>
      <c r="T203" s="6"/>
      <c r="V203" s="4"/>
      <c r="W203" s="6"/>
    </row>
    <row r="204" spans="1:23" x14ac:dyDescent="0.2">
      <c r="A204" s="4"/>
      <c r="B204" s="42" t="s">
        <v>384</v>
      </c>
      <c r="C204" s="5"/>
      <c r="D204" s="5"/>
      <c r="E204" s="16" t="s">
        <v>3</v>
      </c>
      <c r="G204" s="4"/>
      <c r="H204" s="5"/>
      <c r="I204" s="5"/>
      <c r="J204" s="16" t="s">
        <v>4</v>
      </c>
      <c r="L204" s="4"/>
      <c r="M204" s="5"/>
      <c r="N204" s="5"/>
      <c r="O204" s="16" t="s">
        <v>4</v>
      </c>
      <c r="P204" s="11"/>
      <c r="Q204" s="4"/>
      <c r="R204" s="5"/>
      <c r="S204" s="5"/>
      <c r="T204" s="16" t="s">
        <v>4</v>
      </c>
      <c r="V204" s="4"/>
      <c r="W204" s="6"/>
    </row>
    <row r="205" spans="1:23" x14ac:dyDescent="0.2">
      <c r="A205" s="4" t="s">
        <v>13</v>
      </c>
      <c r="B205" s="15">
        <f>IF(OR(AM5="",E205=9999),9999,IF(AND(AM5&lt;&gt;"gz",AM5&lt;&gt;"z"),9999,AM5))</f>
        <v>9999</v>
      </c>
      <c r="C205" s="11">
        <f>AK5-AL5</f>
        <v>0</v>
      </c>
      <c r="D205" s="11">
        <f>AQ5-AP5</f>
        <v>0</v>
      </c>
      <c r="E205" s="16">
        <f>IF(ISERROR(C205-D205),9999,IF(OR(C205=0,D205=0),9999,IF(AM5=AR5,(C205+D205)/10,(C205+D205+1000)/10)))</f>
        <v>9999</v>
      </c>
      <c r="G205" s="4" t="s">
        <v>13</v>
      </c>
      <c r="H205" s="11">
        <f>AO5</f>
        <v>0</v>
      </c>
      <c r="I205" s="11">
        <f>AJ5</f>
        <v>0</v>
      </c>
      <c r="J205" s="16">
        <f>IF(ISERROR(I205-H205),9999,IF(OR(H205=0,I205=0),9999,H205-I205))</f>
        <v>9999</v>
      </c>
      <c r="L205" s="4" t="s">
        <v>13</v>
      </c>
      <c r="M205" s="11">
        <f>AS5</f>
        <v>0</v>
      </c>
      <c r="N205" s="11">
        <f>AO5</f>
        <v>0</v>
      </c>
      <c r="O205" s="16">
        <f>IF(ISERROR(M205-N205),9999,IF(OR(M205=0,N205=0),9999,IF(SUM(M205-N205)&lt;=0,9999,SUM(M205-N205))))</f>
        <v>9999</v>
      </c>
      <c r="P205" s="13"/>
      <c r="Q205" s="4" t="s">
        <v>13</v>
      </c>
      <c r="R205" s="11">
        <f>AS5</f>
        <v>0</v>
      </c>
      <c r="S205" s="11">
        <f>AJ5</f>
        <v>0</v>
      </c>
      <c r="T205" s="16">
        <f>IF(ISERROR(R205-S205),9999,IF(OR(R205=0,S205=0),9999,IF(SUM(R205-S205)&lt;=0,9999,SUM(R205-S205))))</f>
        <v>9999</v>
      </c>
      <c r="V205" s="4" t="s">
        <v>13</v>
      </c>
      <c r="W205" s="16">
        <f>BD$5</f>
        <v>0</v>
      </c>
    </row>
    <row r="206" spans="1:23" x14ac:dyDescent="0.2">
      <c r="A206" s="4" t="s">
        <v>14</v>
      </c>
      <c r="B206" s="15">
        <f t="shared" ref="B206:B207" si="336">IF(OR(AM6="",E206=9999),9999,IF(AND(AM6&lt;&gt;"gz",AM6&lt;&gt;"z"),9999,AM6))</f>
        <v>9999</v>
      </c>
      <c r="C206" s="11">
        <f>AL6-AK6</f>
        <v>0</v>
      </c>
      <c r="D206" s="11">
        <f>AP6-AQ6</f>
        <v>0</v>
      </c>
      <c r="E206" s="16">
        <f t="shared" ref="E206:E224" si="337">IF(ISERROR(C206-D206),9999,IF(OR(C206=0,D206=0),9999,IF(AM6=AR6,(C206+D206)/10,(C206+D206+1000)/10)))</f>
        <v>9999</v>
      </c>
      <c r="G206" s="4" t="s">
        <v>14</v>
      </c>
      <c r="H206" s="11">
        <f t="shared" ref="H206:H224" si="338">AO6</f>
        <v>0</v>
      </c>
      <c r="I206" s="11">
        <f t="shared" ref="I206:I224" si="339">AJ6</f>
        <v>0</v>
      </c>
      <c r="J206" s="16">
        <f t="shared" ref="J206:J224" si="340">IF(ISERROR(I206-H206),9999,IF(OR(H206=0,I206=0),9999,H206-I206))</f>
        <v>9999</v>
      </c>
      <c r="L206" s="4" t="s">
        <v>14</v>
      </c>
      <c r="M206" s="11">
        <f t="shared" ref="M206:M224" si="341">AS6</f>
        <v>0</v>
      </c>
      <c r="N206" s="11">
        <f t="shared" ref="N206:N224" si="342">AO6</f>
        <v>0</v>
      </c>
      <c r="O206" s="16">
        <f t="shared" ref="O206:O224" si="343">IF(ISERROR(M206-N206),9999,IF(OR(M206=0,N206=0),9999,IF(SUM(M206-N206)&lt;=0,9999,SUM(M206-N206))))</f>
        <v>9999</v>
      </c>
      <c r="P206" s="13"/>
      <c r="Q206" s="4" t="s">
        <v>14</v>
      </c>
      <c r="R206" s="11">
        <f t="shared" ref="R206:R224" si="344">AS6</f>
        <v>0</v>
      </c>
      <c r="S206" s="11">
        <f t="shared" ref="S206:S224" si="345">AJ6</f>
        <v>0</v>
      </c>
      <c r="T206" s="16">
        <f t="shared" ref="T206:T224" si="346">IF(ISERROR(R206-S206),9999,IF(OR(R206=0,S206=0),9999,IF(SUM(R206-S206)&lt;=0,9999,SUM(R206-S206))))</f>
        <v>9999</v>
      </c>
      <c r="V206" s="4" t="s">
        <v>14</v>
      </c>
      <c r="W206" s="16">
        <f>BD$6</f>
        <v>0</v>
      </c>
    </row>
    <row r="207" spans="1:23" x14ac:dyDescent="0.2">
      <c r="A207" s="4" t="s">
        <v>15</v>
      </c>
      <c r="B207" s="15">
        <f t="shared" si="336"/>
        <v>9999</v>
      </c>
      <c r="C207" s="11">
        <f t="shared" ref="C207" si="347">AK7-AL7</f>
        <v>0</v>
      </c>
      <c r="D207" s="11">
        <f t="shared" ref="D207" si="348">AQ7-AP7</f>
        <v>0</v>
      </c>
      <c r="E207" s="16">
        <f t="shared" si="337"/>
        <v>9999</v>
      </c>
      <c r="G207" s="4" t="s">
        <v>15</v>
      </c>
      <c r="H207" s="11">
        <f t="shared" si="338"/>
        <v>0</v>
      </c>
      <c r="I207" s="11">
        <f t="shared" si="339"/>
        <v>0</v>
      </c>
      <c r="J207" s="16">
        <f t="shared" si="340"/>
        <v>9999</v>
      </c>
      <c r="L207" s="4" t="s">
        <v>15</v>
      </c>
      <c r="M207" s="11">
        <f t="shared" si="341"/>
        <v>0</v>
      </c>
      <c r="N207" s="11">
        <f t="shared" si="342"/>
        <v>0</v>
      </c>
      <c r="O207" s="16">
        <f t="shared" si="343"/>
        <v>9999</v>
      </c>
      <c r="P207" s="13"/>
      <c r="Q207" s="4" t="s">
        <v>15</v>
      </c>
      <c r="R207" s="11">
        <f t="shared" si="344"/>
        <v>0</v>
      </c>
      <c r="S207" s="11">
        <f t="shared" si="345"/>
        <v>0</v>
      </c>
      <c r="T207" s="16">
        <f t="shared" si="346"/>
        <v>9999</v>
      </c>
      <c r="V207" s="4" t="s">
        <v>15</v>
      </c>
      <c r="W207" s="16">
        <f>BD$7</f>
        <v>0</v>
      </c>
    </row>
    <row r="208" spans="1:23" x14ac:dyDescent="0.2">
      <c r="A208" s="4" t="s">
        <v>16</v>
      </c>
      <c r="B208" s="15">
        <f t="shared" ref="B208:B224" si="349">IF(OR(AM8="",E208=9999),9999,IF(AND(AM8&lt;&gt;"gz",AM8&lt;&gt;"z"),9999,AM8))</f>
        <v>9999</v>
      </c>
      <c r="C208" s="11">
        <f t="shared" ref="C208" si="350">AL8-AK8</f>
        <v>0</v>
      </c>
      <c r="D208" s="11">
        <f t="shared" ref="D208" si="351">AP8-AQ8</f>
        <v>0</v>
      </c>
      <c r="E208" s="16">
        <f t="shared" si="337"/>
        <v>9999</v>
      </c>
      <c r="G208" s="4" t="s">
        <v>16</v>
      </c>
      <c r="H208" s="11">
        <f t="shared" si="338"/>
        <v>0</v>
      </c>
      <c r="I208" s="11">
        <f t="shared" si="339"/>
        <v>0</v>
      </c>
      <c r="J208" s="16">
        <f t="shared" si="340"/>
        <v>9999</v>
      </c>
      <c r="L208" s="4" t="s">
        <v>16</v>
      </c>
      <c r="M208" s="11">
        <f t="shared" si="341"/>
        <v>0</v>
      </c>
      <c r="N208" s="11">
        <f t="shared" si="342"/>
        <v>0</v>
      </c>
      <c r="O208" s="16">
        <f t="shared" si="343"/>
        <v>9999</v>
      </c>
      <c r="P208" s="13"/>
      <c r="Q208" s="4" t="s">
        <v>16</v>
      </c>
      <c r="R208" s="11">
        <f t="shared" si="344"/>
        <v>0</v>
      </c>
      <c r="S208" s="11">
        <f t="shared" si="345"/>
        <v>0</v>
      </c>
      <c r="T208" s="16">
        <f t="shared" si="346"/>
        <v>9999</v>
      </c>
      <c r="V208" s="4" t="s">
        <v>16</v>
      </c>
      <c r="W208" s="16">
        <f>BD$8</f>
        <v>0</v>
      </c>
    </row>
    <row r="209" spans="1:23" x14ac:dyDescent="0.2">
      <c r="A209" s="4" t="s">
        <v>17</v>
      </c>
      <c r="B209" s="15">
        <f t="shared" si="349"/>
        <v>9999</v>
      </c>
      <c r="C209" s="11">
        <f t="shared" ref="C209" si="352">AK9-AL9</f>
        <v>0</v>
      </c>
      <c r="D209" s="11">
        <f t="shared" ref="D209" si="353">AQ9-AP9</f>
        <v>0</v>
      </c>
      <c r="E209" s="16">
        <f t="shared" si="337"/>
        <v>9999</v>
      </c>
      <c r="G209" s="4" t="s">
        <v>17</v>
      </c>
      <c r="H209" s="11">
        <f t="shared" si="338"/>
        <v>0</v>
      </c>
      <c r="I209" s="11">
        <f t="shared" si="339"/>
        <v>0</v>
      </c>
      <c r="J209" s="16">
        <f t="shared" si="340"/>
        <v>9999</v>
      </c>
      <c r="L209" s="4" t="s">
        <v>17</v>
      </c>
      <c r="M209" s="11">
        <f t="shared" si="341"/>
        <v>0</v>
      </c>
      <c r="N209" s="11">
        <f t="shared" si="342"/>
        <v>0</v>
      </c>
      <c r="O209" s="16">
        <f t="shared" si="343"/>
        <v>9999</v>
      </c>
      <c r="P209" s="13"/>
      <c r="Q209" s="4" t="s">
        <v>17</v>
      </c>
      <c r="R209" s="11">
        <f t="shared" si="344"/>
        <v>0</v>
      </c>
      <c r="S209" s="11">
        <f t="shared" si="345"/>
        <v>0</v>
      </c>
      <c r="T209" s="16">
        <f t="shared" si="346"/>
        <v>9999</v>
      </c>
      <c r="V209" s="4" t="s">
        <v>17</v>
      </c>
      <c r="W209" s="16">
        <f>BD$9</f>
        <v>0</v>
      </c>
    </row>
    <row r="210" spans="1:23" x14ac:dyDescent="0.2">
      <c r="A210" s="4" t="s">
        <v>18</v>
      </c>
      <c r="B210" s="15">
        <f t="shared" si="349"/>
        <v>9999</v>
      </c>
      <c r="C210" s="11">
        <f t="shared" ref="C210" si="354">AL10-AK10</f>
        <v>0</v>
      </c>
      <c r="D210" s="11">
        <f t="shared" ref="D210" si="355">AP10-AQ10</f>
        <v>0</v>
      </c>
      <c r="E210" s="16">
        <f t="shared" si="337"/>
        <v>9999</v>
      </c>
      <c r="G210" s="4" t="s">
        <v>18</v>
      </c>
      <c r="H210" s="11">
        <f t="shared" si="338"/>
        <v>0</v>
      </c>
      <c r="I210" s="11">
        <f t="shared" si="339"/>
        <v>0</v>
      </c>
      <c r="J210" s="16">
        <f t="shared" si="340"/>
        <v>9999</v>
      </c>
      <c r="L210" s="4" t="s">
        <v>18</v>
      </c>
      <c r="M210" s="11">
        <f t="shared" si="341"/>
        <v>0</v>
      </c>
      <c r="N210" s="11">
        <f t="shared" si="342"/>
        <v>0</v>
      </c>
      <c r="O210" s="16">
        <f t="shared" si="343"/>
        <v>9999</v>
      </c>
      <c r="P210" s="13"/>
      <c r="Q210" s="4" t="s">
        <v>18</v>
      </c>
      <c r="R210" s="11">
        <f t="shared" si="344"/>
        <v>0</v>
      </c>
      <c r="S210" s="11">
        <f t="shared" si="345"/>
        <v>0</v>
      </c>
      <c r="T210" s="16">
        <f t="shared" si="346"/>
        <v>9999</v>
      </c>
      <c r="V210" s="4" t="s">
        <v>18</v>
      </c>
      <c r="W210" s="16">
        <f>BD$10</f>
        <v>0</v>
      </c>
    </row>
    <row r="211" spans="1:23" x14ac:dyDescent="0.2">
      <c r="A211" s="4" t="s">
        <v>19</v>
      </c>
      <c r="B211" s="15">
        <f t="shared" si="349"/>
        <v>9999</v>
      </c>
      <c r="C211" s="11">
        <f t="shared" ref="C211" si="356">AK11-AL11</f>
        <v>0</v>
      </c>
      <c r="D211" s="11">
        <f t="shared" ref="D211" si="357">AQ11-AP11</f>
        <v>0</v>
      </c>
      <c r="E211" s="16">
        <f t="shared" si="337"/>
        <v>9999</v>
      </c>
      <c r="G211" s="4" t="s">
        <v>19</v>
      </c>
      <c r="H211" s="11">
        <f t="shared" si="338"/>
        <v>0</v>
      </c>
      <c r="I211" s="11">
        <f t="shared" si="339"/>
        <v>0</v>
      </c>
      <c r="J211" s="16">
        <f t="shared" si="340"/>
        <v>9999</v>
      </c>
      <c r="L211" s="4" t="s">
        <v>19</v>
      </c>
      <c r="M211" s="11">
        <f t="shared" si="341"/>
        <v>0</v>
      </c>
      <c r="N211" s="11">
        <f t="shared" si="342"/>
        <v>0</v>
      </c>
      <c r="O211" s="16">
        <f t="shared" si="343"/>
        <v>9999</v>
      </c>
      <c r="P211" s="13"/>
      <c r="Q211" s="4" t="s">
        <v>19</v>
      </c>
      <c r="R211" s="11">
        <f t="shared" si="344"/>
        <v>0</v>
      </c>
      <c r="S211" s="11">
        <f t="shared" si="345"/>
        <v>0</v>
      </c>
      <c r="T211" s="16">
        <f t="shared" si="346"/>
        <v>9999</v>
      </c>
      <c r="V211" s="4" t="s">
        <v>19</v>
      </c>
      <c r="W211" s="16">
        <f>BD$11</f>
        <v>0</v>
      </c>
    </row>
    <row r="212" spans="1:23" x14ac:dyDescent="0.2">
      <c r="A212" s="9" t="s">
        <v>20</v>
      </c>
      <c r="B212" s="15">
        <f t="shared" si="349"/>
        <v>9999</v>
      </c>
      <c r="C212" s="11">
        <f t="shared" ref="C212" si="358">AL12-AK12</f>
        <v>0</v>
      </c>
      <c r="D212" s="11">
        <f t="shared" ref="D212" si="359">AP12-AQ12</f>
        <v>0</v>
      </c>
      <c r="E212" s="16">
        <f t="shared" si="337"/>
        <v>9999</v>
      </c>
      <c r="G212" s="9" t="s">
        <v>20</v>
      </c>
      <c r="H212" s="11">
        <f t="shared" si="338"/>
        <v>0</v>
      </c>
      <c r="I212" s="11">
        <f t="shared" si="339"/>
        <v>0</v>
      </c>
      <c r="J212" s="16">
        <f t="shared" si="340"/>
        <v>9999</v>
      </c>
      <c r="L212" s="9" t="s">
        <v>20</v>
      </c>
      <c r="M212" s="11">
        <f t="shared" si="341"/>
        <v>0</v>
      </c>
      <c r="N212" s="11">
        <f t="shared" si="342"/>
        <v>0</v>
      </c>
      <c r="O212" s="16">
        <f t="shared" si="343"/>
        <v>9999</v>
      </c>
      <c r="P212" s="13"/>
      <c r="Q212" s="9" t="s">
        <v>20</v>
      </c>
      <c r="R212" s="11">
        <f t="shared" si="344"/>
        <v>0</v>
      </c>
      <c r="S212" s="11">
        <f t="shared" si="345"/>
        <v>0</v>
      </c>
      <c r="T212" s="16">
        <f t="shared" si="346"/>
        <v>9999</v>
      </c>
      <c r="V212" s="9" t="s">
        <v>20</v>
      </c>
      <c r="W212" s="16">
        <f>BD$12</f>
        <v>0</v>
      </c>
    </row>
    <row r="213" spans="1:23" x14ac:dyDescent="0.2">
      <c r="A213" s="9" t="s">
        <v>21</v>
      </c>
      <c r="B213" s="15">
        <f t="shared" si="349"/>
        <v>9999</v>
      </c>
      <c r="C213" s="11">
        <f t="shared" ref="C213" si="360">AK13-AL13</f>
        <v>0</v>
      </c>
      <c r="D213" s="11">
        <f t="shared" ref="D213" si="361">AQ13-AP13</f>
        <v>0</v>
      </c>
      <c r="E213" s="16">
        <f t="shared" si="337"/>
        <v>9999</v>
      </c>
      <c r="G213" s="9" t="s">
        <v>21</v>
      </c>
      <c r="H213" s="11">
        <f t="shared" si="338"/>
        <v>0</v>
      </c>
      <c r="I213" s="11">
        <f t="shared" si="339"/>
        <v>0</v>
      </c>
      <c r="J213" s="16">
        <f t="shared" si="340"/>
        <v>9999</v>
      </c>
      <c r="L213" s="9" t="s">
        <v>21</v>
      </c>
      <c r="M213" s="11">
        <f t="shared" si="341"/>
        <v>0</v>
      </c>
      <c r="N213" s="11">
        <f t="shared" si="342"/>
        <v>0</v>
      </c>
      <c r="O213" s="16">
        <f t="shared" si="343"/>
        <v>9999</v>
      </c>
      <c r="P213" s="13"/>
      <c r="Q213" s="9" t="s">
        <v>21</v>
      </c>
      <c r="R213" s="11">
        <f t="shared" si="344"/>
        <v>0</v>
      </c>
      <c r="S213" s="11">
        <f t="shared" si="345"/>
        <v>0</v>
      </c>
      <c r="T213" s="16">
        <f t="shared" si="346"/>
        <v>9999</v>
      </c>
      <c r="V213" s="9" t="s">
        <v>21</v>
      </c>
      <c r="W213" s="16">
        <f>BD$13</f>
        <v>0</v>
      </c>
    </row>
    <row r="214" spans="1:23" x14ac:dyDescent="0.2">
      <c r="A214" s="9" t="s">
        <v>22</v>
      </c>
      <c r="B214" s="15">
        <f t="shared" si="349"/>
        <v>9999</v>
      </c>
      <c r="C214" s="11">
        <f t="shared" ref="C214" si="362">AL14-AK14</f>
        <v>0</v>
      </c>
      <c r="D214" s="11">
        <f t="shared" ref="D214" si="363">AP14-AQ14</f>
        <v>0</v>
      </c>
      <c r="E214" s="16">
        <f t="shared" si="337"/>
        <v>9999</v>
      </c>
      <c r="G214" s="9" t="s">
        <v>22</v>
      </c>
      <c r="H214" s="11">
        <f t="shared" si="338"/>
        <v>0</v>
      </c>
      <c r="I214" s="11">
        <f t="shared" si="339"/>
        <v>0</v>
      </c>
      <c r="J214" s="16">
        <f t="shared" si="340"/>
        <v>9999</v>
      </c>
      <c r="L214" s="9" t="s">
        <v>22</v>
      </c>
      <c r="M214" s="11">
        <f t="shared" si="341"/>
        <v>0</v>
      </c>
      <c r="N214" s="11">
        <f t="shared" si="342"/>
        <v>0</v>
      </c>
      <c r="O214" s="16">
        <f t="shared" si="343"/>
        <v>9999</v>
      </c>
      <c r="P214" s="13"/>
      <c r="Q214" s="9" t="s">
        <v>22</v>
      </c>
      <c r="R214" s="11">
        <f t="shared" si="344"/>
        <v>0</v>
      </c>
      <c r="S214" s="11">
        <f t="shared" si="345"/>
        <v>0</v>
      </c>
      <c r="T214" s="16">
        <f t="shared" si="346"/>
        <v>9999</v>
      </c>
      <c r="V214" s="9" t="s">
        <v>22</v>
      </c>
      <c r="W214" s="16">
        <f>BD$14</f>
        <v>0</v>
      </c>
    </row>
    <row r="215" spans="1:23" x14ac:dyDescent="0.2">
      <c r="A215" s="9" t="s">
        <v>23</v>
      </c>
      <c r="B215" s="15">
        <f t="shared" si="349"/>
        <v>9999</v>
      </c>
      <c r="C215" s="11">
        <f t="shared" ref="C215" si="364">AK15-AL15</f>
        <v>0</v>
      </c>
      <c r="D215" s="11">
        <f t="shared" ref="D215" si="365">AQ15-AP15</f>
        <v>0</v>
      </c>
      <c r="E215" s="16">
        <f t="shared" si="337"/>
        <v>9999</v>
      </c>
      <c r="G215" s="9" t="s">
        <v>23</v>
      </c>
      <c r="H215" s="11">
        <f t="shared" si="338"/>
        <v>0</v>
      </c>
      <c r="I215" s="11">
        <f t="shared" si="339"/>
        <v>0</v>
      </c>
      <c r="J215" s="16">
        <f t="shared" si="340"/>
        <v>9999</v>
      </c>
      <c r="L215" s="9" t="s">
        <v>23</v>
      </c>
      <c r="M215" s="11">
        <f t="shared" si="341"/>
        <v>0</v>
      </c>
      <c r="N215" s="11">
        <f t="shared" si="342"/>
        <v>0</v>
      </c>
      <c r="O215" s="16">
        <f t="shared" si="343"/>
        <v>9999</v>
      </c>
      <c r="P215" s="13"/>
      <c r="Q215" s="9" t="s">
        <v>23</v>
      </c>
      <c r="R215" s="11">
        <f t="shared" si="344"/>
        <v>0</v>
      </c>
      <c r="S215" s="11">
        <f t="shared" si="345"/>
        <v>0</v>
      </c>
      <c r="T215" s="16">
        <f t="shared" si="346"/>
        <v>9999</v>
      </c>
      <c r="V215" s="9" t="s">
        <v>23</v>
      </c>
      <c r="W215" s="16">
        <f>BD$15</f>
        <v>0</v>
      </c>
    </row>
    <row r="216" spans="1:23" x14ac:dyDescent="0.2">
      <c r="A216" s="9" t="s">
        <v>24</v>
      </c>
      <c r="B216" s="15">
        <f t="shared" si="349"/>
        <v>9999</v>
      </c>
      <c r="C216" s="11">
        <f t="shared" ref="C216" si="366">AL16-AK16</f>
        <v>0</v>
      </c>
      <c r="D216" s="11">
        <f t="shared" ref="D216" si="367">AP16-AQ16</f>
        <v>0</v>
      </c>
      <c r="E216" s="16">
        <f t="shared" si="337"/>
        <v>9999</v>
      </c>
      <c r="G216" s="9" t="s">
        <v>24</v>
      </c>
      <c r="H216" s="11">
        <f t="shared" si="338"/>
        <v>0</v>
      </c>
      <c r="I216" s="11">
        <f t="shared" si="339"/>
        <v>0</v>
      </c>
      <c r="J216" s="16">
        <f t="shared" si="340"/>
        <v>9999</v>
      </c>
      <c r="L216" s="9" t="s">
        <v>24</v>
      </c>
      <c r="M216" s="11">
        <f t="shared" si="341"/>
        <v>0</v>
      </c>
      <c r="N216" s="11">
        <f t="shared" si="342"/>
        <v>0</v>
      </c>
      <c r="O216" s="16">
        <f t="shared" si="343"/>
        <v>9999</v>
      </c>
      <c r="P216" s="13"/>
      <c r="Q216" s="9" t="s">
        <v>24</v>
      </c>
      <c r="R216" s="11">
        <f t="shared" si="344"/>
        <v>0</v>
      </c>
      <c r="S216" s="11">
        <f t="shared" si="345"/>
        <v>0</v>
      </c>
      <c r="T216" s="16">
        <f t="shared" si="346"/>
        <v>9999</v>
      </c>
      <c r="V216" s="9" t="s">
        <v>24</v>
      </c>
      <c r="W216" s="16">
        <f>BD$16</f>
        <v>0</v>
      </c>
    </row>
    <row r="217" spans="1:23" x14ac:dyDescent="0.2">
      <c r="A217" s="4" t="s">
        <v>25</v>
      </c>
      <c r="B217" s="15">
        <f t="shared" si="349"/>
        <v>9999</v>
      </c>
      <c r="C217" s="11">
        <f t="shared" ref="C217" si="368">AK17-AL17</f>
        <v>0</v>
      </c>
      <c r="D217" s="11">
        <f t="shared" ref="D217" si="369">AQ17-AP17</f>
        <v>0</v>
      </c>
      <c r="E217" s="16">
        <f t="shared" si="337"/>
        <v>9999</v>
      </c>
      <c r="G217" s="4" t="s">
        <v>25</v>
      </c>
      <c r="H217" s="11">
        <f t="shared" si="338"/>
        <v>0</v>
      </c>
      <c r="I217" s="11">
        <f t="shared" si="339"/>
        <v>0</v>
      </c>
      <c r="J217" s="16">
        <f t="shared" si="340"/>
        <v>9999</v>
      </c>
      <c r="L217" s="4" t="s">
        <v>25</v>
      </c>
      <c r="M217" s="11">
        <f t="shared" si="341"/>
        <v>0</v>
      </c>
      <c r="N217" s="11">
        <f t="shared" si="342"/>
        <v>0</v>
      </c>
      <c r="O217" s="16">
        <f t="shared" si="343"/>
        <v>9999</v>
      </c>
      <c r="P217" s="13"/>
      <c r="Q217" s="4" t="s">
        <v>25</v>
      </c>
      <c r="R217" s="11">
        <f t="shared" si="344"/>
        <v>0</v>
      </c>
      <c r="S217" s="11">
        <f t="shared" si="345"/>
        <v>0</v>
      </c>
      <c r="T217" s="16">
        <f t="shared" si="346"/>
        <v>9999</v>
      </c>
      <c r="V217" s="4" t="s">
        <v>25</v>
      </c>
      <c r="W217" s="16">
        <f>BD$17</f>
        <v>0</v>
      </c>
    </row>
    <row r="218" spans="1:23" x14ac:dyDescent="0.2">
      <c r="A218" s="4" t="s">
        <v>26</v>
      </c>
      <c r="B218" s="15">
        <f t="shared" si="349"/>
        <v>9999</v>
      </c>
      <c r="C218" s="11">
        <f t="shared" ref="C218" si="370">AL18-AK18</f>
        <v>0</v>
      </c>
      <c r="D218" s="11">
        <f t="shared" ref="D218" si="371">AP18-AQ18</f>
        <v>0</v>
      </c>
      <c r="E218" s="16">
        <f t="shared" si="337"/>
        <v>9999</v>
      </c>
      <c r="G218" s="4" t="s">
        <v>26</v>
      </c>
      <c r="H218" s="11">
        <f t="shared" si="338"/>
        <v>0</v>
      </c>
      <c r="I218" s="11">
        <f t="shared" si="339"/>
        <v>0</v>
      </c>
      <c r="J218" s="16">
        <f t="shared" si="340"/>
        <v>9999</v>
      </c>
      <c r="L218" s="4" t="s">
        <v>26</v>
      </c>
      <c r="M218" s="11">
        <f t="shared" si="341"/>
        <v>0</v>
      </c>
      <c r="N218" s="11">
        <f t="shared" si="342"/>
        <v>0</v>
      </c>
      <c r="O218" s="16">
        <f t="shared" si="343"/>
        <v>9999</v>
      </c>
      <c r="P218" s="13"/>
      <c r="Q218" s="4" t="s">
        <v>26</v>
      </c>
      <c r="R218" s="11">
        <f t="shared" si="344"/>
        <v>0</v>
      </c>
      <c r="S218" s="11">
        <f t="shared" si="345"/>
        <v>0</v>
      </c>
      <c r="T218" s="16">
        <f t="shared" si="346"/>
        <v>9999</v>
      </c>
      <c r="V218" s="4" t="s">
        <v>26</v>
      </c>
      <c r="W218" s="16">
        <f>BD$18</f>
        <v>0</v>
      </c>
    </row>
    <row r="219" spans="1:23" x14ac:dyDescent="0.2">
      <c r="A219" s="4" t="s">
        <v>27</v>
      </c>
      <c r="B219" s="15">
        <f t="shared" si="349"/>
        <v>9999</v>
      </c>
      <c r="C219" s="11">
        <f t="shared" ref="C219" si="372">AK19-AL19</f>
        <v>0</v>
      </c>
      <c r="D219" s="11">
        <f t="shared" ref="D219" si="373">AQ19-AP19</f>
        <v>0</v>
      </c>
      <c r="E219" s="16">
        <f t="shared" si="337"/>
        <v>9999</v>
      </c>
      <c r="G219" s="4" t="s">
        <v>27</v>
      </c>
      <c r="H219" s="11">
        <f t="shared" si="338"/>
        <v>0</v>
      </c>
      <c r="I219" s="11">
        <f t="shared" si="339"/>
        <v>0</v>
      </c>
      <c r="J219" s="16">
        <f t="shared" si="340"/>
        <v>9999</v>
      </c>
      <c r="L219" s="4" t="s">
        <v>27</v>
      </c>
      <c r="M219" s="11">
        <f t="shared" si="341"/>
        <v>0</v>
      </c>
      <c r="N219" s="11">
        <f t="shared" si="342"/>
        <v>0</v>
      </c>
      <c r="O219" s="16">
        <f t="shared" si="343"/>
        <v>9999</v>
      </c>
      <c r="P219" s="13"/>
      <c r="Q219" s="4" t="s">
        <v>27</v>
      </c>
      <c r="R219" s="11">
        <f t="shared" si="344"/>
        <v>0</v>
      </c>
      <c r="S219" s="11">
        <f t="shared" si="345"/>
        <v>0</v>
      </c>
      <c r="T219" s="16">
        <f t="shared" si="346"/>
        <v>9999</v>
      </c>
      <c r="V219" s="4" t="s">
        <v>27</v>
      </c>
      <c r="W219" s="16">
        <f>BD$19</f>
        <v>0</v>
      </c>
    </row>
    <row r="220" spans="1:23" x14ac:dyDescent="0.2">
      <c r="A220" s="9" t="s">
        <v>28</v>
      </c>
      <c r="B220" s="15">
        <f t="shared" si="349"/>
        <v>9999</v>
      </c>
      <c r="C220" s="11">
        <f t="shared" ref="C220" si="374">AL20-AK20</f>
        <v>0</v>
      </c>
      <c r="D220" s="11">
        <f t="shared" ref="D220" si="375">AP20-AQ20</f>
        <v>0</v>
      </c>
      <c r="E220" s="16">
        <f t="shared" si="337"/>
        <v>9999</v>
      </c>
      <c r="G220" s="9" t="s">
        <v>28</v>
      </c>
      <c r="H220" s="11">
        <f t="shared" si="338"/>
        <v>0</v>
      </c>
      <c r="I220" s="11">
        <f t="shared" si="339"/>
        <v>0</v>
      </c>
      <c r="J220" s="16">
        <f t="shared" si="340"/>
        <v>9999</v>
      </c>
      <c r="L220" s="9" t="s">
        <v>28</v>
      </c>
      <c r="M220" s="11">
        <f t="shared" si="341"/>
        <v>0</v>
      </c>
      <c r="N220" s="11">
        <f t="shared" si="342"/>
        <v>0</v>
      </c>
      <c r="O220" s="16">
        <f t="shared" si="343"/>
        <v>9999</v>
      </c>
      <c r="P220" s="13"/>
      <c r="Q220" s="9" t="s">
        <v>28</v>
      </c>
      <c r="R220" s="11">
        <f t="shared" si="344"/>
        <v>0</v>
      </c>
      <c r="S220" s="11">
        <f t="shared" si="345"/>
        <v>0</v>
      </c>
      <c r="T220" s="16">
        <f t="shared" si="346"/>
        <v>9999</v>
      </c>
      <c r="V220" s="9" t="s">
        <v>28</v>
      </c>
      <c r="W220" s="16">
        <f>BD$20</f>
        <v>0</v>
      </c>
    </row>
    <row r="221" spans="1:23" x14ac:dyDescent="0.2">
      <c r="A221" s="9" t="s">
        <v>29</v>
      </c>
      <c r="B221" s="15">
        <f t="shared" si="349"/>
        <v>9999</v>
      </c>
      <c r="C221" s="11">
        <f t="shared" ref="C221" si="376">AK21-AL21</f>
        <v>0</v>
      </c>
      <c r="D221" s="11">
        <f t="shared" ref="D221" si="377">AQ21-AP21</f>
        <v>0</v>
      </c>
      <c r="E221" s="16">
        <f t="shared" si="337"/>
        <v>9999</v>
      </c>
      <c r="G221" s="9" t="s">
        <v>29</v>
      </c>
      <c r="H221" s="11">
        <f t="shared" si="338"/>
        <v>0</v>
      </c>
      <c r="I221" s="11">
        <f t="shared" si="339"/>
        <v>0</v>
      </c>
      <c r="J221" s="16">
        <f t="shared" si="340"/>
        <v>9999</v>
      </c>
      <c r="L221" s="9" t="s">
        <v>29</v>
      </c>
      <c r="M221" s="11">
        <f t="shared" si="341"/>
        <v>0</v>
      </c>
      <c r="N221" s="11">
        <f t="shared" si="342"/>
        <v>0</v>
      </c>
      <c r="O221" s="16">
        <f t="shared" si="343"/>
        <v>9999</v>
      </c>
      <c r="P221" s="13"/>
      <c r="Q221" s="9" t="s">
        <v>29</v>
      </c>
      <c r="R221" s="11">
        <f t="shared" si="344"/>
        <v>0</v>
      </c>
      <c r="S221" s="11">
        <f t="shared" si="345"/>
        <v>0</v>
      </c>
      <c r="T221" s="16">
        <f t="shared" si="346"/>
        <v>9999</v>
      </c>
      <c r="V221" s="9" t="s">
        <v>29</v>
      </c>
      <c r="W221" s="16">
        <f>BD$21</f>
        <v>0</v>
      </c>
    </row>
    <row r="222" spans="1:23" x14ac:dyDescent="0.2">
      <c r="A222" s="9" t="s">
        <v>30</v>
      </c>
      <c r="B222" s="15">
        <f t="shared" si="349"/>
        <v>9999</v>
      </c>
      <c r="C222" s="11">
        <f t="shared" ref="C222" si="378">AL22-AK22</f>
        <v>0</v>
      </c>
      <c r="D222" s="11">
        <f t="shared" ref="D222" si="379">AP22-AQ22</f>
        <v>0</v>
      </c>
      <c r="E222" s="16">
        <f t="shared" si="337"/>
        <v>9999</v>
      </c>
      <c r="G222" s="9" t="s">
        <v>30</v>
      </c>
      <c r="H222" s="11">
        <f t="shared" si="338"/>
        <v>0</v>
      </c>
      <c r="I222" s="11">
        <f t="shared" si="339"/>
        <v>0</v>
      </c>
      <c r="J222" s="16">
        <f t="shared" si="340"/>
        <v>9999</v>
      </c>
      <c r="L222" s="9" t="s">
        <v>30</v>
      </c>
      <c r="M222" s="11">
        <f t="shared" si="341"/>
        <v>0</v>
      </c>
      <c r="N222" s="11">
        <f t="shared" si="342"/>
        <v>0</v>
      </c>
      <c r="O222" s="16">
        <f t="shared" si="343"/>
        <v>9999</v>
      </c>
      <c r="P222" s="13"/>
      <c r="Q222" s="9" t="s">
        <v>30</v>
      </c>
      <c r="R222" s="11">
        <f t="shared" si="344"/>
        <v>0</v>
      </c>
      <c r="S222" s="11">
        <f t="shared" si="345"/>
        <v>0</v>
      </c>
      <c r="T222" s="16">
        <f t="shared" si="346"/>
        <v>9999</v>
      </c>
      <c r="V222" s="9" t="s">
        <v>30</v>
      </c>
      <c r="W222" s="16">
        <f>BD$22</f>
        <v>0</v>
      </c>
    </row>
    <row r="223" spans="1:23" x14ac:dyDescent="0.2">
      <c r="A223" s="9" t="s">
        <v>31</v>
      </c>
      <c r="B223" s="15">
        <f t="shared" si="349"/>
        <v>9999</v>
      </c>
      <c r="C223" s="11">
        <f t="shared" ref="C223" si="380">AK23-AL23</f>
        <v>0</v>
      </c>
      <c r="D223" s="11">
        <f t="shared" ref="D223" si="381">AQ23-AP23</f>
        <v>0</v>
      </c>
      <c r="E223" s="16">
        <f t="shared" si="337"/>
        <v>9999</v>
      </c>
      <c r="G223" s="9" t="s">
        <v>31</v>
      </c>
      <c r="H223" s="11">
        <f t="shared" si="338"/>
        <v>0</v>
      </c>
      <c r="I223" s="11">
        <f t="shared" si="339"/>
        <v>0</v>
      </c>
      <c r="J223" s="16">
        <f t="shared" si="340"/>
        <v>9999</v>
      </c>
      <c r="L223" s="9" t="s">
        <v>31</v>
      </c>
      <c r="M223" s="11">
        <f t="shared" si="341"/>
        <v>0</v>
      </c>
      <c r="N223" s="11">
        <f t="shared" si="342"/>
        <v>0</v>
      </c>
      <c r="O223" s="16">
        <f t="shared" si="343"/>
        <v>9999</v>
      </c>
      <c r="P223" s="13"/>
      <c r="Q223" s="9" t="s">
        <v>31</v>
      </c>
      <c r="R223" s="11">
        <f t="shared" si="344"/>
        <v>0</v>
      </c>
      <c r="S223" s="11">
        <f t="shared" si="345"/>
        <v>0</v>
      </c>
      <c r="T223" s="16">
        <f t="shared" si="346"/>
        <v>9999</v>
      </c>
      <c r="V223" s="9" t="s">
        <v>31</v>
      </c>
      <c r="W223" s="16">
        <f>BD$23</f>
        <v>0</v>
      </c>
    </row>
    <row r="224" spans="1:23" x14ac:dyDescent="0.2">
      <c r="A224" s="10" t="s">
        <v>32</v>
      </c>
      <c r="B224" s="17">
        <f t="shared" si="349"/>
        <v>9999</v>
      </c>
      <c r="C224" s="12">
        <f t="shared" ref="C224" si="382">AL24-AK24</f>
        <v>0</v>
      </c>
      <c r="D224" s="12">
        <f t="shared" ref="D224" si="383">AP24-AQ24</f>
        <v>0</v>
      </c>
      <c r="E224" s="18">
        <f t="shared" si="337"/>
        <v>9999</v>
      </c>
      <c r="G224" s="10" t="s">
        <v>32</v>
      </c>
      <c r="H224" s="12">
        <f t="shared" si="338"/>
        <v>0</v>
      </c>
      <c r="I224" s="12">
        <f t="shared" si="339"/>
        <v>0</v>
      </c>
      <c r="J224" s="18">
        <f t="shared" si="340"/>
        <v>9999</v>
      </c>
      <c r="L224" s="10" t="s">
        <v>32</v>
      </c>
      <c r="M224" s="12">
        <f t="shared" si="341"/>
        <v>0</v>
      </c>
      <c r="N224" s="12">
        <f t="shared" si="342"/>
        <v>0</v>
      </c>
      <c r="O224" s="18">
        <f t="shared" si="343"/>
        <v>9999</v>
      </c>
      <c r="P224" s="13"/>
      <c r="Q224" s="10" t="s">
        <v>32</v>
      </c>
      <c r="R224" s="12">
        <f t="shared" si="344"/>
        <v>0</v>
      </c>
      <c r="S224" s="12">
        <f t="shared" si="345"/>
        <v>0</v>
      </c>
      <c r="T224" s="18">
        <f t="shared" si="346"/>
        <v>9999</v>
      </c>
      <c r="V224" s="10" t="s">
        <v>32</v>
      </c>
      <c r="W224" s="18">
        <f>BD$24</f>
        <v>0</v>
      </c>
    </row>
    <row r="225" spans="1:23" x14ac:dyDescent="0.2">
      <c r="P225" s="13"/>
    </row>
    <row r="226" spans="1:23" x14ac:dyDescent="0.2">
      <c r="A226" s="14" t="s">
        <v>390</v>
      </c>
      <c r="E226" s="8"/>
      <c r="G226" s="26"/>
    </row>
    <row r="227" spans="1:23" x14ac:dyDescent="0.2">
      <c r="A227" s="28" t="s">
        <v>61</v>
      </c>
      <c r="B227" s="2"/>
      <c r="C227" s="2"/>
      <c r="D227" s="2"/>
      <c r="E227" s="3"/>
      <c r="G227" s="27" t="s">
        <v>60</v>
      </c>
      <c r="H227" s="2"/>
      <c r="I227" s="2"/>
      <c r="J227" s="3"/>
      <c r="L227" s="1" t="s">
        <v>2</v>
      </c>
      <c r="M227" s="2"/>
      <c r="N227" s="2"/>
      <c r="O227" s="3"/>
      <c r="P227" s="5"/>
      <c r="Q227" s="28" t="s">
        <v>63</v>
      </c>
      <c r="R227" s="2"/>
      <c r="S227" s="2"/>
      <c r="T227" s="3"/>
      <c r="V227" s="28" t="s">
        <v>320</v>
      </c>
      <c r="W227" s="36"/>
    </row>
    <row r="228" spans="1:23" x14ac:dyDescent="0.2">
      <c r="A228" s="4"/>
      <c r="B228" s="5"/>
      <c r="C228" s="5"/>
      <c r="D228" s="5"/>
      <c r="E228" s="6"/>
      <c r="G228" s="4"/>
      <c r="H228" s="5"/>
      <c r="I228" s="5"/>
      <c r="J228" s="6"/>
      <c r="L228" s="4"/>
      <c r="M228" s="5"/>
      <c r="N228" s="5"/>
      <c r="O228" s="6"/>
      <c r="P228" s="5"/>
      <c r="Q228" s="4"/>
      <c r="R228" s="5"/>
      <c r="S228" s="5"/>
      <c r="T228" s="6"/>
      <c r="V228" s="4"/>
      <c r="W228" s="6"/>
    </row>
    <row r="229" spans="1:23" x14ac:dyDescent="0.2">
      <c r="A229" s="4"/>
      <c r="B229" s="42" t="s">
        <v>384</v>
      </c>
      <c r="C229" s="5"/>
      <c r="D229" s="5"/>
      <c r="E229" s="16" t="s">
        <v>3</v>
      </c>
      <c r="G229" s="4"/>
      <c r="H229" s="5"/>
      <c r="I229" s="5"/>
      <c r="J229" s="16" t="s">
        <v>4</v>
      </c>
      <c r="L229" s="4"/>
      <c r="M229" s="5"/>
      <c r="N229" s="5"/>
      <c r="O229" s="16" t="s">
        <v>4</v>
      </c>
      <c r="P229" s="11"/>
      <c r="Q229" s="4"/>
      <c r="R229" s="5"/>
      <c r="S229" s="5"/>
      <c r="T229" s="16" t="s">
        <v>4</v>
      </c>
      <c r="V229" s="4"/>
      <c r="W229" s="6"/>
    </row>
    <row r="230" spans="1:23" x14ac:dyDescent="0.2">
      <c r="A230" s="4" t="s">
        <v>13</v>
      </c>
      <c r="B230" s="15">
        <f>IF(OR(AR5="",E230=9999),9999,IF(AND(AR5&lt;&gt;"gz",AR5&lt;&gt;"z"),9999,AR5))</f>
        <v>9999</v>
      </c>
      <c r="C230" s="11">
        <f>AP5-AQ5</f>
        <v>0</v>
      </c>
      <c r="D230" s="11">
        <f>AV5-AU5</f>
        <v>0</v>
      </c>
      <c r="E230" s="16">
        <f>IF(ISERROR(C230-D230),9999,IF(OR(C230=0,D230=0),9999,IF(AR5=AW5,(C230+D230)/10,(C230+D230+1000)/10)))</f>
        <v>9999</v>
      </c>
      <c r="G230" s="4" t="s">
        <v>13</v>
      </c>
      <c r="H230" s="11">
        <f>AT5</f>
        <v>0</v>
      </c>
      <c r="I230" s="11">
        <f>AO5</f>
        <v>0</v>
      </c>
      <c r="J230" s="16">
        <f>IF(ISERROR(I230-H230),9999,IF(OR(H230=0,I230=0),9999,H230-I230))</f>
        <v>9999</v>
      </c>
      <c r="L230" s="4" t="s">
        <v>13</v>
      </c>
      <c r="M230" s="11">
        <f>AX5</f>
        <v>0</v>
      </c>
      <c r="N230" s="11">
        <f>AT5</f>
        <v>0</v>
      </c>
      <c r="O230" s="16">
        <f>IF(ISERROR(M230-N230),9999,IF(OR(M230=0,N230=0),9999,IF(SUM(M230-N230)&lt;=0,9999,SUM(M230-N230))))</f>
        <v>9999</v>
      </c>
      <c r="P230" s="13"/>
      <c r="Q230" s="4" t="s">
        <v>13</v>
      </c>
      <c r="R230" s="11">
        <f>AX5</f>
        <v>0</v>
      </c>
      <c r="S230" s="11">
        <f>AO5</f>
        <v>0</v>
      </c>
      <c r="T230" s="16">
        <f>IF(ISERROR(R230-S230),9999,IF(OR(R230=0,S230=0),9999,IF(SUM(R230-S230)&lt;=0,9999,SUM(R230-S230))))</f>
        <v>9999</v>
      </c>
      <c r="V230" s="4" t="s">
        <v>13</v>
      </c>
      <c r="W230" s="16">
        <f>BD$5</f>
        <v>0</v>
      </c>
    </row>
    <row r="231" spans="1:23" x14ac:dyDescent="0.2">
      <c r="A231" s="4" t="s">
        <v>14</v>
      </c>
      <c r="B231" s="15">
        <f t="shared" ref="B231:B232" si="384">IF(OR(AR6="",E231=9999),9999,IF(AND(AR6&lt;&gt;"gz",AR6&lt;&gt;"z"),9999,AR6))</f>
        <v>9999</v>
      </c>
      <c r="C231" s="11">
        <f>AQ6-AP6</f>
        <v>0</v>
      </c>
      <c r="D231" s="11">
        <f>AU6-AV6</f>
        <v>0</v>
      </c>
      <c r="E231" s="16">
        <f t="shared" ref="E231:E249" si="385">IF(ISERROR(C231-D231),9999,IF(OR(C231=0,D231=0),9999,IF(AR6=AW6,(C231+D231)/10,(C231+D231+1000)/10)))</f>
        <v>9999</v>
      </c>
      <c r="G231" s="4" t="s">
        <v>14</v>
      </c>
      <c r="H231" s="11">
        <f t="shared" ref="H231:H249" si="386">AT6</f>
        <v>0</v>
      </c>
      <c r="I231" s="11">
        <f t="shared" ref="I231:I249" si="387">AO6</f>
        <v>0</v>
      </c>
      <c r="J231" s="16">
        <f t="shared" ref="J231:J249" si="388">IF(ISERROR(I231-H231),9999,IF(OR(H231=0,I231=0),9999,H231-I231))</f>
        <v>9999</v>
      </c>
      <c r="L231" s="4" t="s">
        <v>14</v>
      </c>
      <c r="M231" s="11">
        <f t="shared" ref="M231:M249" si="389">AX6</f>
        <v>0</v>
      </c>
      <c r="N231" s="11">
        <f t="shared" ref="N231:N249" si="390">AT6</f>
        <v>0</v>
      </c>
      <c r="O231" s="16">
        <f t="shared" ref="O231:O249" si="391">IF(ISERROR(M231-N231),9999,IF(OR(M231=0,N231=0),9999,IF(SUM(M231-N231)&lt;=0,9999,SUM(M231-N231))))</f>
        <v>9999</v>
      </c>
      <c r="P231" s="13"/>
      <c r="Q231" s="4" t="s">
        <v>14</v>
      </c>
      <c r="R231" s="11">
        <f t="shared" ref="R231:R249" si="392">AX6</f>
        <v>0</v>
      </c>
      <c r="S231" s="11">
        <f t="shared" ref="S231:S249" si="393">AO6</f>
        <v>0</v>
      </c>
      <c r="T231" s="16">
        <f t="shared" ref="T231:T249" si="394">IF(ISERROR(R231-S231),9999,IF(OR(R231=0,S231=0),9999,IF(SUM(R231-S231)&lt;=0,9999,SUM(R231-S231))))</f>
        <v>9999</v>
      </c>
      <c r="V231" s="4" t="s">
        <v>14</v>
      </c>
      <c r="W231" s="16">
        <f>BD$6</f>
        <v>0</v>
      </c>
    </row>
    <row r="232" spans="1:23" x14ac:dyDescent="0.2">
      <c r="A232" s="4" t="s">
        <v>15</v>
      </c>
      <c r="B232" s="15">
        <f t="shared" si="384"/>
        <v>9999</v>
      </c>
      <c r="C232" s="11">
        <f t="shared" ref="C232" si="395">AP7-AQ7</f>
        <v>0</v>
      </c>
      <c r="D232" s="11">
        <f t="shared" ref="D232" si="396">AV7-AU7</f>
        <v>0</v>
      </c>
      <c r="E232" s="16">
        <f t="shared" si="385"/>
        <v>9999</v>
      </c>
      <c r="G232" s="4" t="s">
        <v>15</v>
      </c>
      <c r="H232" s="11">
        <f t="shared" si="386"/>
        <v>0</v>
      </c>
      <c r="I232" s="11">
        <f t="shared" si="387"/>
        <v>0</v>
      </c>
      <c r="J232" s="16">
        <f t="shared" si="388"/>
        <v>9999</v>
      </c>
      <c r="L232" s="4" t="s">
        <v>15</v>
      </c>
      <c r="M232" s="11">
        <f t="shared" si="389"/>
        <v>0</v>
      </c>
      <c r="N232" s="11">
        <f t="shared" si="390"/>
        <v>0</v>
      </c>
      <c r="O232" s="16">
        <f t="shared" si="391"/>
        <v>9999</v>
      </c>
      <c r="P232" s="13"/>
      <c r="Q232" s="4" t="s">
        <v>15</v>
      </c>
      <c r="R232" s="11">
        <f t="shared" si="392"/>
        <v>0</v>
      </c>
      <c r="S232" s="11">
        <f t="shared" si="393"/>
        <v>0</v>
      </c>
      <c r="T232" s="16">
        <f t="shared" si="394"/>
        <v>9999</v>
      </c>
      <c r="V232" s="4" t="s">
        <v>15</v>
      </c>
      <c r="W232" s="16">
        <f>BD$7</f>
        <v>0</v>
      </c>
    </row>
    <row r="233" spans="1:23" x14ac:dyDescent="0.2">
      <c r="A233" s="4" t="s">
        <v>16</v>
      </c>
      <c r="B233" s="15">
        <f t="shared" ref="B233:B249" si="397">IF(OR(AR8="",E233=9999),9999,IF(AND(AR8&lt;&gt;"gz",AR8&lt;&gt;"z"),9999,AR8))</f>
        <v>9999</v>
      </c>
      <c r="C233" s="11">
        <f t="shared" ref="C233" si="398">AQ8-AP8</f>
        <v>0</v>
      </c>
      <c r="D233" s="11">
        <f t="shared" ref="D233" si="399">AU8-AV8</f>
        <v>0</v>
      </c>
      <c r="E233" s="16">
        <f t="shared" si="385"/>
        <v>9999</v>
      </c>
      <c r="G233" s="4" t="s">
        <v>16</v>
      </c>
      <c r="H233" s="11">
        <f t="shared" si="386"/>
        <v>0</v>
      </c>
      <c r="I233" s="11">
        <f t="shared" si="387"/>
        <v>0</v>
      </c>
      <c r="J233" s="16">
        <f t="shared" si="388"/>
        <v>9999</v>
      </c>
      <c r="L233" s="4" t="s">
        <v>16</v>
      </c>
      <c r="M233" s="11">
        <f t="shared" si="389"/>
        <v>0</v>
      </c>
      <c r="N233" s="11">
        <f t="shared" si="390"/>
        <v>0</v>
      </c>
      <c r="O233" s="16">
        <f t="shared" si="391"/>
        <v>9999</v>
      </c>
      <c r="P233" s="13"/>
      <c r="Q233" s="4" t="s">
        <v>16</v>
      </c>
      <c r="R233" s="11">
        <f t="shared" si="392"/>
        <v>0</v>
      </c>
      <c r="S233" s="11">
        <f t="shared" si="393"/>
        <v>0</v>
      </c>
      <c r="T233" s="16">
        <f t="shared" si="394"/>
        <v>9999</v>
      </c>
      <c r="V233" s="4" t="s">
        <v>16</v>
      </c>
      <c r="W233" s="16">
        <f>BD$8</f>
        <v>0</v>
      </c>
    </row>
    <row r="234" spans="1:23" x14ac:dyDescent="0.2">
      <c r="A234" s="4" t="s">
        <v>17</v>
      </c>
      <c r="B234" s="15">
        <f t="shared" si="397"/>
        <v>9999</v>
      </c>
      <c r="C234" s="11">
        <f t="shared" ref="C234" si="400">AP9-AQ9</f>
        <v>0</v>
      </c>
      <c r="D234" s="11">
        <f t="shared" ref="D234" si="401">AV9-AU9</f>
        <v>0</v>
      </c>
      <c r="E234" s="16">
        <f t="shared" si="385"/>
        <v>9999</v>
      </c>
      <c r="G234" s="4" t="s">
        <v>17</v>
      </c>
      <c r="H234" s="11">
        <f t="shared" si="386"/>
        <v>0</v>
      </c>
      <c r="I234" s="11">
        <f t="shared" si="387"/>
        <v>0</v>
      </c>
      <c r="J234" s="16">
        <f t="shared" si="388"/>
        <v>9999</v>
      </c>
      <c r="L234" s="4" t="s">
        <v>17</v>
      </c>
      <c r="M234" s="11">
        <f t="shared" si="389"/>
        <v>0</v>
      </c>
      <c r="N234" s="11">
        <f t="shared" si="390"/>
        <v>0</v>
      </c>
      <c r="O234" s="16">
        <f t="shared" si="391"/>
        <v>9999</v>
      </c>
      <c r="P234" s="13"/>
      <c r="Q234" s="4" t="s">
        <v>17</v>
      </c>
      <c r="R234" s="11">
        <f t="shared" si="392"/>
        <v>0</v>
      </c>
      <c r="S234" s="11">
        <f t="shared" si="393"/>
        <v>0</v>
      </c>
      <c r="T234" s="16">
        <f t="shared" si="394"/>
        <v>9999</v>
      </c>
      <c r="V234" s="4" t="s">
        <v>17</v>
      </c>
      <c r="W234" s="16">
        <f>BD$9</f>
        <v>0</v>
      </c>
    </row>
    <row r="235" spans="1:23" x14ac:dyDescent="0.2">
      <c r="A235" s="4" t="s">
        <v>18</v>
      </c>
      <c r="B235" s="15">
        <f t="shared" si="397"/>
        <v>9999</v>
      </c>
      <c r="C235" s="11">
        <f t="shared" ref="C235" si="402">AQ10-AP10</f>
        <v>0</v>
      </c>
      <c r="D235" s="11">
        <f t="shared" ref="D235" si="403">AU10-AV10</f>
        <v>0</v>
      </c>
      <c r="E235" s="16">
        <f t="shared" si="385"/>
        <v>9999</v>
      </c>
      <c r="G235" s="4" t="s">
        <v>18</v>
      </c>
      <c r="H235" s="11">
        <f t="shared" si="386"/>
        <v>0</v>
      </c>
      <c r="I235" s="11">
        <f t="shared" si="387"/>
        <v>0</v>
      </c>
      <c r="J235" s="16">
        <f t="shared" si="388"/>
        <v>9999</v>
      </c>
      <c r="L235" s="4" t="s">
        <v>18</v>
      </c>
      <c r="M235" s="11">
        <f t="shared" si="389"/>
        <v>0</v>
      </c>
      <c r="N235" s="11">
        <f t="shared" si="390"/>
        <v>0</v>
      </c>
      <c r="O235" s="16">
        <f t="shared" si="391"/>
        <v>9999</v>
      </c>
      <c r="P235" s="13"/>
      <c r="Q235" s="4" t="s">
        <v>18</v>
      </c>
      <c r="R235" s="11">
        <f t="shared" si="392"/>
        <v>0</v>
      </c>
      <c r="S235" s="11">
        <f t="shared" si="393"/>
        <v>0</v>
      </c>
      <c r="T235" s="16">
        <f t="shared" si="394"/>
        <v>9999</v>
      </c>
      <c r="V235" s="4" t="s">
        <v>18</v>
      </c>
      <c r="W235" s="16">
        <f>BD$10</f>
        <v>0</v>
      </c>
    </row>
    <row r="236" spans="1:23" x14ac:dyDescent="0.2">
      <c r="A236" s="4" t="s">
        <v>19</v>
      </c>
      <c r="B236" s="15">
        <f t="shared" si="397"/>
        <v>9999</v>
      </c>
      <c r="C236" s="11">
        <f t="shared" ref="C236" si="404">AP11-AQ11</f>
        <v>0</v>
      </c>
      <c r="D236" s="11">
        <f t="shared" ref="D236" si="405">AV11-AU11</f>
        <v>0</v>
      </c>
      <c r="E236" s="16">
        <f t="shared" si="385"/>
        <v>9999</v>
      </c>
      <c r="G236" s="4" t="s">
        <v>19</v>
      </c>
      <c r="H236" s="11">
        <f t="shared" si="386"/>
        <v>0</v>
      </c>
      <c r="I236" s="11">
        <f t="shared" si="387"/>
        <v>0</v>
      </c>
      <c r="J236" s="16">
        <f t="shared" si="388"/>
        <v>9999</v>
      </c>
      <c r="L236" s="4" t="s">
        <v>19</v>
      </c>
      <c r="M236" s="11">
        <f t="shared" si="389"/>
        <v>0</v>
      </c>
      <c r="N236" s="11">
        <f t="shared" si="390"/>
        <v>0</v>
      </c>
      <c r="O236" s="16">
        <f t="shared" si="391"/>
        <v>9999</v>
      </c>
      <c r="P236" s="13"/>
      <c r="Q236" s="4" t="s">
        <v>19</v>
      </c>
      <c r="R236" s="11">
        <f t="shared" si="392"/>
        <v>0</v>
      </c>
      <c r="S236" s="11">
        <f t="shared" si="393"/>
        <v>0</v>
      </c>
      <c r="T236" s="16">
        <f t="shared" si="394"/>
        <v>9999</v>
      </c>
      <c r="V236" s="4" t="s">
        <v>19</v>
      </c>
      <c r="W236" s="16">
        <f>BD$11</f>
        <v>0</v>
      </c>
    </row>
    <row r="237" spans="1:23" x14ac:dyDescent="0.2">
      <c r="A237" s="9" t="s">
        <v>20</v>
      </c>
      <c r="B237" s="15">
        <f t="shared" si="397"/>
        <v>9999</v>
      </c>
      <c r="C237" s="11">
        <f t="shared" ref="C237" si="406">AQ12-AP12</f>
        <v>0</v>
      </c>
      <c r="D237" s="11">
        <f t="shared" ref="D237" si="407">AU12-AV12</f>
        <v>0</v>
      </c>
      <c r="E237" s="16">
        <f t="shared" si="385"/>
        <v>9999</v>
      </c>
      <c r="G237" s="9" t="s">
        <v>20</v>
      </c>
      <c r="H237" s="11">
        <f t="shared" si="386"/>
        <v>0</v>
      </c>
      <c r="I237" s="11">
        <f t="shared" si="387"/>
        <v>0</v>
      </c>
      <c r="J237" s="16">
        <f t="shared" si="388"/>
        <v>9999</v>
      </c>
      <c r="L237" s="9" t="s">
        <v>20</v>
      </c>
      <c r="M237" s="11">
        <f t="shared" si="389"/>
        <v>0</v>
      </c>
      <c r="N237" s="11">
        <f t="shared" si="390"/>
        <v>0</v>
      </c>
      <c r="O237" s="16">
        <f t="shared" si="391"/>
        <v>9999</v>
      </c>
      <c r="P237" s="13"/>
      <c r="Q237" s="9" t="s">
        <v>20</v>
      </c>
      <c r="R237" s="11">
        <f t="shared" si="392"/>
        <v>0</v>
      </c>
      <c r="S237" s="11">
        <f t="shared" si="393"/>
        <v>0</v>
      </c>
      <c r="T237" s="16">
        <f t="shared" si="394"/>
        <v>9999</v>
      </c>
      <c r="V237" s="9" t="s">
        <v>20</v>
      </c>
      <c r="W237" s="16">
        <f>BD$12</f>
        <v>0</v>
      </c>
    </row>
    <row r="238" spans="1:23" x14ac:dyDescent="0.2">
      <c r="A238" s="9" t="s">
        <v>21</v>
      </c>
      <c r="B238" s="15">
        <f t="shared" si="397"/>
        <v>9999</v>
      </c>
      <c r="C238" s="11">
        <f t="shared" ref="C238" si="408">AP13-AQ13</f>
        <v>0</v>
      </c>
      <c r="D238" s="11">
        <f t="shared" ref="D238" si="409">AV13-AU13</f>
        <v>0</v>
      </c>
      <c r="E238" s="16">
        <f t="shared" si="385"/>
        <v>9999</v>
      </c>
      <c r="G238" s="9" t="s">
        <v>21</v>
      </c>
      <c r="H238" s="11">
        <f t="shared" si="386"/>
        <v>0</v>
      </c>
      <c r="I238" s="11">
        <f t="shared" si="387"/>
        <v>0</v>
      </c>
      <c r="J238" s="16">
        <f t="shared" si="388"/>
        <v>9999</v>
      </c>
      <c r="L238" s="9" t="s">
        <v>21</v>
      </c>
      <c r="M238" s="11">
        <f t="shared" si="389"/>
        <v>0</v>
      </c>
      <c r="N238" s="11">
        <f t="shared" si="390"/>
        <v>0</v>
      </c>
      <c r="O238" s="16">
        <f t="shared" si="391"/>
        <v>9999</v>
      </c>
      <c r="P238" s="13"/>
      <c r="Q238" s="9" t="s">
        <v>21</v>
      </c>
      <c r="R238" s="11">
        <f t="shared" si="392"/>
        <v>0</v>
      </c>
      <c r="S238" s="11">
        <f t="shared" si="393"/>
        <v>0</v>
      </c>
      <c r="T238" s="16">
        <f t="shared" si="394"/>
        <v>9999</v>
      </c>
      <c r="V238" s="9" t="s">
        <v>21</v>
      </c>
      <c r="W238" s="16">
        <f>BD$13</f>
        <v>0</v>
      </c>
    </row>
    <row r="239" spans="1:23" x14ac:dyDescent="0.2">
      <c r="A239" s="9" t="s">
        <v>22</v>
      </c>
      <c r="B239" s="15">
        <f t="shared" si="397"/>
        <v>9999</v>
      </c>
      <c r="C239" s="11">
        <f t="shared" ref="C239" si="410">AQ14-AP14</f>
        <v>0</v>
      </c>
      <c r="D239" s="11">
        <f t="shared" ref="D239" si="411">AU14-AV14</f>
        <v>0</v>
      </c>
      <c r="E239" s="16">
        <f t="shared" si="385"/>
        <v>9999</v>
      </c>
      <c r="G239" s="9" t="s">
        <v>22</v>
      </c>
      <c r="H239" s="11">
        <f t="shared" si="386"/>
        <v>0</v>
      </c>
      <c r="I239" s="11">
        <f t="shared" si="387"/>
        <v>0</v>
      </c>
      <c r="J239" s="16">
        <f t="shared" si="388"/>
        <v>9999</v>
      </c>
      <c r="L239" s="9" t="s">
        <v>22</v>
      </c>
      <c r="M239" s="11">
        <f t="shared" si="389"/>
        <v>0</v>
      </c>
      <c r="N239" s="11">
        <f t="shared" si="390"/>
        <v>0</v>
      </c>
      <c r="O239" s="16">
        <f t="shared" si="391"/>
        <v>9999</v>
      </c>
      <c r="P239" s="13"/>
      <c r="Q239" s="9" t="s">
        <v>22</v>
      </c>
      <c r="R239" s="11">
        <f t="shared" si="392"/>
        <v>0</v>
      </c>
      <c r="S239" s="11">
        <f t="shared" si="393"/>
        <v>0</v>
      </c>
      <c r="T239" s="16">
        <f t="shared" si="394"/>
        <v>9999</v>
      </c>
      <c r="V239" s="9" t="s">
        <v>22</v>
      </c>
      <c r="W239" s="16">
        <f>BD$14</f>
        <v>0</v>
      </c>
    </row>
    <row r="240" spans="1:23" x14ac:dyDescent="0.2">
      <c r="A240" s="9" t="s">
        <v>23</v>
      </c>
      <c r="B240" s="15">
        <f t="shared" si="397"/>
        <v>9999</v>
      </c>
      <c r="C240" s="11">
        <f t="shared" ref="C240" si="412">AP15-AQ15</f>
        <v>0</v>
      </c>
      <c r="D240" s="11">
        <f t="shared" ref="D240" si="413">AV15-AU15</f>
        <v>0</v>
      </c>
      <c r="E240" s="16">
        <f t="shared" si="385"/>
        <v>9999</v>
      </c>
      <c r="G240" s="9" t="s">
        <v>23</v>
      </c>
      <c r="H240" s="11">
        <f t="shared" si="386"/>
        <v>0</v>
      </c>
      <c r="I240" s="11">
        <f t="shared" si="387"/>
        <v>0</v>
      </c>
      <c r="J240" s="16">
        <f t="shared" si="388"/>
        <v>9999</v>
      </c>
      <c r="L240" s="9" t="s">
        <v>23</v>
      </c>
      <c r="M240" s="11">
        <f t="shared" si="389"/>
        <v>0</v>
      </c>
      <c r="N240" s="11">
        <f t="shared" si="390"/>
        <v>0</v>
      </c>
      <c r="O240" s="16">
        <f t="shared" si="391"/>
        <v>9999</v>
      </c>
      <c r="P240" s="13"/>
      <c r="Q240" s="9" t="s">
        <v>23</v>
      </c>
      <c r="R240" s="11">
        <f t="shared" si="392"/>
        <v>0</v>
      </c>
      <c r="S240" s="11">
        <f t="shared" si="393"/>
        <v>0</v>
      </c>
      <c r="T240" s="16">
        <f t="shared" si="394"/>
        <v>9999</v>
      </c>
      <c r="V240" s="9" t="s">
        <v>23</v>
      </c>
      <c r="W240" s="16">
        <f>BD$15</f>
        <v>0</v>
      </c>
    </row>
    <row r="241" spans="1:23" x14ac:dyDescent="0.2">
      <c r="A241" s="9" t="s">
        <v>24</v>
      </c>
      <c r="B241" s="15">
        <f t="shared" si="397"/>
        <v>9999</v>
      </c>
      <c r="C241" s="11">
        <f t="shared" ref="C241" si="414">AQ16-AP16</f>
        <v>0</v>
      </c>
      <c r="D241" s="11">
        <f t="shared" ref="D241" si="415">AU16-AV16</f>
        <v>0</v>
      </c>
      <c r="E241" s="16">
        <f t="shared" si="385"/>
        <v>9999</v>
      </c>
      <c r="G241" s="9" t="s">
        <v>24</v>
      </c>
      <c r="H241" s="11">
        <f t="shared" si="386"/>
        <v>0</v>
      </c>
      <c r="I241" s="11">
        <f t="shared" si="387"/>
        <v>0</v>
      </c>
      <c r="J241" s="16">
        <f t="shared" si="388"/>
        <v>9999</v>
      </c>
      <c r="L241" s="9" t="s">
        <v>24</v>
      </c>
      <c r="M241" s="11">
        <f t="shared" si="389"/>
        <v>0</v>
      </c>
      <c r="N241" s="11">
        <f t="shared" si="390"/>
        <v>0</v>
      </c>
      <c r="O241" s="16">
        <f t="shared" si="391"/>
        <v>9999</v>
      </c>
      <c r="P241" s="13"/>
      <c r="Q241" s="9" t="s">
        <v>24</v>
      </c>
      <c r="R241" s="11">
        <f t="shared" si="392"/>
        <v>0</v>
      </c>
      <c r="S241" s="11">
        <f t="shared" si="393"/>
        <v>0</v>
      </c>
      <c r="T241" s="16">
        <f t="shared" si="394"/>
        <v>9999</v>
      </c>
      <c r="V241" s="9" t="s">
        <v>24</v>
      </c>
      <c r="W241" s="16">
        <f>BD$16</f>
        <v>0</v>
      </c>
    </row>
    <row r="242" spans="1:23" x14ac:dyDescent="0.2">
      <c r="A242" s="4" t="s">
        <v>25</v>
      </c>
      <c r="B242" s="15">
        <f t="shared" si="397"/>
        <v>9999</v>
      </c>
      <c r="C242" s="11">
        <f t="shared" ref="C242" si="416">AP17-AQ17</f>
        <v>0</v>
      </c>
      <c r="D242" s="11">
        <f t="shared" ref="D242" si="417">AV17-AU17</f>
        <v>0</v>
      </c>
      <c r="E242" s="16">
        <f t="shared" si="385"/>
        <v>9999</v>
      </c>
      <c r="G242" s="4" t="s">
        <v>25</v>
      </c>
      <c r="H242" s="11">
        <f t="shared" si="386"/>
        <v>0</v>
      </c>
      <c r="I242" s="11">
        <f t="shared" si="387"/>
        <v>0</v>
      </c>
      <c r="J242" s="16">
        <f t="shared" si="388"/>
        <v>9999</v>
      </c>
      <c r="L242" s="4" t="s">
        <v>25</v>
      </c>
      <c r="M242" s="11">
        <f t="shared" si="389"/>
        <v>0</v>
      </c>
      <c r="N242" s="11">
        <f t="shared" si="390"/>
        <v>0</v>
      </c>
      <c r="O242" s="16">
        <f t="shared" si="391"/>
        <v>9999</v>
      </c>
      <c r="P242" s="13"/>
      <c r="Q242" s="4" t="s">
        <v>25</v>
      </c>
      <c r="R242" s="11">
        <f t="shared" si="392"/>
        <v>0</v>
      </c>
      <c r="S242" s="11">
        <f t="shared" si="393"/>
        <v>0</v>
      </c>
      <c r="T242" s="16">
        <f t="shared" si="394"/>
        <v>9999</v>
      </c>
      <c r="V242" s="4" t="s">
        <v>25</v>
      </c>
      <c r="W242" s="16">
        <f>BD$17</f>
        <v>0</v>
      </c>
    </row>
    <row r="243" spans="1:23" x14ac:dyDescent="0.2">
      <c r="A243" s="4" t="s">
        <v>26</v>
      </c>
      <c r="B243" s="15">
        <f t="shared" si="397"/>
        <v>9999</v>
      </c>
      <c r="C243" s="11">
        <f t="shared" ref="C243" si="418">AQ18-AP18</f>
        <v>0</v>
      </c>
      <c r="D243" s="11">
        <f t="shared" ref="D243" si="419">AU18-AV18</f>
        <v>0</v>
      </c>
      <c r="E243" s="16">
        <f t="shared" si="385"/>
        <v>9999</v>
      </c>
      <c r="G243" s="4" t="s">
        <v>26</v>
      </c>
      <c r="H243" s="11">
        <f t="shared" si="386"/>
        <v>0</v>
      </c>
      <c r="I243" s="11">
        <f t="shared" si="387"/>
        <v>0</v>
      </c>
      <c r="J243" s="16">
        <f t="shared" si="388"/>
        <v>9999</v>
      </c>
      <c r="L243" s="4" t="s">
        <v>26</v>
      </c>
      <c r="M243" s="11">
        <f t="shared" si="389"/>
        <v>0</v>
      </c>
      <c r="N243" s="11">
        <f t="shared" si="390"/>
        <v>0</v>
      </c>
      <c r="O243" s="16">
        <f t="shared" si="391"/>
        <v>9999</v>
      </c>
      <c r="P243" s="13"/>
      <c r="Q243" s="4" t="s">
        <v>26</v>
      </c>
      <c r="R243" s="11">
        <f t="shared" si="392"/>
        <v>0</v>
      </c>
      <c r="S243" s="11">
        <f t="shared" si="393"/>
        <v>0</v>
      </c>
      <c r="T243" s="16">
        <f t="shared" si="394"/>
        <v>9999</v>
      </c>
      <c r="V243" s="4" t="s">
        <v>26</v>
      </c>
      <c r="W243" s="16">
        <f>BD$18</f>
        <v>0</v>
      </c>
    </row>
    <row r="244" spans="1:23" x14ac:dyDescent="0.2">
      <c r="A244" s="4" t="s">
        <v>27</v>
      </c>
      <c r="B244" s="15">
        <f t="shared" si="397"/>
        <v>9999</v>
      </c>
      <c r="C244" s="11">
        <f t="shared" ref="C244" si="420">AP19-AQ19</f>
        <v>0</v>
      </c>
      <c r="D244" s="11">
        <f t="shared" ref="D244" si="421">AV19-AU19</f>
        <v>0</v>
      </c>
      <c r="E244" s="16">
        <f t="shared" si="385"/>
        <v>9999</v>
      </c>
      <c r="G244" s="4" t="s">
        <v>27</v>
      </c>
      <c r="H244" s="11">
        <f t="shared" si="386"/>
        <v>0</v>
      </c>
      <c r="I244" s="11">
        <f t="shared" si="387"/>
        <v>0</v>
      </c>
      <c r="J244" s="16">
        <f t="shared" si="388"/>
        <v>9999</v>
      </c>
      <c r="L244" s="4" t="s">
        <v>27</v>
      </c>
      <c r="M244" s="11">
        <f t="shared" si="389"/>
        <v>0</v>
      </c>
      <c r="N244" s="11">
        <f t="shared" si="390"/>
        <v>0</v>
      </c>
      <c r="O244" s="16">
        <f t="shared" si="391"/>
        <v>9999</v>
      </c>
      <c r="P244" s="13"/>
      <c r="Q244" s="4" t="s">
        <v>27</v>
      </c>
      <c r="R244" s="11">
        <f t="shared" si="392"/>
        <v>0</v>
      </c>
      <c r="S244" s="11">
        <f t="shared" si="393"/>
        <v>0</v>
      </c>
      <c r="T244" s="16">
        <f t="shared" si="394"/>
        <v>9999</v>
      </c>
      <c r="V244" s="4" t="s">
        <v>27</v>
      </c>
      <c r="W244" s="16">
        <f>BD$19</f>
        <v>0</v>
      </c>
    </row>
    <row r="245" spans="1:23" x14ac:dyDescent="0.2">
      <c r="A245" s="9" t="s">
        <v>28</v>
      </c>
      <c r="B245" s="15">
        <f t="shared" si="397"/>
        <v>9999</v>
      </c>
      <c r="C245" s="11">
        <f t="shared" ref="C245" si="422">AQ20-AP20</f>
        <v>0</v>
      </c>
      <c r="D245" s="11">
        <f t="shared" ref="D245" si="423">AU20-AV20</f>
        <v>0</v>
      </c>
      <c r="E245" s="16">
        <f t="shared" si="385"/>
        <v>9999</v>
      </c>
      <c r="G245" s="9" t="s">
        <v>28</v>
      </c>
      <c r="H245" s="11">
        <f t="shared" si="386"/>
        <v>0</v>
      </c>
      <c r="I245" s="11">
        <f t="shared" si="387"/>
        <v>0</v>
      </c>
      <c r="J245" s="16">
        <f t="shared" si="388"/>
        <v>9999</v>
      </c>
      <c r="L245" s="9" t="s">
        <v>28</v>
      </c>
      <c r="M245" s="11">
        <f t="shared" si="389"/>
        <v>0</v>
      </c>
      <c r="N245" s="11">
        <f t="shared" si="390"/>
        <v>0</v>
      </c>
      <c r="O245" s="16">
        <f t="shared" si="391"/>
        <v>9999</v>
      </c>
      <c r="P245" s="13"/>
      <c r="Q245" s="9" t="s">
        <v>28</v>
      </c>
      <c r="R245" s="11">
        <f t="shared" si="392"/>
        <v>0</v>
      </c>
      <c r="S245" s="11">
        <f t="shared" si="393"/>
        <v>0</v>
      </c>
      <c r="T245" s="16">
        <f t="shared" si="394"/>
        <v>9999</v>
      </c>
      <c r="V245" s="9" t="s">
        <v>28</v>
      </c>
      <c r="W245" s="16">
        <f>BD$20</f>
        <v>0</v>
      </c>
    </row>
    <row r="246" spans="1:23" x14ac:dyDescent="0.2">
      <c r="A246" s="9" t="s">
        <v>29</v>
      </c>
      <c r="B246" s="15">
        <f t="shared" si="397"/>
        <v>9999</v>
      </c>
      <c r="C246" s="11">
        <f t="shared" ref="C246" si="424">AP21-AQ21</f>
        <v>0</v>
      </c>
      <c r="D246" s="11">
        <f t="shared" ref="D246" si="425">AV21-AU21</f>
        <v>0</v>
      </c>
      <c r="E246" s="16">
        <f t="shared" si="385"/>
        <v>9999</v>
      </c>
      <c r="G246" s="9" t="s">
        <v>29</v>
      </c>
      <c r="H246" s="11">
        <f t="shared" si="386"/>
        <v>0</v>
      </c>
      <c r="I246" s="11">
        <f t="shared" si="387"/>
        <v>0</v>
      </c>
      <c r="J246" s="16">
        <f t="shared" si="388"/>
        <v>9999</v>
      </c>
      <c r="L246" s="9" t="s">
        <v>29</v>
      </c>
      <c r="M246" s="11">
        <f t="shared" si="389"/>
        <v>0</v>
      </c>
      <c r="N246" s="11">
        <f t="shared" si="390"/>
        <v>0</v>
      </c>
      <c r="O246" s="16">
        <f t="shared" si="391"/>
        <v>9999</v>
      </c>
      <c r="P246" s="13"/>
      <c r="Q246" s="9" t="s">
        <v>29</v>
      </c>
      <c r="R246" s="11">
        <f t="shared" si="392"/>
        <v>0</v>
      </c>
      <c r="S246" s="11">
        <f t="shared" si="393"/>
        <v>0</v>
      </c>
      <c r="T246" s="16">
        <f t="shared" si="394"/>
        <v>9999</v>
      </c>
      <c r="V246" s="9" t="s">
        <v>29</v>
      </c>
      <c r="W246" s="16">
        <f>BD$21</f>
        <v>0</v>
      </c>
    </row>
    <row r="247" spans="1:23" x14ac:dyDescent="0.2">
      <c r="A247" s="9" t="s">
        <v>30</v>
      </c>
      <c r="B247" s="15">
        <f t="shared" si="397"/>
        <v>9999</v>
      </c>
      <c r="C247" s="11">
        <f t="shared" ref="C247" si="426">AQ22-AP22</f>
        <v>0</v>
      </c>
      <c r="D247" s="11">
        <f t="shared" ref="D247" si="427">AU22-AV22</f>
        <v>0</v>
      </c>
      <c r="E247" s="16">
        <f t="shared" si="385"/>
        <v>9999</v>
      </c>
      <c r="G247" s="9" t="s">
        <v>30</v>
      </c>
      <c r="H247" s="11">
        <f t="shared" si="386"/>
        <v>0</v>
      </c>
      <c r="I247" s="11">
        <f t="shared" si="387"/>
        <v>0</v>
      </c>
      <c r="J247" s="16">
        <f t="shared" si="388"/>
        <v>9999</v>
      </c>
      <c r="L247" s="9" t="s">
        <v>30</v>
      </c>
      <c r="M247" s="11">
        <f t="shared" si="389"/>
        <v>0</v>
      </c>
      <c r="N247" s="11">
        <f t="shared" si="390"/>
        <v>0</v>
      </c>
      <c r="O247" s="16">
        <f t="shared" si="391"/>
        <v>9999</v>
      </c>
      <c r="P247" s="13"/>
      <c r="Q247" s="9" t="s">
        <v>30</v>
      </c>
      <c r="R247" s="11">
        <f t="shared" si="392"/>
        <v>0</v>
      </c>
      <c r="S247" s="11">
        <f t="shared" si="393"/>
        <v>0</v>
      </c>
      <c r="T247" s="16">
        <f t="shared" si="394"/>
        <v>9999</v>
      </c>
      <c r="V247" s="9" t="s">
        <v>30</v>
      </c>
      <c r="W247" s="16">
        <f>BD$22</f>
        <v>0</v>
      </c>
    </row>
    <row r="248" spans="1:23" x14ac:dyDescent="0.2">
      <c r="A248" s="9" t="s">
        <v>31</v>
      </c>
      <c r="B248" s="15">
        <f t="shared" si="397"/>
        <v>9999</v>
      </c>
      <c r="C248" s="11">
        <f t="shared" ref="C248" si="428">AP23-AQ23</f>
        <v>0</v>
      </c>
      <c r="D248" s="11">
        <f t="shared" ref="D248" si="429">AV23-AU23</f>
        <v>0</v>
      </c>
      <c r="E248" s="16">
        <f t="shared" si="385"/>
        <v>9999</v>
      </c>
      <c r="G248" s="9" t="s">
        <v>31</v>
      </c>
      <c r="H248" s="11">
        <f t="shared" si="386"/>
        <v>0</v>
      </c>
      <c r="I248" s="11">
        <f t="shared" si="387"/>
        <v>0</v>
      </c>
      <c r="J248" s="16">
        <f t="shared" si="388"/>
        <v>9999</v>
      </c>
      <c r="L248" s="9" t="s">
        <v>31</v>
      </c>
      <c r="M248" s="11">
        <f t="shared" si="389"/>
        <v>0</v>
      </c>
      <c r="N248" s="11">
        <f t="shared" si="390"/>
        <v>0</v>
      </c>
      <c r="O248" s="16">
        <f t="shared" si="391"/>
        <v>9999</v>
      </c>
      <c r="P248" s="13"/>
      <c r="Q248" s="9" t="s">
        <v>31</v>
      </c>
      <c r="R248" s="11">
        <f t="shared" si="392"/>
        <v>0</v>
      </c>
      <c r="S248" s="11">
        <f t="shared" si="393"/>
        <v>0</v>
      </c>
      <c r="T248" s="16">
        <f t="shared" si="394"/>
        <v>9999</v>
      </c>
      <c r="V248" s="9" t="s">
        <v>31</v>
      </c>
      <c r="W248" s="16">
        <f>BD$23</f>
        <v>0</v>
      </c>
    </row>
    <row r="249" spans="1:23" x14ac:dyDescent="0.2">
      <c r="A249" s="10" t="s">
        <v>32</v>
      </c>
      <c r="B249" s="17">
        <f t="shared" si="397"/>
        <v>9999</v>
      </c>
      <c r="C249" s="12">
        <f t="shared" ref="C249" si="430">AQ24-AP24</f>
        <v>0</v>
      </c>
      <c r="D249" s="12">
        <f t="shared" ref="D249" si="431">AU24-AV24</f>
        <v>0</v>
      </c>
      <c r="E249" s="18">
        <f t="shared" si="385"/>
        <v>9999</v>
      </c>
      <c r="G249" s="10" t="s">
        <v>32</v>
      </c>
      <c r="H249" s="12">
        <f t="shared" si="386"/>
        <v>0</v>
      </c>
      <c r="I249" s="12">
        <f t="shared" si="387"/>
        <v>0</v>
      </c>
      <c r="J249" s="18">
        <f t="shared" si="388"/>
        <v>9999</v>
      </c>
      <c r="L249" s="10" t="s">
        <v>32</v>
      </c>
      <c r="M249" s="12">
        <f t="shared" si="389"/>
        <v>0</v>
      </c>
      <c r="N249" s="12">
        <f t="shared" si="390"/>
        <v>0</v>
      </c>
      <c r="O249" s="18">
        <f t="shared" si="391"/>
        <v>9999</v>
      </c>
      <c r="P249" s="13"/>
      <c r="Q249" s="10" t="s">
        <v>32</v>
      </c>
      <c r="R249" s="12">
        <f t="shared" si="392"/>
        <v>0</v>
      </c>
      <c r="S249" s="12">
        <f t="shared" si="393"/>
        <v>0</v>
      </c>
      <c r="T249" s="18">
        <f t="shared" si="394"/>
        <v>9999</v>
      </c>
      <c r="V249" s="10" t="s">
        <v>32</v>
      </c>
      <c r="W249" s="18">
        <f>BD$24</f>
        <v>0</v>
      </c>
    </row>
    <row r="250" spans="1:23" x14ac:dyDescent="0.2">
      <c r="P250" s="13"/>
    </row>
    <row r="251" spans="1:23" x14ac:dyDescent="0.2">
      <c r="A251" s="14" t="s">
        <v>391</v>
      </c>
      <c r="E251" s="8"/>
      <c r="G251" s="26"/>
    </row>
    <row r="252" spans="1:23" x14ac:dyDescent="0.2">
      <c r="A252" s="28" t="s">
        <v>61</v>
      </c>
      <c r="B252" s="2"/>
      <c r="C252" s="2"/>
      <c r="D252" s="2"/>
      <c r="E252" s="3"/>
      <c r="G252" s="27" t="s">
        <v>60</v>
      </c>
      <c r="H252" s="2"/>
      <c r="I252" s="2"/>
      <c r="J252" s="3"/>
      <c r="L252" s="1" t="s">
        <v>2</v>
      </c>
      <c r="M252" s="2"/>
      <c r="N252" s="2"/>
      <c r="O252" s="3"/>
      <c r="P252" s="5"/>
      <c r="Q252" s="28" t="s">
        <v>63</v>
      </c>
      <c r="R252" s="2"/>
      <c r="S252" s="2"/>
      <c r="T252" s="3"/>
      <c r="V252" s="28" t="s">
        <v>320</v>
      </c>
      <c r="W252" s="36"/>
    </row>
    <row r="253" spans="1:23" x14ac:dyDescent="0.2">
      <c r="A253" s="4"/>
      <c r="B253" s="5"/>
      <c r="C253" s="5"/>
      <c r="D253" s="5"/>
      <c r="E253" s="6"/>
      <c r="G253" s="4"/>
      <c r="H253" s="5"/>
      <c r="I253" s="5"/>
      <c r="J253" s="6"/>
      <c r="L253" s="4"/>
      <c r="M253" s="5"/>
      <c r="N253" s="5"/>
      <c r="O253" s="6"/>
      <c r="P253" s="5"/>
      <c r="Q253" s="4"/>
      <c r="R253" s="5"/>
      <c r="S253" s="5"/>
      <c r="T253" s="6"/>
      <c r="V253" s="4"/>
      <c r="W253" s="6"/>
    </row>
    <row r="254" spans="1:23" x14ac:dyDescent="0.2">
      <c r="A254" s="4"/>
      <c r="B254" s="42" t="s">
        <v>384</v>
      </c>
      <c r="C254" s="5"/>
      <c r="D254" s="5"/>
      <c r="E254" s="16" t="s">
        <v>3</v>
      </c>
      <c r="G254" s="4"/>
      <c r="H254" s="5"/>
      <c r="I254" s="5"/>
      <c r="J254" s="16" t="s">
        <v>4</v>
      </c>
      <c r="L254" s="4"/>
      <c r="M254" s="5"/>
      <c r="N254" s="5"/>
      <c r="O254" s="16" t="s">
        <v>4</v>
      </c>
      <c r="P254" s="11"/>
      <c r="Q254" s="4"/>
      <c r="R254" s="5"/>
      <c r="S254" s="5"/>
      <c r="T254" s="16" t="s">
        <v>4</v>
      </c>
      <c r="V254" s="4"/>
      <c r="W254" s="6"/>
    </row>
    <row r="255" spans="1:23" x14ac:dyDescent="0.2">
      <c r="A255" s="4" t="s">
        <v>13</v>
      </c>
      <c r="B255" s="15">
        <f>IF(OR(AW5="",E255=9999),9999,IF(AND(AW5&lt;&gt;"gz",AW5&lt;&gt;"z"),9999,AW5))</f>
        <v>9999</v>
      </c>
      <c r="C255" s="11">
        <f>AU5-AV5</f>
        <v>0</v>
      </c>
      <c r="D255" s="11">
        <f>BA5-AZ5</f>
        <v>0</v>
      </c>
      <c r="E255" s="16">
        <f>IF(ISERROR(C255-D255),9999,IF(OR(C255=0,D255=0),9999,IF(AW5=BB5,(C255+D255)/10,(C255+D255+1000)/10)))</f>
        <v>9999</v>
      </c>
      <c r="G255" s="4" t="s">
        <v>13</v>
      </c>
      <c r="H255" s="11">
        <f>AY5</f>
        <v>0</v>
      </c>
      <c r="I255" s="11">
        <f>AT5</f>
        <v>0</v>
      </c>
      <c r="J255" s="16">
        <f>IF(ISERROR(I255-H255),9999,IF(OR(H255=0,I255=0),9999,H255-I255))</f>
        <v>9999</v>
      </c>
      <c r="L255" s="4" t="s">
        <v>13</v>
      </c>
      <c r="M255" s="11">
        <f>BC5</f>
        <v>0</v>
      </c>
      <c r="N255" s="11">
        <f>AY5</f>
        <v>0</v>
      </c>
      <c r="O255" s="16">
        <f>IF(ISERROR(M255-N255),9999,IF(OR(M255=0,N255=0),9999,IF(SUM(M255-N255)&lt;=0,9999,SUM(M255-N255))))</f>
        <v>9999</v>
      </c>
      <c r="P255" s="13"/>
      <c r="Q255" s="4" t="s">
        <v>13</v>
      </c>
      <c r="R255" s="11">
        <f>BC5</f>
        <v>0</v>
      </c>
      <c r="S255" s="11">
        <f>AT5</f>
        <v>0</v>
      </c>
      <c r="T255" s="16">
        <f>IF(ISERROR(R255-S255),9999,IF(OR(R255=0,S255=0),9999,IF(SUM(R255-S255)&lt;=0,9999,SUM(R255-S255))))</f>
        <v>9999</v>
      </c>
      <c r="V255" s="4" t="s">
        <v>13</v>
      </c>
      <c r="W255" s="16">
        <f>BD$5</f>
        <v>0</v>
      </c>
    </row>
    <row r="256" spans="1:23" x14ac:dyDescent="0.2">
      <c r="A256" s="4" t="s">
        <v>14</v>
      </c>
      <c r="B256" s="15">
        <f t="shared" ref="B256:B257" si="432">IF(OR(AW6="",E256=9999),9999,IF(AND(AW6&lt;&gt;"gz",AW6&lt;&gt;"z"),9999,AW6))</f>
        <v>9999</v>
      </c>
      <c r="C256" s="11">
        <f>AV6-AU6</f>
        <v>0</v>
      </c>
      <c r="D256" s="11">
        <f>AZ6-BA6</f>
        <v>0</v>
      </c>
      <c r="E256" s="16">
        <f t="shared" ref="E256:E274" si="433">IF(ISERROR(C256-D256),9999,IF(OR(C256=0,D256=0),9999,IF(AW6=BB6,(C256+D256)/10,(C256+D256+1000)/10)))</f>
        <v>9999</v>
      </c>
      <c r="G256" s="4" t="s">
        <v>14</v>
      </c>
      <c r="H256" s="11">
        <f t="shared" ref="H256:H274" si="434">AY6</f>
        <v>0</v>
      </c>
      <c r="I256" s="11">
        <f t="shared" ref="I256:I274" si="435">AT6</f>
        <v>0</v>
      </c>
      <c r="J256" s="16">
        <f t="shared" ref="J256:J274" si="436">IF(ISERROR(I256-H256),9999,IF(OR(H256=0,I256=0),9999,H256-I256))</f>
        <v>9999</v>
      </c>
      <c r="L256" s="4" t="s">
        <v>14</v>
      </c>
      <c r="M256" s="11">
        <f t="shared" ref="M256:M274" si="437">BC6</f>
        <v>0</v>
      </c>
      <c r="N256" s="11">
        <f t="shared" ref="N256:N274" si="438">AY6</f>
        <v>0</v>
      </c>
      <c r="O256" s="16">
        <f t="shared" ref="O256:O274" si="439">IF(ISERROR(M256-N256),9999,IF(OR(M256=0,N256=0),9999,IF(SUM(M256-N256)&lt;=0,9999,SUM(M256-N256))))</f>
        <v>9999</v>
      </c>
      <c r="P256" s="13"/>
      <c r="Q256" s="4" t="s">
        <v>14</v>
      </c>
      <c r="R256" s="11">
        <f t="shared" ref="R256:R274" si="440">BC6</f>
        <v>0</v>
      </c>
      <c r="S256" s="11">
        <f t="shared" ref="S256:S274" si="441">AT6</f>
        <v>0</v>
      </c>
      <c r="T256" s="16">
        <f t="shared" ref="T256:T274" si="442">IF(ISERROR(R256-S256),9999,IF(OR(R256=0,S256=0),9999,IF(SUM(R256-S256)&lt;=0,9999,SUM(R256-S256))))</f>
        <v>9999</v>
      </c>
      <c r="V256" s="4" t="s">
        <v>14</v>
      </c>
      <c r="W256" s="16">
        <f>BD$6</f>
        <v>0</v>
      </c>
    </row>
    <row r="257" spans="1:23" x14ac:dyDescent="0.2">
      <c r="A257" s="4" t="s">
        <v>15</v>
      </c>
      <c r="B257" s="15">
        <f t="shared" si="432"/>
        <v>9999</v>
      </c>
      <c r="C257" s="11">
        <f t="shared" ref="C257" si="443">AU7-AV7</f>
        <v>0</v>
      </c>
      <c r="D257" s="11">
        <f t="shared" ref="D257" si="444">BA7-AZ7</f>
        <v>0</v>
      </c>
      <c r="E257" s="16">
        <f t="shared" si="433"/>
        <v>9999</v>
      </c>
      <c r="G257" s="4" t="s">
        <v>15</v>
      </c>
      <c r="H257" s="11">
        <f t="shared" si="434"/>
        <v>0</v>
      </c>
      <c r="I257" s="11">
        <f t="shared" si="435"/>
        <v>0</v>
      </c>
      <c r="J257" s="16">
        <f t="shared" si="436"/>
        <v>9999</v>
      </c>
      <c r="L257" s="4" t="s">
        <v>15</v>
      </c>
      <c r="M257" s="11">
        <f t="shared" si="437"/>
        <v>0</v>
      </c>
      <c r="N257" s="11">
        <f t="shared" si="438"/>
        <v>0</v>
      </c>
      <c r="O257" s="16">
        <f t="shared" si="439"/>
        <v>9999</v>
      </c>
      <c r="P257" s="13"/>
      <c r="Q257" s="4" t="s">
        <v>15</v>
      </c>
      <c r="R257" s="11">
        <f t="shared" si="440"/>
        <v>0</v>
      </c>
      <c r="S257" s="11">
        <f t="shared" si="441"/>
        <v>0</v>
      </c>
      <c r="T257" s="16">
        <f t="shared" si="442"/>
        <v>9999</v>
      </c>
      <c r="V257" s="4" t="s">
        <v>15</v>
      </c>
      <c r="W257" s="16">
        <f>BD$7</f>
        <v>0</v>
      </c>
    </row>
    <row r="258" spans="1:23" x14ac:dyDescent="0.2">
      <c r="A258" s="4" t="s">
        <v>16</v>
      </c>
      <c r="B258" s="15">
        <f t="shared" ref="B258:B274" si="445">IF(OR(AW8="",E258=9999),9999,IF(AND(AW8&lt;&gt;"gz",AW8&lt;&gt;"z"),9999,AW8))</f>
        <v>9999</v>
      </c>
      <c r="C258" s="11">
        <f t="shared" ref="C258" si="446">AV8-AU8</f>
        <v>0</v>
      </c>
      <c r="D258" s="11">
        <f t="shared" ref="D258" si="447">AZ8-BA8</f>
        <v>0</v>
      </c>
      <c r="E258" s="16">
        <f t="shared" si="433"/>
        <v>9999</v>
      </c>
      <c r="G258" s="4" t="s">
        <v>16</v>
      </c>
      <c r="H258" s="11">
        <f t="shared" si="434"/>
        <v>0</v>
      </c>
      <c r="I258" s="11">
        <f t="shared" si="435"/>
        <v>0</v>
      </c>
      <c r="J258" s="16">
        <f t="shared" si="436"/>
        <v>9999</v>
      </c>
      <c r="L258" s="4" t="s">
        <v>16</v>
      </c>
      <c r="M258" s="11">
        <f t="shared" si="437"/>
        <v>0</v>
      </c>
      <c r="N258" s="11">
        <f t="shared" si="438"/>
        <v>0</v>
      </c>
      <c r="O258" s="16">
        <f t="shared" si="439"/>
        <v>9999</v>
      </c>
      <c r="P258" s="13"/>
      <c r="Q258" s="4" t="s">
        <v>16</v>
      </c>
      <c r="R258" s="11">
        <f t="shared" si="440"/>
        <v>0</v>
      </c>
      <c r="S258" s="11">
        <f t="shared" si="441"/>
        <v>0</v>
      </c>
      <c r="T258" s="16">
        <f t="shared" si="442"/>
        <v>9999</v>
      </c>
      <c r="V258" s="4" t="s">
        <v>16</v>
      </c>
      <c r="W258" s="16">
        <f>BD$8</f>
        <v>0</v>
      </c>
    </row>
    <row r="259" spans="1:23" x14ac:dyDescent="0.2">
      <c r="A259" s="4" t="s">
        <v>17</v>
      </c>
      <c r="B259" s="15">
        <f t="shared" si="445"/>
        <v>9999</v>
      </c>
      <c r="C259" s="11">
        <f t="shared" ref="C259" si="448">AU9-AV9</f>
        <v>0</v>
      </c>
      <c r="D259" s="11">
        <f t="shared" ref="D259" si="449">BA9-AZ9</f>
        <v>0</v>
      </c>
      <c r="E259" s="16">
        <f t="shared" si="433"/>
        <v>9999</v>
      </c>
      <c r="G259" s="4" t="s">
        <v>17</v>
      </c>
      <c r="H259" s="11">
        <f t="shared" si="434"/>
        <v>0</v>
      </c>
      <c r="I259" s="11">
        <f t="shared" si="435"/>
        <v>0</v>
      </c>
      <c r="J259" s="16">
        <f t="shared" si="436"/>
        <v>9999</v>
      </c>
      <c r="L259" s="4" t="s">
        <v>17</v>
      </c>
      <c r="M259" s="11">
        <f t="shared" si="437"/>
        <v>0</v>
      </c>
      <c r="N259" s="11">
        <f t="shared" si="438"/>
        <v>0</v>
      </c>
      <c r="O259" s="16">
        <f t="shared" si="439"/>
        <v>9999</v>
      </c>
      <c r="P259" s="13"/>
      <c r="Q259" s="4" t="s">
        <v>17</v>
      </c>
      <c r="R259" s="11">
        <f t="shared" si="440"/>
        <v>0</v>
      </c>
      <c r="S259" s="11">
        <f t="shared" si="441"/>
        <v>0</v>
      </c>
      <c r="T259" s="16">
        <f t="shared" si="442"/>
        <v>9999</v>
      </c>
      <c r="V259" s="4" t="s">
        <v>17</v>
      </c>
      <c r="W259" s="16">
        <f>BD$9</f>
        <v>0</v>
      </c>
    </row>
    <row r="260" spans="1:23" x14ac:dyDescent="0.2">
      <c r="A260" s="4" t="s">
        <v>18</v>
      </c>
      <c r="B260" s="15">
        <f t="shared" si="445"/>
        <v>9999</v>
      </c>
      <c r="C260" s="11">
        <f t="shared" ref="C260" si="450">AV10-AU10</f>
        <v>0</v>
      </c>
      <c r="D260" s="11">
        <f t="shared" ref="D260" si="451">AZ10-BA10</f>
        <v>0</v>
      </c>
      <c r="E260" s="16">
        <f t="shared" si="433"/>
        <v>9999</v>
      </c>
      <c r="G260" s="4" t="s">
        <v>18</v>
      </c>
      <c r="H260" s="11">
        <f t="shared" si="434"/>
        <v>0</v>
      </c>
      <c r="I260" s="11">
        <f t="shared" si="435"/>
        <v>0</v>
      </c>
      <c r="J260" s="16">
        <f t="shared" si="436"/>
        <v>9999</v>
      </c>
      <c r="L260" s="4" t="s">
        <v>18</v>
      </c>
      <c r="M260" s="11">
        <f t="shared" si="437"/>
        <v>0</v>
      </c>
      <c r="N260" s="11">
        <f t="shared" si="438"/>
        <v>0</v>
      </c>
      <c r="O260" s="16">
        <f t="shared" si="439"/>
        <v>9999</v>
      </c>
      <c r="P260" s="13"/>
      <c r="Q260" s="4" t="s">
        <v>18</v>
      </c>
      <c r="R260" s="11">
        <f t="shared" si="440"/>
        <v>0</v>
      </c>
      <c r="S260" s="11">
        <f t="shared" si="441"/>
        <v>0</v>
      </c>
      <c r="T260" s="16">
        <f t="shared" si="442"/>
        <v>9999</v>
      </c>
      <c r="V260" s="4" t="s">
        <v>18</v>
      </c>
      <c r="W260" s="16">
        <f>BD$10</f>
        <v>0</v>
      </c>
    </row>
    <row r="261" spans="1:23" x14ac:dyDescent="0.2">
      <c r="A261" s="4" t="s">
        <v>19</v>
      </c>
      <c r="B261" s="15">
        <f t="shared" si="445"/>
        <v>9999</v>
      </c>
      <c r="C261" s="11">
        <f t="shared" ref="C261" si="452">AU11-AV11</f>
        <v>0</v>
      </c>
      <c r="D261" s="11">
        <f t="shared" ref="D261" si="453">BA11-AZ11</f>
        <v>0</v>
      </c>
      <c r="E261" s="16">
        <f t="shared" si="433"/>
        <v>9999</v>
      </c>
      <c r="G261" s="4" t="s">
        <v>19</v>
      </c>
      <c r="H261" s="11">
        <f t="shared" si="434"/>
        <v>0</v>
      </c>
      <c r="I261" s="11">
        <f t="shared" si="435"/>
        <v>0</v>
      </c>
      <c r="J261" s="16">
        <f t="shared" si="436"/>
        <v>9999</v>
      </c>
      <c r="L261" s="4" t="s">
        <v>19</v>
      </c>
      <c r="M261" s="11">
        <f t="shared" si="437"/>
        <v>0</v>
      </c>
      <c r="N261" s="11">
        <f t="shared" si="438"/>
        <v>0</v>
      </c>
      <c r="O261" s="16">
        <f t="shared" si="439"/>
        <v>9999</v>
      </c>
      <c r="P261" s="13"/>
      <c r="Q261" s="4" t="s">
        <v>19</v>
      </c>
      <c r="R261" s="11">
        <f t="shared" si="440"/>
        <v>0</v>
      </c>
      <c r="S261" s="11">
        <f t="shared" si="441"/>
        <v>0</v>
      </c>
      <c r="T261" s="16">
        <f t="shared" si="442"/>
        <v>9999</v>
      </c>
      <c r="V261" s="4" t="s">
        <v>19</v>
      </c>
      <c r="W261" s="16">
        <f>BD$11</f>
        <v>0</v>
      </c>
    </row>
    <row r="262" spans="1:23" x14ac:dyDescent="0.2">
      <c r="A262" s="9" t="s">
        <v>20</v>
      </c>
      <c r="B262" s="15">
        <f t="shared" si="445"/>
        <v>9999</v>
      </c>
      <c r="C262" s="11">
        <f t="shared" ref="C262" si="454">AV12-AU12</f>
        <v>0</v>
      </c>
      <c r="D262" s="11">
        <f t="shared" ref="D262" si="455">AZ12-BA12</f>
        <v>0</v>
      </c>
      <c r="E262" s="16">
        <f t="shared" si="433"/>
        <v>9999</v>
      </c>
      <c r="G262" s="9" t="s">
        <v>20</v>
      </c>
      <c r="H262" s="11">
        <f t="shared" si="434"/>
        <v>0</v>
      </c>
      <c r="I262" s="11">
        <f t="shared" si="435"/>
        <v>0</v>
      </c>
      <c r="J262" s="16">
        <f t="shared" si="436"/>
        <v>9999</v>
      </c>
      <c r="L262" s="9" t="s">
        <v>20</v>
      </c>
      <c r="M262" s="11">
        <f t="shared" si="437"/>
        <v>0</v>
      </c>
      <c r="N262" s="11">
        <f t="shared" si="438"/>
        <v>0</v>
      </c>
      <c r="O262" s="16">
        <f t="shared" si="439"/>
        <v>9999</v>
      </c>
      <c r="P262" s="13"/>
      <c r="Q262" s="9" t="s">
        <v>20</v>
      </c>
      <c r="R262" s="11">
        <f t="shared" si="440"/>
        <v>0</v>
      </c>
      <c r="S262" s="11">
        <f t="shared" si="441"/>
        <v>0</v>
      </c>
      <c r="T262" s="16">
        <f t="shared" si="442"/>
        <v>9999</v>
      </c>
      <c r="V262" s="9" t="s">
        <v>20</v>
      </c>
      <c r="W262" s="16">
        <f>BD$12</f>
        <v>0</v>
      </c>
    </row>
    <row r="263" spans="1:23" x14ac:dyDescent="0.2">
      <c r="A263" s="9" t="s">
        <v>21</v>
      </c>
      <c r="B263" s="15">
        <f t="shared" si="445"/>
        <v>9999</v>
      </c>
      <c r="C263" s="11">
        <f t="shared" ref="C263" si="456">AU13-AV13</f>
        <v>0</v>
      </c>
      <c r="D263" s="11">
        <f t="shared" ref="D263" si="457">BA13-AZ13</f>
        <v>0</v>
      </c>
      <c r="E263" s="16">
        <f t="shared" si="433"/>
        <v>9999</v>
      </c>
      <c r="G263" s="9" t="s">
        <v>21</v>
      </c>
      <c r="H263" s="11">
        <f t="shared" si="434"/>
        <v>0</v>
      </c>
      <c r="I263" s="11">
        <f t="shared" si="435"/>
        <v>0</v>
      </c>
      <c r="J263" s="16">
        <f t="shared" si="436"/>
        <v>9999</v>
      </c>
      <c r="L263" s="9" t="s">
        <v>21</v>
      </c>
      <c r="M263" s="11">
        <f t="shared" si="437"/>
        <v>0</v>
      </c>
      <c r="N263" s="11">
        <f t="shared" si="438"/>
        <v>0</v>
      </c>
      <c r="O263" s="16">
        <f t="shared" si="439"/>
        <v>9999</v>
      </c>
      <c r="P263" s="13"/>
      <c r="Q263" s="9" t="s">
        <v>21</v>
      </c>
      <c r="R263" s="11">
        <f t="shared" si="440"/>
        <v>0</v>
      </c>
      <c r="S263" s="11">
        <f t="shared" si="441"/>
        <v>0</v>
      </c>
      <c r="T263" s="16">
        <f t="shared" si="442"/>
        <v>9999</v>
      </c>
      <c r="V263" s="9" t="s">
        <v>21</v>
      </c>
      <c r="W263" s="16">
        <f>BD$13</f>
        <v>0</v>
      </c>
    </row>
    <row r="264" spans="1:23" x14ac:dyDescent="0.2">
      <c r="A264" s="9" t="s">
        <v>22</v>
      </c>
      <c r="B264" s="15">
        <f t="shared" si="445"/>
        <v>9999</v>
      </c>
      <c r="C264" s="11">
        <f t="shared" ref="C264" si="458">AV14-AU14</f>
        <v>0</v>
      </c>
      <c r="D264" s="11">
        <f t="shared" ref="D264" si="459">AZ14-BA14</f>
        <v>0</v>
      </c>
      <c r="E264" s="16">
        <f t="shared" si="433"/>
        <v>9999</v>
      </c>
      <c r="G264" s="9" t="s">
        <v>22</v>
      </c>
      <c r="H264" s="11">
        <f t="shared" si="434"/>
        <v>0</v>
      </c>
      <c r="I264" s="11">
        <f t="shared" si="435"/>
        <v>0</v>
      </c>
      <c r="J264" s="16">
        <f t="shared" si="436"/>
        <v>9999</v>
      </c>
      <c r="L264" s="9" t="s">
        <v>22</v>
      </c>
      <c r="M264" s="11">
        <f t="shared" si="437"/>
        <v>0</v>
      </c>
      <c r="N264" s="11">
        <f t="shared" si="438"/>
        <v>0</v>
      </c>
      <c r="O264" s="16">
        <f t="shared" si="439"/>
        <v>9999</v>
      </c>
      <c r="P264" s="13"/>
      <c r="Q264" s="9" t="s">
        <v>22</v>
      </c>
      <c r="R264" s="11">
        <f t="shared" si="440"/>
        <v>0</v>
      </c>
      <c r="S264" s="11">
        <f t="shared" si="441"/>
        <v>0</v>
      </c>
      <c r="T264" s="16">
        <f t="shared" si="442"/>
        <v>9999</v>
      </c>
      <c r="V264" s="9" t="s">
        <v>22</v>
      </c>
      <c r="W264" s="16">
        <f>BD$14</f>
        <v>0</v>
      </c>
    </row>
    <row r="265" spans="1:23" x14ac:dyDescent="0.2">
      <c r="A265" s="9" t="s">
        <v>23</v>
      </c>
      <c r="B265" s="15">
        <f t="shared" si="445"/>
        <v>9999</v>
      </c>
      <c r="C265" s="11">
        <f t="shared" ref="C265" si="460">AU15-AV15</f>
        <v>0</v>
      </c>
      <c r="D265" s="11">
        <f t="shared" ref="D265" si="461">BA15-AZ15</f>
        <v>0</v>
      </c>
      <c r="E265" s="16">
        <f t="shared" si="433"/>
        <v>9999</v>
      </c>
      <c r="G265" s="9" t="s">
        <v>23</v>
      </c>
      <c r="H265" s="11">
        <f t="shared" si="434"/>
        <v>0</v>
      </c>
      <c r="I265" s="11">
        <f t="shared" si="435"/>
        <v>0</v>
      </c>
      <c r="J265" s="16">
        <f t="shared" si="436"/>
        <v>9999</v>
      </c>
      <c r="L265" s="9" t="s">
        <v>23</v>
      </c>
      <c r="M265" s="11">
        <f t="shared" si="437"/>
        <v>0</v>
      </c>
      <c r="N265" s="11">
        <f t="shared" si="438"/>
        <v>0</v>
      </c>
      <c r="O265" s="16">
        <f t="shared" si="439"/>
        <v>9999</v>
      </c>
      <c r="P265" s="13"/>
      <c r="Q265" s="9" t="s">
        <v>23</v>
      </c>
      <c r="R265" s="11">
        <f t="shared" si="440"/>
        <v>0</v>
      </c>
      <c r="S265" s="11">
        <f t="shared" si="441"/>
        <v>0</v>
      </c>
      <c r="T265" s="16">
        <f t="shared" si="442"/>
        <v>9999</v>
      </c>
      <c r="V265" s="9" t="s">
        <v>23</v>
      </c>
      <c r="W265" s="16">
        <f>BD$15</f>
        <v>0</v>
      </c>
    </row>
    <row r="266" spans="1:23" x14ac:dyDescent="0.2">
      <c r="A266" s="9" t="s">
        <v>24</v>
      </c>
      <c r="B266" s="15">
        <f t="shared" si="445"/>
        <v>9999</v>
      </c>
      <c r="C266" s="11">
        <f t="shared" ref="C266" si="462">AV16-AU16</f>
        <v>0</v>
      </c>
      <c r="D266" s="11">
        <f t="shared" ref="D266" si="463">AZ16-BA16</f>
        <v>0</v>
      </c>
      <c r="E266" s="16">
        <f t="shared" si="433"/>
        <v>9999</v>
      </c>
      <c r="G266" s="9" t="s">
        <v>24</v>
      </c>
      <c r="H266" s="11">
        <f t="shared" si="434"/>
        <v>0</v>
      </c>
      <c r="I266" s="11">
        <f t="shared" si="435"/>
        <v>0</v>
      </c>
      <c r="J266" s="16">
        <f t="shared" si="436"/>
        <v>9999</v>
      </c>
      <c r="L266" s="9" t="s">
        <v>24</v>
      </c>
      <c r="M266" s="11">
        <f t="shared" si="437"/>
        <v>0</v>
      </c>
      <c r="N266" s="11">
        <f t="shared" si="438"/>
        <v>0</v>
      </c>
      <c r="O266" s="16">
        <f t="shared" si="439"/>
        <v>9999</v>
      </c>
      <c r="P266" s="13"/>
      <c r="Q266" s="9" t="s">
        <v>24</v>
      </c>
      <c r="R266" s="11">
        <f t="shared" si="440"/>
        <v>0</v>
      </c>
      <c r="S266" s="11">
        <f t="shared" si="441"/>
        <v>0</v>
      </c>
      <c r="T266" s="16">
        <f t="shared" si="442"/>
        <v>9999</v>
      </c>
      <c r="V266" s="9" t="s">
        <v>24</v>
      </c>
      <c r="W266" s="16">
        <f>BD$16</f>
        <v>0</v>
      </c>
    </row>
    <row r="267" spans="1:23" x14ac:dyDescent="0.2">
      <c r="A267" s="4" t="s">
        <v>25</v>
      </c>
      <c r="B267" s="15">
        <f t="shared" si="445"/>
        <v>9999</v>
      </c>
      <c r="C267" s="11">
        <f t="shared" ref="C267" si="464">AU17-AV17</f>
        <v>0</v>
      </c>
      <c r="D267" s="11">
        <f t="shared" ref="D267" si="465">BA17-AZ17</f>
        <v>0</v>
      </c>
      <c r="E267" s="16">
        <f t="shared" si="433"/>
        <v>9999</v>
      </c>
      <c r="G267" s="4" t="s">
        <v>25</v>
      </c>
      <c r="H267" s="11">
        <f t="shared" si="434"/>
        <v>0</v>
      </c>
      <c r="I267" s="11">
        <f t="shared" si="435"/>
        <v>0</v>
      </c>
      <c r="J267" s="16">
        <f t="shared" si="436"/>
        <v>9999</v>
      </c>
      <c r="L267" s="4" t="s">
        <v>25</v>
      </c>
      <c r="M267" s="11">
        <f t="shared" si="437"/>
        <v>0</v>
      </c>
      <c r="N267" s="11">
        <f t="shared" si="438"/>
        <v>0</v>
      </c>
      <c r="O267" s="16">
        <f t="shared" si="439"/>
        <v>9999</v>
      </c>
      <c r="P267" s="13"/>
      <c r="Q267" s="4" t="s">
        <v>25</v>
      </c>
      <c r="R267" s="11">
        <f t="shared" si="440"/>
        <v>0</v>
      </c>
      <c r="S267" s="11">
        <f t="shared" si="441"/>
        <v>0</v>
      </c>
      <c r="T267" s="16">
        <f t="shared" si="442"/>
        <v>9999</v>
      </c>
      <c r="V267" s="4" t="s">
        <v>25</v>
      </c>
      <c r="W267" s="16">
        <f>BD$17</f>
        <v>0</v>
      </c>
    </row>
    <row r="268" spans="1:23" x14ac:dyDescent="0.2">
      <c r="A268" s="4" t="s">
        <v>26</v>
      </c>
      <c r="B268" s="15">
        <f t="shared" si="445"/>
        <v>9999</v>
      </c>
      <c r="C268" s="11">
        <f t="shared" ref="C268" si="466">AV18-AU18</f>
        <v>0</v>
      </c>
      <c r="D268" s="11">
        <f t="shared" ref="D268" si="467">AZ18-BA18</f>
        <v>0</v>
      </c>
      <c r="E268" s="16">
        <f t="shared" si="433"/>
        <v>9999</v>
      </c>
      <c r="G268" s="4" t="s">
        <v>26</v>
      </c>
      <c r="H268" s="11">
        <f t="shared" si="434"/>
        <v>0</v>
      </c>
      <c r="I268" s="11">
        <f t="shared" si="435"/>
        <v>0</v>
      </c>
      <c r="J268" s="16">
        <f t="shared" si="436"/>
        <v>9999</v>
      </c>
      <c r="L268" s="4" t="s">
        <v>26</v>
      </c>
      <c r="M268" s="11">
        <f t="shared" si="437"/>
        <v>0</v>
      </c>
      <c r="N268" s="11">
        <f t="shared" si="438"/>
        <v>0</v>
      </c>
      <c r="O268" s="16">
        <f t="shared" si="439"/>
        <v>9999</v>
      </c>
      <c r="P268" s="13"/>
      <c r="Q268" s="4" t="s">
        <v>26</v>
      </c>
      <c r="R268" s="11">
        <f t="shared" si="440"/>
        <v>0</v>
      </c>
      <c r="S268" s="11">
        <f t="shared" si="441"/>
        <v>0</v>
      </c>
      <c r="T268" s="16">
        <f t="shared" si="442"/>
        <v>9999</v>
      </c>
      <c r="V268" s="4" t="s">
        <v>26</v>
      </c>
      <c r="W268" s="16">
        <f>BD$18</f>
        <v>0</v>
      </c>
    </row>
    <row r="269" spans="1:23" x14ac:dyDescent="0.2">
      <c r="A269" s="4" t="s">
        <v>27</v>
      </c>
      <c r="B269" s="15">
        <f t="shared" si="445"/>
        <v>9999</v>
      </c>
      <c r="C269" s="11">
        <f t="shared" ref="C269" si="468">AU19-AV19</f>
        <v>0</v>
      </c>
      <c r="D269" s="11">
        <f t="shared" ref="D269" si="469">BA19-AZ19</f>
        <v>0</v>
      </c>
      <c r="E269" s="16">
        <f t="shared" si="433"/>
        <v>9999</v>
      </c>
      <c r="G269" s="4" t="s">
        <v>27</v>
      </c>
      <c r="H269" s="11">
        <f t="shared" si="434"/>
        <v>0</v>
      </c>
      <c r="I269" s="11">
        <f t="shared" si="435"/>
        <v>0</v>
      </c>
      <c r="J269" s="16">
        <f t="shared" si="436"/>
        <v>9999</v>
      </c>
      <c r="L269" s="4" t="s">
        <v>27</v>
      </c>
      <c r="M269" s="11">
        <f t="shared" si="437"/>
        <v>0</v>
      </c>
      <c r="N269" s="11">
        <f t="shared" si="438"/>
        <v>0</v>
      </c>
      <c r="O269" s="16">
        <f t="shared" si="439"/>
        <v>9999</v>
      </c>
      <c r="P269" s="13"/>
      <c r="Q269" s="4" t="s">
        <v>27</v>
      </c>
      <c r="R269" s="11">
        <f t="shared" si="440"/>
        <v>0</v>
      </c>
      <c r="S269" s="11">
        <f t="shared" si="441"/>
        <v>0</v>
      </c>
      <c r="T269" s="16">
        <f t="shared" si="442"/>
        <v>9999</v>
      </c>
      <c r="V269" s="4" t="s">
        <v>27</v>
      </c>
      <c r="W269" s="16">
        <f>BD$19</f>
        <v>0</v>
      </c>
    </row>
    <row r="270" spans="1:23" x14ac:dyDescent="0.2">
      <c r="A270" s="9" t="s">
        <v>28</v>
      </c>
      <c r="B270" s="15">
        <f t="shared" si="445"/>
        <v>9999</v>
      </c>
      <c r="C270" s="11">
        <f t="shared" ref="C270" si="470">AV20-AU20</f>
        <v>0</v>
      </c>
      <c r="D270" s="11">
        <f t="shared" ref="D270" si="471">AZ20-BA20</f>
        <v>0</v>
      </c>
      <c r="E270" s="16">
        <f t="shared" si="433"/>
        <v>9999</v>
      </c>
      <c r="G270" s="9" t="s">
        <v>28</v>
      </c>
      <c r="H270" s="11">
        <f t="shared" si="434"/>
        <v>0</v>
      </c>
      <c r="I270" s="11">
        <f t="shared" si="435"/>
        <v>0</v>
      </c>
      <c r="J270" s="16">
        <f t="shared" si="436"/>
        <v>9999</v>
      </c>
      <c r="L270" s="9" t="s">
        <v>28</v>
      </c>
      <c r="M270" s="11">
        <f t="shared" si="437"/>
        <v>0</v>
      </c>
      <c r="N270" s="11">
        <f t="shared" si="438"/>
        <v>0</v>
      </c>
      <c r="O270" s="16">
        <f t="shared" si="439"/>
        <v>9999</v>
      </c>
      <c r="P270" s="13"/>
      <c r="Q270" s="9" t="s">
        <v>28</v>
      </c>
      <c r="R270" s="11">
        <f t="shared" si="440"/>
        <v>0</v>
      </c>
      <c r="S270" s="11">
        <f t="shared" si="441"/>
        <v>0</v>
      </c>
      <c r="T270" s="16">
        <f t="shared" si="442"/>
        <v>9999</v>
      </c>
      <c r="V270" s="9" t="s">
        <v>28</v>
      </c>
      <c r="W270" s="16">
        <f>BD$20</f>
        <v>0</v>
      </c>
    </row>
    <row r="271" spans="1:23" x14ac:dyDescent="0.2">
      <c r="A271" s="9" t="s">
        <v>29</v>
      </c>
      <c r="B271" s="15">
        <f t="shared" si="445"/>
        <v>9999</v>
      </c>
      <c r="C271" s="11">
        <f t="shared" ref="C271" si="472">AU21-AV21</f>
        <v>0</v>
      </c>
      <c r="D271" s="11">
        <f t="shared" ref="D271" si="473">BA21-AZ21</f>
        <v>0</v>
      </c>
      <c r="E271" s="16">
        <f t="shared" si="433"/>
        <v>9999</v>
      </c>
      <c r="G271" s="9" t="s">
        <v>29</v>
      </c>
      <c r="H271" s="11">
        <f t="shared" si="434"/>
        <v>0</v>
      </c>
      <c r="I271" s="11">
        <f t="shared" si="435"/>
        <v>0</v>
      </c>
      <c r="J271" s="16">
        <f t="shared" si="436"/>
        <v>9999</v>
      </c>
      <c r="L271" s="9" t="s">
        <v>29</v>
      </c>
      <c r="M271" s="11">
        <f t="shared" si="437"/>
        <v>0</v>
      </c>
      <c r="N271" s="11">
        <f t="shared" si="438"/>
        <v>0</v>
      </c>
      <c r="O271" s="16">
        <f t="shared" si="439"/>
        <v>9999</v>
      </c>
      <c r="P271" s="13"/>
      <c r="Q271" s="9" t="s">
        <v>29</v>
      </c>
      <c r="R271" s="11">
        <f t="shared" si="440"/>
        <v>0</v>
      </c>
      <c r="S271" s="11">
        <f t="shared" si="441"/>
        <v>0</v>
      </c>
      <c r="T271" s="16">
        <f t="shared" si="442"/>
        <v>9999</v>
      </c>
      <c r="V271" s="9" t="s">
        <v>29</v>
      </c>
      <c r="W271" s="16">
        <f>BD$21</f>
        <v>0</v>
      </c>
    </row>
    <row r="272" spans="1:23" x14ac:dyDescent="0.2">
      <c r="A272" s="9" t="s">
        <v>30</v>
      </c>
      <c r="B272" s="15">
        <f t="shared" si="445"/>
        <v>9999</v>
      </c>
      <c r="C272" s="11">
        <f t="shared" ref="C272" si="474">AV22-AU22</f>
        <v>0</v>
      </c>
      <c r="D272" s="11">
        <f t="shared" ref="D272" si="475">AZ22-BA22</f>
        <v>0</v>
      </c>
      <c r="E272" s="16">
        <f t="shared" si="433"/>
        <v>9999</v>
      </c>
      <c r="G272" s="9" t="s">
        <v>30</v>
      </c>
      <c r="H272" s="11">
        <f t="shared" si="434"/>
        <v>0</v>
      </c>
      <c r="I272" s="11">
        <f t="shared" si="435"/>
        <v>0</v>
      </c>
      <c r="J272" s="16">
        <f t="shared" si="436"/>
        <v>9999</v>
      </c>
      <c r="L272" s="9" t="s">
        <v>30</v>
      </c>
      <c r="M272" s="11">
        <f t="shared" si="437"/>
        <v>0</v>
      </c>
      <c r="N272" s="11">
        <f t="shared" si="438"/>
        <v>0</v>
      </c>
      <c r="O272" s="16">
        <f t="shared" si="439"/>
        <v>9999</v>
      </c>
      <c r="P272" s="13"/>
      <c r="Q272" s="9" t="s">
        <v>30</v>
      </c>
      <c r="R272" s="11">
        <f t="shared" si="440"/>
        <v>0</v>
      </c>
      <c r="S272" s="11">
        <f t="shared" si="441"/>
        <v>0</v>
      </c>
      <c r="T272" s="16">
        <f t="shared" si="442"/>
        <v>9999</v>
      </c>
      <c r="V272" s="9" t="s">
        <v>30</v>
      </c>
      <c r="W272" s="16">
        <f>BD$22</f>
        <v>0</v>
      </c>
    </row>
    <row r="273" spans="1:24" x14ac:dyDescent="0.2">
      <c r="A273" s="9" t="s">
        <v>31</v>
      </c>
      <c r="B273" s="15">
        <f t="shared" si="445"/>
        <v>9999</v>
      </c>
      <c r="C273" s="11">
        <f t="shared" ref="C273" si="476">AU23-AV23</f>
        <v>0</v>
      </c>
      <c r="D273" s="11">
        <f t="shared" ref="D273" si="477">BA23-AZ23</f>
        <v>0</v>
      </c>
      <c r="E273" s="16">
        <f t="shared" si="433"/>
        <v>9999</v>
      </c>
      <c r="G273" s="9" t="s">
        <v>31</v>
      </c>
      <c r="H273" s="11">
        <f t="shared" si="434"/>
        <v>0</v>
      </c>
      <c r="I273" s="11">
        <f t="shared" si="435"/>
        <v>0</v>
      </c>
      <c r="J273" s="16">
        <f t="shared" si="436"/>
        <v>9999</v>
      </c>
      <c r="L273" s="9" t="s">
        <v>31</v>
      </c>
      <c r="M273" s="11">
        <f t="shared" si="437"/>
        <v>0</v>
      </c>
      <c r="N273" s="11">
        <f t="shared" si="438"/>
        <v>0</v>
      </c>
      <c r="O273" s="16">
        <f t="shared" si="439"/>
        <v>9999</v>
      </c>
      <c r="P273" s="13"/>
      <c r="Q273" s="9" t="s">
        <v>31</v>
      </c>
      <c r="R273" s="11">
        <f t="shared" si="440"/>
        <v>0</v>
      </c>
      <c r="S273" s="11">
        <f t="shared" si="441"/>
        <v>0</v>
      </c>
      <c r="T273" s="16">
        <f t="shared" si="442"/>
        <v>9999</v>
      </c>
      <c r="V273" s="9" t="s">
        <v>31</v>
      </c>
      <c r="W273" s="16">
        <f>BD$23</f>
        <v>0</v>
      </c>
    </row>
    <row r="274" spans="1:24" x14ac:dyDescent="0.2">
      <c r="A274" s="10" t="s">
        <v>32</v>
      </c>
      <c r="B274" s="17">
        <f t="shared" si="445"/>
        <v>9999</v>
      </c>
      <c r="C274" s="12">
        <f t="shared" ref="C274" si="478">AV24-AU24</f>
        <v>0</v>
      </c>
      <c r="D274" s="12">
        <f t="shared" ref="D274" si="479">AZ24-BA24</f>
        <v>0</v>
      </c>
      <c r="E274" s="18">
        <f t="shared" si="433"/>
        <v>9999</v>
      </c>
      <c r="G274" s="10" t="s">
        <v>32</v>
      </c>
      <c r="H274" s="12">
        <f t="shared" si="434"/>
        <v>0</v>
      </c>
      <c r="I274" s="12">
        <f t="shared" si="435"/>
        <v>0</v>
      </c>
      <c r="J274" s="18">
        <f t="shared" si="436"/>
        <v>9999</v>
      </c>
      <c r="L274" s="10" t="s">
        <v>32</v>
      </c>
      <c r="M274" s="12">
        <f t="shared" si="437"/>
        <v>0</v>
      </c>
      <c r="N274" s="12">
        <f t="shared" si="438"/>
        <v>0</v>
      </c>
      <c r="O274" s="18">
        <f t="shared" si="439"/>
        <v>9999</v>
      </c>
      <c r="P274" s="13"/>
      <c r="Q274" s="10" t="s">
        <v>32</v>
      </c>
      <c r="R274" s="12">
        <f t="shared" si="440"/>
        <v>0</v>
      </c>
      <c r="S274" s="12">
        <f t="shared" si="441"/>
        <v>0</v>
      </c>
      <c r="T274" s="18">
        <f t="shared" si="442"/>
        <v>9999</v>
      </c>
      <c r="V274" s="10" t="s">
        <v>32</v>
      </c>
      <c r="W274" s="18">
        <f>BD$24</f>
        <v>0</v>
      </c>
    </row>
    <row r="275" spans="1:24" x14ac:dyDescent="0.2">
      <c r="P275" s="13"/>
    </row>
    <row r="276" spans="1:24" x14ac:dyDescent="0.2">
      <c r="A276" s="14" t="s">
        <v>10</v>
      </c>
      <c r="P276" s="13"/>
    </row>
    <row r="277" spans="1:24" x14ac:dyDescent="0.2">
      <c r="A277" s="28" t="s">
        <v>62</v>
      </c>
      <c r="B277" s="2"/>
      <c r="C277" s="2"/>
      <c r="D277" s="3"/>
      <c r="F277" s="1" t="s">
        <v>11</v>
      </c>
      <c r="G277" s="2"/>
      <c r="H277" s="2"/>
      <c r="I277" s="3"/>
      <c r="K277" s="27" t="s">
        <v>64</v>
      </c>
      <c r="L277" s="2"/>
      <c r="M277" s="2"/>
      <c r="N277" s="3"/>
      <c r="O277" s="11"/>
    </row>
    <row r="278" spans="1:24" x14ac:dyDescent="0.2">
      <c r="A278" s="4"/>
      <c r="B278" s="5"/>
      <c r="C278" s="5"/>
      <c r="D278" s="6"/>
      <c r="F278" s="4"/>
      <c r="G278" s="5"/>
      <c r="H278" s="5"/>
      <c r="I278" s="6"/>
      <c r="K278" s="4"/>
      <c r="L278" s="5"/>
      <c r="M278" s="5"/>
      <c r="N278" s="6"/>
      <c r="O278" s="11"/>
      <c r="X278" s="29"/>
    </row>
    <row r="279" spans="1:24" x14ac:dyDescent="0.2">
      <c r="A279" s="4"/>
      <c r="B279" s="5"/>
      <c r="C279" s="5"/>
      <c r="D279" s="16" t="s">
        <v>3</v>
      </c>
      <c r="F279" s="4"/>
      <c r="G279" s="5"/>
      <c r="H279" s="5"/>
      <c r="I279" s="16" t="s">
        <v>4</v>
      </c>
      <c r="K279" s="4"/>
      <c r="L279" s="5"/>
      <c r="M279" s="5"/>
      <c r="N279" s="30" t="s">
        <v>4</v>
      </c>
      <c r="O279" s="11"/>
    </row>
    <row r="280" spans="1:24" x14ac:dyDescent="0.2">
      <c r="A280" s="4" t="s">
        <v>13</v>
      </c>
      <c r="B280" s="5">
        <f>IF(E30&lt;&gt;9999,E30,0)</f>
        <v>0</v>
      </c>
      <c r="C280" s="5">
        <f>IF(E55&lt;&gt;9999,E55,0)</f>
        <v>0</v>
      </c>
      <c r="D280" s="16">
        <f>IF(ISERROR(B280-C280),9999,IF(OR(B280=0,C280=0),9999,IF(B280+C280&lt;=0,9999,(B280+C280)/10)))</f>
        <v>9999</v>
      </c>
      <c r="F280" s="4" t="s">
        <v>13</v>
      </c>
      <c r="G280" s="5">
        <f>IF(J30&lt;&gt;9999,J30,0)</f>
        <v>0</v>
      </c>
      <c r="H280" s="5">
        <f>IF(J55&lt;&gt;9999,J55,0)</f>
        <v>0</v>
      </c>
      <c r="I280" s="16">
        <f>IF(ISERROR(H280-G280),9999,IF(OR(G280=0,H280=0),9999,IF(G280+H280&lt;=0,9999,G280+H280)))</f>
        <v>9999</v>
      </c>
      <c r="K280" s="4" t="s">
        <v>13</v>
      </c>
      <c r="L280" s="5">
        <f>K5</f>
        <v>0</v>
      </c>
      <c r="M280" s="5">
        <f>J5</f>
        <v>0</v>
      </c>
      <c r="N280" s="16">
        <f>IF(ISERROR(L280-M280),9999,IF(OR(L280=0,M280=0),9999,IF(L280-M280&lt;=0,9999,L280-M280)))</f>
        <v>9999</v>
      </c>
      <c r="O280" s="13"/>
    </row>
    <row r="281" spans="1:24" x14ac:dyDescent="0.2">
      <c r="A281" s="4" t="s">
        <v>14</v>
      </c>
      <c r="B281" s="5">
        <f t="shared" ref="B281:B299" si="480">IF(E31&lt;&gt;9999,E31,0)</f>
        <v>0</v>
      </c>
      <c r="C281" s="5">
        <f t="shared" ref="C281:C299" si="481">IF(E56&lt;&gt;9999,E56,0)</f>
        <v>0</v>
      </c>
      <c r="D281" s="16">
        <f t="shared" ref="D281:D299" si="482">IF(ISERROR(B281-C281),9999,IF(OR(B281=0,C281=0),9999,IF(B281+C281&lt;=0,9999,(B281+C281)/10)))</f>
        <v>9999</v>
      </c>
      <c r="F281" s="4" t="s">
        <v>14</v>
      </c>
      <c r="G281" s="5">
        <f t="shared" ref="G281:G299" si="483">IF(J31&lt;&gt;9999,J31,0)</f>
        <v>0</v>
      </c>
      <c r="H281" s="5">
        <f t="shared" ref="H281:H299" si="484">IF(J56&lt;&gt;9999,J56,0)</f>
        <v>0</v>
      </c>
      <c r="I281" s="16">
        <f t="shared" ref="I281:I299" si="485">IF(ISERROR(H281-G281),9999,IF(OR(G281=0,H281=0),9999,IF(G281+H281&lt;=0,9999,G281+H281)))</f>
        <v>9999</v>
      </c>
      <c r="K281" s="4" t="s">
        <v>14</v>
      </c>
      <c r="L281" s="5">
        <f t="shared" ref="L281:L299" si="486">K6</f>
        <v>0</v>
      </c>
      <c r="M281" s="5">
        <f t="shared" ref="M281:M299" si="487">J6</f>
        <v>0</v>
      </c>
      <c r="N281" s="16">
        <f t="shared" ref="N281:N299" si="488">IF(ISERROR(L281-M281),9999,IF(OR(L281=0,M281=0),9999,IF(L281-M281&lt;=0,9999,L281-M281)))</f>
        <v>9999</v>
      </c>
      <c r="O281" s="13"/>
    </row>
    <row r="282" spans="1:24" x14ac:dyDescent="0.2">
      <c r="A282" s="4" t="s">
        <v>15</v>
      </c>
      <c r="B282" s="5">
        <f t="shared" si="480"/>
        <v>0</v>
      </c>
      <c r="C282" s="5">
        <f t="shared" si="481"/>
        <v>0</v>
      </c>
      <c r="D282" s="16">
        <f t="shared" si="482"/>
        <v>9999</v>
      </c>
      <c r="F282" s="4" t="s">
        <v>15</v>
      </c>
      <c r="G282" s="5">
        <f t="shared" si="483"/>
        <v>0</v>
      </c>
      <c r="H282" s="5">
        <f t="shared" si="484"/>
        <v>0</v>
      </c>
      <c r="I282" s="16">
        <f t="shared" si="485"/>
        <v>9999</v>
      </c>
      <c r="K282" s="4" t="s">
        <v>15</v>
      </c>
      <c r="L282" s="5">
        <f t="shared" si="486"/>
        <v>0</v>
      </c>
      <c r="M282" s="5">
        <f t="shared" si="487"/>
        <v>0</v>
      </c>
      <c r="N282" s="16">
        <f t="shared" si="488"/>
        <v>9999</v>
      </c>
      <c r="O282" s="13"/>
    </row>
    <row r="283" spans="1:24" x14ac:dyDescent="0.2">
      <c r="A283" s="4" t="s">
        <v>16</v>
      </c>
      <c r="B283" s="5">
        <f t="shared" si="480"/>
        <v>0</v>
      </c>
      <c r="C283" s="5">
        <f t="shared" si="481"/>
        <v>0</v>
      </c>
      <c r="D283" s="16">
        <f t="shared" si="482"/>
        <v>9999</v>
      </c>
      <c r="F283" s="4" t="s">
        <v>16</v>
      </c>
      <c r="G283" s="5">
        <f t="shared" si="483"/>
        <v>0</v>
      </c>
      <c r="H283" s="5">
        <f t="shared" si="484"/>
        <v>0</v>
      </c>
      <c r="I283" s="16">
        <f t="shared" si="485"/>
        <v>9999</v>
      </c>
      <c r="K283" s="4" t="s">
        <v>16</v>
      </c>
      <c r="L283" s="5">
        <f t="shared" si="486"/>
        <v>0</v>
      </c>
      <c r="M283" s="5">
        <f t="shared" si="487"/>
        <v>0</v>
      </c>
      <c r="N283" s="16">
        <f t="shared" si="488"/>
        <v>9999</v>
      </c>
      <c r="O283" s="13"/>
    </row>
    <row r="284" spans="1:24" x14ac:dyDescent="0.2">
      <c r="A284" s="4" t="s">
        <v>17</v>
      </c>
      <c r="B284" s="5">
        <f t="shared" si="480"/>
        <v>0</v>
      </c>
      <c r="C284" s="5">
        <f t="shared" si="481"/>
        <v>0</v>
      </c>
      <c r="D284" s="16">
        <f t="shared" si="482"/>
        <v>9999</v>
      </c>
      <c r="F284" s="4" t="s">
        <v>17</v>
      </c>
      <c r="G284" s="5">
        <f t="shared" si="483"/>
        <v>0</v>
      </c>
      <c r="H284" s="5">
        <f t="shared" si="484"/>
        <v>0</v>
      </c>
      <c r="I284" s="16">
        <f t="shared" si="485"/>
        <v>9999</v>
      </c>
      <c r="K284" s="4" t="s">
        <v>17</v>
      </c>
      <c r="L284" s="5">
        <f t="shared" si="486"/>
        <v>0</v>
      </c>
      <c r="M284" s="5">
        <f t="shared" si="487"/>
        <v>0</v>
      </c>
      <c r="N284" s="16">
        <f t="shared" si="488"/>
        <v>9999</v>
      </c>
      <c r="O284" s="13"/>
    </row>
    <row r="285" spans="1:24" x14ac:dyDescent="0.2">
      <c r="A285" s="4" t="s">
        <v>18</v>
      </c>
      <c r="B285" s="5">
        <f t="shared" si="480"/>
        <v>0</v>
      </c>
      <c r="C285" s="5">
        <f t="shared" si="481"/>
        <v>0</v>
      </c>
      <c r="D285" s="16">
        <f t="shared" si="482"/>
        <v>9999</v>
      </c>
      <c r="F285" s="4" t="s">
        <v>18</v>
      </c>
      <c r="G285" s="5">
        <f t="shared" si="483"/>
        <v>0</v>
      </c>
      <c r="H285" s="5">
        <f t="shared" si="484"/>
        <v>0</v>
      </c>
      <c r="I285" s="16">
        <f t="shared" si="485"/>
        <v>9999</v>
      </c>
      <c r="K285" s="4" t="s">
        <v>18</v>
      </c>
      <c r="L285" s="5">
        <f t="shared" si="486"/>
        <v>0</v>
      </c>
      <c r="M285" s="5">
        <f t="shared" si="487"/>
        <v>0</v>
      </c>
      <c r="N285" s="16">
        <f t="shared" si="488"/>
        <v>9999</v>
      </c>
      <c r="O285" s="13"/>
    </row>
    <row r="286" spans="1:24" x14ac:dyDescent="0.2">
      <c r="A286" s="4" t="s">
        <v>19</v>
      </c>
      <c r="B286" s="5">
        <f t="shared" si="480"/>
        <v>0</v>
      </c>
      <c r="C286" s="5">
        <f t="shared" si="481"/>
        <v>0</v>
      </c>
      <c r="D286" s="16">
        <f t="shared" si="482"/>
        <v>9999</v>
      </c>
      <c r="F286" s="4" t="s">
        <v>19</v>
      </c>
      <c r="G286" s="5">
        <f t="shared" si="483"/>
        <v>0</v>
      </c>
      <c r="H286" s="5">
        <f t="shared" si="484"/>
        <v>0</v>
      </c>
      <c r="I286" s="16">
        <f t="shared" si="485"/>
        <v>9999</v>
      </c>
      <c r="K286" s="4" t="s">
        <v>19</v>
      </c>
      <c r="L286" s="5">
        <f t="shared" si="486"/>
        <v>0</v>
      </c>
      <c r="M286" s="5">
        <f t="shared" si="487"/>
        <v>0</v>
      </c>
      <c r="N286" s="16">
        <f t="shared" si="488"/>
        <v>9999</v>
      </c>
      <c r="O286" s="13"/>
    </row>
    <row r="287" spans="1:24" x14ac:dyDescent="0.2">
      <c r="A287" s="9" t="s">
        <v>20</v>
      </c>
      <c r="B287" s="5">
        <f t="shared" si="480"/>
        <v>0</v>
      </c>
      <c r="C287" s="5">
        <f t="shared" si="481"/>
        <v>0</v>
      </c>
      <c r="D287" s="16">
        <f t="shared" si="482"/>
        <v>9999</v>
      </c>
      <c r="F287" s="9" t="s">
        <v>20</v>
      </c>
      <c r="G287" s="5">
        <f t="shared" si="483"/>
        <v>0</v>
      </c>
      <c r="H287" s="5">
        <f t="shared" si="484"/>
        <v>0</v>
      </c>
      <c r="I287" s="16">
        <f t="shared" si="485"/>
        <v>9999</v>
      </c>
      <c r="K287" s="9" t="s">
        <v>20</v>
      </c>
      <c r="L287" s="5">
        <f t="shared" si="486"/>
        <v>0</v>
      </c>
      <c r="M287" s="5">
        <f t="shared" si="487"/>
        <v>0</v>
      </c>
      <c r="N287" s="16">
        <f t="shared" si="488"/>
        <v>9999</v>
      </c>
      <c r="O287" s="13"/>
    </row>
    <row r="288" spans="1:24" x14ac:dyDescent="0.2">
      <c r="A288" s="9" t="s">
        <v>21</v>
      </c>
      <c r="B288" s="5">
        <f t="shared" si="480"/>
        <v>0</v>
      </c>
      <c r="C288" s="5">
        <f t="shared" si="481"/>
        <v>0</v>
      </c>
      <c r="D288" s="16">
        <f t="shared" si="482"/>
        <v>9999</v>
      </c>
      <c r="F288" s="9" t="s">
        <v>21</v>
      </c>
      <c r="G288" s="5">
        <f t="shared" si="483"/>
        <v>0</v>
      </c>
      <c r="H288" s="5">
        <f t="shared" si="484"/>
        <v>0</v>
      </c>
      <c r="I288" s="16">
        <f t="shared" si="485"/>
        <v>9999</v>
      </c>
      <c r="K288" s="9" t="s">
        <v>21</v>
      </c>
      <c r="L288" s="5">
        <f t="shared" si="486"/>
        <v>0</v>
      </c>
      <c r="M288" s="5">
        <f t="shared" si="487"/>
        <v>0</v>
      </c>
      <c r="N288" s="16">
        <f t="shared" si="488"/>
        <v>9999</v>
      </c>
      <c r="O288" s="13"/>
    </row>
    <row r="289" spans="1:24" x14ac:dyDescent="0.2">
      <c r="A289" s="9" t="s">
        <v>22</v>
      </c>
      <c r="B289" s="5">
        <f t="shared" si="480"/>
        <v>0</v>
      </c>
      <c r="C289" s="5">
        <f t="shared" si="481"/>
        <v>0</v>
      </c>
      <c r="D289" s="16">
        <f t="shared" si="482"/>
        <v>9999</v>
      </c>
      <c r="F289" s="9" t="s">
        <v>22</v>
      </c>
      <c r="G289" s="5">
        <f t="shared" si="483"/>
        <v>0</v>
      </c>
      <c r="H289" s="5">
        <f t="shared" si="484"/>
        <v>0</v>
      </c>
      <c r="I289" s="16">
        <f t="shared" si="485"/>
        <v>9999</v>
      </c>
      <c r="K289" s="9" t="s">
        <v>22</v>
      </c>
      <c r="L289" s="5">
        <f t="shared" si="486"/>
        <v>0</v>
      </c>
      <c r="M289" s="5">
        <f t="shared" si="487"/>
        <v>0</v>
      </c>
      <c r="N289" s="16">
        <f t="shared" si="488"/>
        <v>9999</v>
      </c>
      <c r="O289" s="13"/>
    </row>
    <row r="290" spans="1:24" x14ac:dyDescent="0.2">
      <c r="A290" s="9" t="s">
        <v>23</v>
      </c>
      <c r="B290" s="5">
        <f t="shared" si="480"/>
        <v>0</v>
      </c>
      <c r="C290" s="5">
        <f t="shared" si="481"/>
        <v>0</v>
      </c>
      <c r="D290" s="16">
        <f t="shared" si="482"/>
        <v>9999</v>
      </c>
      <c r="F290" s="9" t="s">
        <v>23</v>
      </c>
      <c r="G290" s="5">
        <f t="shared" si="483"/>
        <v>0</v>
      </c>
      <c r="H290" s="5">
        <f t="shared" si="484"/>
        <v>0</v>
      </c>
      <c r="I290" s="16">
        <f t="shared" si="485"/>
        <v>9999</v>
      </c>
      <c r="K290" s="9" t="s">
        <v>23</v>
      </c>
      <c r="L290" s="5">
        <f t="shared" si="486"/>
        <v>0</v>
      </c>
      <c r="M290" s="5">
        <f t="shared" si="487"/>
        <v>0</v>
      </c>
      <c r="N290" s="16">
        <f t="shared" si="488"/>
        <v>9999</v>
      </c>
      <c r="O290" s="13"/>
    </row>
    <row r="291" spans="1:24" x14ac:dyDescent="0.2">
      <c r="A291" s="9" t="s">
        <v>24</v>
      </c>
      <c r="B291" s="5">
        <f t="shared" si="480"/>
        <v>0</v>
      </c>
      <c r="C291" s="5">
        <f t="shared" si="481"/>
        <v>0</v>
      </c>
      <c r="D291" s="16">
        <f t="shared" si="482"/>
        <v>9999</v>
      </c>
      <c r="F291" s="9" t="s">
        <v>24</v>
      </c>
      <c r="G291" s="5">
        <f t="shared" si="483"/>
        <v>0</v>
      </c>
      <c r="H291" s="5">
        <f t="shared" si="484"/>
        <v>0</v>
      </c>
      <c r="I291" s="16">
        <f t="shared" si="485"/>
        <v>9999</v>
      </c>
      <c r="K291" s="9" t="s">
        <v>24</v>
      </c>
      <c r="L291" s="5">
        <f t="shared" si="486"/>
        <v>0</v>
      </c>
      <c r="M291" s="5">
        <f t="shared" si="487"/>
        <v>0</v>
      </c>
      <c r="N291" s="16">
        <f t="shared" si="488"/>
        <v>9999</v>
      </c>
      <c r="O291" s="13"/>
    </row>
    <row r="292" spans="1:24" x14ac:dyDescent="0.2">
      <c r="A292" s="4" t="s">
        <v>25</v>
      </c>
      <c r="B292" s="5">
        <f t="shared" si="480"/>
        <v>0</v>
      </c>
      <c r="C292" s="5">
        <f t="shared" si="481"/>
        <v>0</v>
      </c>
      <c r="D292" s="16">
        <f t="shared" si="482"/>
        <v>9999</v>
      </c>
      <c r="F292" s="4" t="s">
        <v>25</v>
      </c>
      <c r="G292" s="5">
        <f t="shared" si="483"/>
        <v>0</v>
      </c>
      <c r="H292" s="5">
        <f t="shared" si="484"/>
        <v>0</v>
      </c>
      <c r="I292" s="16">
        <f t="shared" si="485"/>
        <v>9999</v>
      </c>
      <c r="K292" s="4" t="s">
        <v>25</v>
      </c>
      <c r="L292" s="5">
        <f t="shared" si="486"/>
        <v>0</v>
      </c>
      <c r="M292" s="5">
        <f t="shared" si="487"/>
        <v>0</v>
      </c>
      <c r="N292" s="16">
        <f t="shared" si="488"/>
        <v>9999</v>
      </c>
      <c r="O292" s="13"/>
    </row>
    <row r="293" spans="1:24" x14ac:dyDescent="0.2">
      <c r="A293" s="4" t="s">
        <v>26</v>
      </c>
      <c r="B293" s="5">
        <f t="shared" si="480"/>
        <v>0</v>
      </c>
      <c r="C293" s="5">
        <f t="shared" si="481"/>
        <v>0</v>
      </c>
      <c r="D293" s="16">
        <f t="shared" si="482"/>
        <v>9999</v>
      </c>
      <c r="F293" s="4" t="s">
        <v>26</v>
      </c>
      <c r="G293" s="5">
        <f t="shared" si="483"/>
        <v>0</v>
      </c>
      <c r="H293" s="5">
        <f t="shared" si="484"/>
        <v>0</v>
      </c>
      <c r="I293" s="16">
        <f t="shared" si="485"/>
        <v>9999</v>
      </c>
      <c r="K293" s="4" t="s">
        <v>26</v>
      </c>
      <c r="L293" s="5">
        <f t="shared" si="486"/>
        <v>0</v>
      </c>
      <c r="M293" s="5">
        <f t="shared" si="487"/>
        <v>0</v>
      </c>
      <c r="N293" s="16">
        <f t="shared" si="488"/>
        <v>9999</v>
      </c>
      <c r="O293" s="13"/>
    </row>
    <row r="294" spans="1:24" x14ac:dyDescent="0.2">
      <c r="A294" s="4" t="s">
        <v>27</v>
      </c>
      <c r="B294" s="5">
        <f t="shared" si="480"/>
        <v>0</v>
      </c>
      <c r="C294" s="5">
        <f t="shared" si="481"/>
        <v>0</v>
      </c>
      <c r="D294" s="16">
        <f t="shared" si="482"/>
        <v>9999</v>
      </c>
      <c r="F294" s="4" t="s">
        <v>27</v>
      </c>
      <c r="G294" s="5">
        <f t="shared" si="483"/>
        <v>0</v>
      </c>
      <c r="H294" s="5">
        <f t="shared" si="484"/>
        <v>0</v>
      </c>
      <c r="I294" s="16">
        <f t="shared" si="485"/>
        <v>9999</v>
      </c>
      <c r="K294" s="4" t="s">
        <v>27</v>
      </c>
      <c r="L294" s="5">
        <f t="shared" si="486"/>
        <v>0</v>
      </c>
      <c r="M294" s="5">
        <f t="shared" si="487"/>
        <v>0</v>
      </c>
      <c r="N294" s="16">
        <f t="shared" si="488"/>
        <v>9999</v>
      </c>
      <c r="O294" s="13"/>
    </row>
    <row r="295" spans="1:24" x14ac:dyDescent="0.2">
      <c r="A295" s="9" t="s">
        <v>28</v>
      </c>
      <c r="B295" s="5">
        <f t="shared" si="480"/>
        <v>0</v>
      </c>
      <c r="C295" s="5">
        <f t="shared" si="481"/>
        <v>0</v>
      </c>
      <c r="D295" s="16">
        <f t="shared" si="482"/>
        <v>9999</v>
      </c>
      <c r="F295" s="9" t="s">
        <v>28</v>
      </c>
      <c r="G295" s="5">
        <f t="shared" si="483"/>
        <v>0</v>
      </c>
      <c r="H295" s="5">
        <f t="shared" si="484"/>
        <v>0</v>
      </c>
      <c r="I295" s="16">
        <f t="shared" si="485"/>
        <v>9999</v>
      </c>
      <c r="K295" s="9" t="s">
        <v>28</v>
      </c>
      <c r="L295" s="5">
        <f t="shared" si="486"/>
        <v>0</v>
      </c>
      <c r="M295" s="5">
        <f t="shared" si="487"/>
        <v>0</v>
      </c>
      <c r="N295" s="16">
        <f t="shared" si="488"/>
        <v>9999</v>
      </c>
      <c r="O295" s="13"/>
    </row>
    <row r="296" spans="1:24" x14ac:dyDescent="0.2">
      <c r="A296" s="9" t="s">
        <v>29</v>
      </c>
      <c r="B296" s="5">
        <f t="shared" si="480"/>
        <v>0</v>
      </c>
      <c r="C296" s="5">
        <f t="shared" si="481"/>
        <v>0</v>
      </c>
      <c r="D296" s="16">
        <f t="shared" si="482"/>
        <v>9999</v>
      </c>
      <c r="F296" s="9" t="s">
        <v>29</v>
      </c>
      <c r="G296" s="5">
        <f t="shared" si="483"/>
        <v>0</v>
      </c>
      <c r="H296" s="5">
        <f t="shared" si="484"/>
        <v>0</v>
      </c>
      <c r="I296" s="16">
        <f t="shared" si="485"/>
        <v>9999</v>
      </c>
      <c r="K296" s="9" t="s">
        <v>29</v>
      </c>
      <c r="L296" s="5">
        <f t="shared" si="486"/>
        <v>0</v>
      </c>
      <c r="M296" s="5">
        <f t="shared" si="487"/>
        <v>0</v>
      </c>
      <c r="N296" s="16">
        <f t="shared" si="488"/>
        <v>9999</v>
      </c>
      <c r="O296" s="13"/>
    </row>
    <row r="297" spans="1:24" x14ac:dyDescent="0.2">
      <c r="A297" s="9" t="s">
        <v>30</v>
      </c>
      <c r="B297" s="5">
        <f t="shared" si="480"/>
        <v>0</v>
      </c>
      <c r="C297" s="5">
        <f t="shared" si="481"/>
        <v>0</v>
      </c>
      <c r="D297" s="16">
        <f t="shared" si="482"/>
        <v>9999</v>
      </c>
      <c r="F297" s="9" t="s">
        <v>30</v>
      </c>
      <c r="G297" s="5">
        <f t="shared" si="483"/>
        <v>0</v>
      </c>
      <c r="H297" s="5">
        <f t="shared" si="484"/>
        <v>0</v>
      </c>
      <c r="I297" s="16">
        <f t="shared" si="485"/>
        <v>9999</v>
      </c>
      <c r="K297" s="9" t="s">
        <v>30</v>
      </c>
      <c r="L297" s="5">
        <f t="shared" si="486"/>
        <v>0</v>
      </c>
      <c r="M297" s="5">
        <f t="shared" si="487"/>
        <v>0</v>
      </c>
      <c r="N297" s="16">
        <f t="shared" si="488"/>
        <v>9999</v>
      </c>
      <c r="O297" s="13"/>
    </row>
    <row r="298" spans="1:24" x14ac:dyDescent="0.2">
      <c r="A298" s="9" t="s">
        <v>31</v>
      </c>
      <c r="B298" s="5">
        <f t="shared" si="480"/>
        <v>0</v>
      </c>
      <c r="C298" s="5">
        <f t="shared" si="481"/>
        <v>0</v>
      </c>
      <c r="D298" s="16">
        <f t="shared" si="482"/>
        <v>9999</v>
      </c>
      <c r="F298" s="9" t="s">
        <v>31</v>
      </c>
      <c r="G298" s="5">
        <f t="shared" si="483"/>
        <v>0</v>
      </c>
      <c r="H298" s="5">
        <f t="shared" si="484"/>
        <v>0</v>
      </c>
      <c r="I298" s="16">
        <f t="shared" si="485"/>
        <v>9999</v>
      </c>
      <c r="K298" s="9" t="s">
        <v>31</v>
      </c>
      <c r="L298" s="5">
        <f t="shared" si="486"/>
        <v>0</v>
      </c>
      <c r="M298" s="5">
        <f t="shared" si="487"/>
        <v>0</v>
      </c>
      <c r="N298" s="16">
        <f t="shared" si="488"/>
        <v>9999</v>
      </c>
      <c r="O298" s="13"/>
    </row>
    <row r="299" spans="1:24" x14ac:dyDescent="0.2">
      <c r="A299" s="10" t="s">
        <v>32</v>
      </c>
      <c r="B299" s="8">
        <f t="shared" si="480"/>
        <v>0</v>
      </c>
      <c r="C299" s="8">
        <f t="shared" si="481"/>
        <v>0</v>
      </c>
      <c r="D299" s="18">
        <f t="shared" si="482"/>
        <v>9999</v>
      </c>
      <c r="F299" s="10" t="s">
        <v>32</v>
      </c>
      <c r="G299" s="8">
        <f t="shared" si="483"/>
        <v>0</v>
      </c>
      <c r="H299" s="8">
        <f t="shared" si="484"/>
        <v>0</v>
      </c>
      <c r="I299" s="18">
        <f t="shared" si="485"/>
        <v>9999</v>
      </c>
      <c r="K299" s="10" t="s">
        <v>32</v>
      </c>
      <c r="L299" s="8">
        <f t="shared" si="486"/>
        <v>0</v>
      </c>
      <c r="M299" s="8">
        <f t="shared" si="487"/>
        <v>0</v>
      </c>
      <c r="N299" s="18">
        <f t="shared" si="488"/>
        <v>9999</v>
      </c>
      <c r="O299" s="13"/>
    </row>
    <row r="300" spans="1:24" x14ac:dyDescent="0.2">
      <c r="P300" s="13"/>
    </row>
    <row r="301" spans="1:24" x14ac:dyDescent="0.2">
      <c r="A301" s="14" t="s">
        <v>12</v>
      </c>
      <c r="P301" s="13"/>
    </row>
    <row r="302" spans="1:24" x14ac:dyDescent="0.2">
      <c r="A302" s="28" t="s">
        <v>62</v>
      </c>
      <c r="B302" s="2"/>
      <c r="C302" s="2"/>
      <c r="D302" s="3"/>
      <c r="F302" s="1" t="s">
        <v>11</v>
      </c>
      <c r="G302" s="2"/>
      <c r="H302" s="2"/>
      <c r="I302" s="3"/>
      <c r="K302" s="27" t="s">
        <v>64</v>
      </c>
      <c r="L302" s="2"/>
      <c r="M302" s="2"/>
      <c r="N302" s="3"/>
      <c r="O302" s="11"/>
    </row>
    <row r="303" spans="1:24" x14ac:dyDescent="0.2">
      <c r="A303" s="4"/>
      <c r="B303" s="5"/>
      <c r="C303" s="5"/>
      <c r="D303" s="6"/>
      <c r="F303" s="4"/>
      <c r="G303" s="5"/>
      <c r="H303" s="5"/>
      <c r="I303" s="6"/>
      <c r="K303" s="4"/>
      <c r="L303" s="5"/>
      <c r="M303" s="5"/>
      <c r="N303" s="6"/>
      <c r="O303" s="11"/>
      <c r="X303" s="29"/>
    </row>
    <row r="304" spans="1:24" x14ac:dyDescent="0.2">
      <c r="A304" s="4"/>
      <c r="B304" s="5"/>
      <c r="C304" s="5"/>
      <c r="D304" s="16" t="s">
        <v>3</v>
      </c>
      <c r="F304" s="4"/>
      <c r="G304" s="5"/>
      <c r="H304" s="5"/>
      <c r="I304" s="16" t="s">
        <v>4</v>
      </c>
      <c r="K304" s="4"/>
      <c r="L304" s="5"/>
      <c r="M304" s="5"/>
      <c r="N304" s="30" t="s">
        <v>4</v>
      </c>
      <c r="O304" s="11"/>
    </row>
    <row r="305" spans="1:15" x14ac:dyDescent="0.2">
      <c r="A305" s="4" t="s">
        <v>13</v>
      </c>
      <c r="B305" s="5">
        <f>IF(E55&lt;&gt;9999,E55,0)</f>
        <v>0</v>
      </c>
      <c r="C305" s="5">
        <f>IF(E80&lt;&gt;9999,E80,0)</f>
        <v>0</v>
      </c>
      <c r="D305" s="16">
        <f>IF(ISERROR(B305-C305),9999,IF(OR(B305=0,C305=0),9999,IF(B305+C305&lt;=0,9999,(B305+C305)/10)))</f>
        <v>9999</v>
      </c>
      <c r="F305" s="4" t="s">
        <v>13</v>
      </c>
      <c r="G305" s="5">
        <f>IF(J55&lt;&gt;9999,J55,0)</f>
        <v>0</v>
      </c>
      <c r="H305" s="5">
        <f>IF(J80&lt;&gt;9999,J80,0)</f>
        <v>0</v>
      </c>
      <c r="I305" s="16">
        <f>IF(ISERROR(H305-G305),9999,IF(OR(G305=0,H305=0),9999,IF(G305+H305&lt;=0,9999,G305+H305)))</f>
        <v>9999</v>
      </c>
      <c r="K305" s="4" t="s">
        <v>13</v>
      </c>
      <c r="L305" s="5">
        <f>P5</f>
        <v>0</v>
      </c>
      <c r="M305" s="5">
        <f>O5</f>
        <v>0</v>
      </c>
      <c r="N305" s="16">
        <f>IF(ISERROR(L305-M305),9999,IF(OR(L305=0,M305=0),9999,IF(L305-M305&lt;=0,9999,L305-M305)))</f>
        <v>9999</v>
      </c>
      <c r="O305" s="13"/>
    </row>
    <row r="306" spans="1:15" x14ac:dyDescent="0.2">
      <c r="A306" s="4" t="s">
        <v>14</v>
      </c>
      <c r="B306" s="5">
        <f t="shared" ref="B306:B324" si="489">IF(E56&lt;&gt;9999,E56,0)</f>
        <v>0</v>
      </c>
      <c r="C306" s="5">
        <f t="shared" ref="C306:C324" si="490">IF(E81&lt;&gt;9999,E81,0)</f>
        <v>0</v>
      </c>
      <c r="D306" s="16">
        <f t="shared" ref="D306:D324" si="491">IF(ISERROR(B306-C306),9999,IF(OR(B306=0,C306=0),9999,IF(B306+C306&lt;=0,9999,(B306+C306)/10)))</f>
        <v>9999</v>
      </c>
      <c r="F306" s="4" t="s">
        <v>14</v>
      </c>
      <c r="G306" s="5">
        <f t="shared" ref="G306:G324" si="492">IF(J56&lt;&gt;9999,J56,0)</f>
        <v>0</v>
      </c>
      <c r="H306" s="5">
        <f t="shared" ref="H306:H324" si="493">IF(J81&lt;&gt;9999,J81,0)</f>
        <v>0</v>
      </c>
      <c r="I306" s="16">
        <f t="shared" ref="I306:I324" si="494">IF(ISERROR(H306-G306),9999,IF(OR(G306=0,H306=0),9999,IF(G306+H306&lt;=0,9999,G306+H306)))</f>
        <v>9999</v>
      </c>
      <c r="K306" s="4" t="s">
        <v>14</v>
      </c>
      <c r="L306" s="5">
        <f t="shared" ref="L306:L324" si="495">P6</f>
        <v>0</v>
      </c>
      <c r="M306" s="5">
        <f t="shared" ref="M306:M324" si="496">O6</f>
        <v>0</v>
      </c>
      <c r="N306" s="16">
        <f t="shared" ref="N306:N324" si="497">IF(ISERROR(L306-M306),9999,IF(OR(L306=0,M306=0),9999,IF(L306-M306&lt;=0,9999,L306-M306)))</f>
        <v>9999</v>
      </c>
      <c r="O306" s="13"/>
    </row>
    <row r="307" spans="1:15" x14ac:dyDescent="0.2">
      <c r="A307" s="4" t="s">
        <v>15</v>
      </c>
      <c r="B307" s="5">
        <f t="shared" si="489"/>
        <v>0</v>
      </c>
      <c r="C307" s="5">
        <f t="shared" si="490"/>
        <v>0</v>
      </c>
      <c r="D307" s="16">
        <f t="shared" si="491"/>
        <v>9999</v>
      </c>
      <c r="F307" s="4" t="s">
        <v>15</v>
      </c>
      <c r="G307" s="5">
        <f t="shared" si="492"/>
        <v>0</v>
      </c>
      <c r="H307" s="5">
        <f t="shared" si="493"/>
        <v>0</v>
      </c>
      <c r="I307" s="16">
        <f t="shared" si="494"/>
        <v>9999</v>
      </c>
      <c r="K307" s="4" t="s">
        <v>15</v>
      </c>
      <c r="L307" s="5">
        <f t="shared" si="495"/>
        <v>0</v>
      </c>
      <c r="M307" s="5">
        <f t="shared" si="496"/>
        <v>0</v>
      </c>
      <c r="N307" s="16">
        <f t="shared" si="497"/>
        <v>9999</v>
      </c>
      <c r="O307" s="13"/>
    </row>
    <row r="308" spans="1:15" x14ac:dyDescent="0.2">
      <c r="A308" s="4" t="s">
        <v>16</v>
      </c>
      <c r="B308" s="5">
        <f t="shared" si="489"/>
        <v>0</v>
      </c>
      <c r="C308" s="5">
        <f t="shared" si="490"/>
        <v>0</v>
      </c>
      <c r="D308" s="16">
        <f t="shared" si="491"/>
        <v>9999</v>
      </c>
      <c r="F308" s="4" t="s">
        <v>16</v>
      </c>
      <c r="G308" s="5">
        <f t="shared" si="492"/>
        <v>0</v>
      </c>
      <c r="H308" s="5">
        <f t="shared" si="493"/>
        <v>0</v>
      </c>
      <c r="I308" s="16">
        <f t="shared" si="494"/>
        <v>9999</v>
      </c>
      <c r="K308" s="4" t="s">
        <v>16</v>
      </c>
      <c r="L308" s="5">
        <f t="shared" si="495"/>
        <v>0</v>
      </c>
      <c r="M308" s="5">
        <f t="shared" si="496"/>
        <v>0</v>
      </c>
      <c r="N308" s="16">
        <f t="shared" si="497"/>
        <v>9999</v>
      </c>
      <c r="O308" s="13"/>
    </row>
    <row r="309" spans="1:15" x14ac:dyDescent="0.2">
      <c r="A309" s="4" t="s">
        <v>17</v>
      </c>
      <c r="B309" s="5">
        <f t="shared" si="489"/>
        <v>0</v>
      </c>
      <c r="C309" s="5">
        <f t="shared" si="490"/>
        <v>0</v>
      </c>
      <c r="D309" s="16">
        <f t="shared" si="491"/>
        <v>9999</v>
      </c>
      <c r="F309" s="4" t="s">
        <v>17</v>
      </c>
      <c r="G309" s="5">
        <f t="shared" si="492"/>
        <v>0</v>
      </c>
      <c r="H309" s="5">
        <f t="shared" si="493"/>
        <v>0</v>
      </c>
      <c r="I309" s="16">
        <f t="shared" si="494"/>
        <v>9999</v>
      </c>
      <c r="K309" s="4" t="s">
        <v>17</v>
      </c>
      <c r="L309" s="5">
        <f t="shared" si="495"/>
        <v>0</v>
      </c>
      <c r="M309" s="5">
        <f t="shared" si="496"/>
        <v>0</v>
      </c>
      <c r="N309" s="16">
        <f t="shared" si="497"/>
        <v>9999</v>
      </c>
      <c r="O309" s="13"/>
    </row>
    <row r="310" spans="1:15" x14ac:dyDescent="0.2">
      <c r="A310" s="4" t="s">
        <v>18</v>
      </c>
      <c r="B310" s="5">
        <f t="shared" si="489"/>
        <v>0</v>
      </c>
      <c r="C310" s="5">
        <f t="shared" si="490"/>
        <v>0</v>
      </c>
      <c r="D310" s="16">
        <f t="shared" si="491"/>
        <v>9999</v>
      </c>
      <c r="F310" s="4" t="s">
        <v>18</v>
      </c>
      <c r="G310" s="5">
        <f t="shared" si="492"/>
        <v>0</v>
      </c>
      <c r="H310" s="5">
        <f t="shared" si="493"/>
        <v>0</v>
      </c>
      <c r="I310" s="16">
        <f t="shared" si="494"/>
        <v>9999</v>
      </c>
      <c r="K310" s="4" t="s">
        <v>18</v>
      </c>
      <c r="L310" s="5">
        <f t="shared" si="495"/>
        <v>0</v>
      </c>
      <c r="M310" s="5">
        <f t="shared" si="496"/>
        <v>0</v>
      </c>
      <c r="N310" s="16">
        <f t="shared" si="497"/>
        <v>9999</v>
      </c>
      <c r="O310" s="13"/>
    </row>
    <row r="311" spans="1:15" x14ac:dyDescent="0.2">
      <c r="A311" s="4" t="s">
        <v>19</v>
      </c>
      <c r="B311" s="5">
        <f t="shared" si="489"/>
        <v>0</v>
      </c>
      <c r="C311" s="5">
        <f t="shared" si="490"/>
        <v>0</v>
      </c>
      <c r="D311" s="16">
        <f t="shared" si="491"/>
        <v>9999</v>
      </c>
      <c r="F311" s="4" t="s">
        <v>19</v>
      </c>
      <c r="G311" s="5">
        <f t="shared" si="492"/>
        <v>0</v>
      </c>
      <c r="H311" s="5">
        <f t="shared" si="493"/>
        <v>0</v>
      </c>
      <c r="I311" s="16">
        <f t="shared" si="494"/>
        <v>9999</v>
      </c>
      <c r="K311" s="4" t="s">
        <v>19</v>
      </c>
      <c r="L311" s="5">
        <f t="shared" si="495"/>
        <v>0</v>
      </c>
      <c r="M311" s="5">
        <f t="shared" si="496"/>
        <v>0</v>
      </c>
      <c r="N311" s="16">
        <f t="shared" si="497"/>
        <v>9999</v>
      </c>
      <c r="O311" s="13"/>
    </row>
    <row r="312" spans="1:15" x14ac:dyDescent="0.2">
      <c r="A312" s="9" t="s">
        <v>20</v>
      </c>
      <c r="B312" s="5">
        <f t="shared" si="489"/>
        <v>0</v>
      </c>
      <c r="C312" s="5">
        <f t="shared" si="490"/>
        <v>0</v>
      </c>
      <c r="D312" s="16">
        <f t="shared" si="491"/>
        <v>9999</v>
      </c>
      <c r="F312" s="9" t="s">
        <v>20</v>
      </c>
      <c r="G312" s="5">
        <f t="shared" si="492"/>
        <v>0</v>
      </c>
      <c r="H312" s="5">
        <f t="shared" si="493"/>
        <v>0</v>
      </c>
      <c r="I312" s="16">
        <f t="shared" si="494"/>
        <v>9999</v>
      </c>
      <c r="K312" s="9" t="s">
        <v>20</v>
      </c>
      <c r="L312" s="5">
        <f t="shared" si="495"/>
        <v>0</v>
      </c>
      <c r="M312" s="5">
        <f t="shared" si="496"/>
        <v>0</v>
      </c>
      <c r="N312" s="16">
        <f t="shared" si="497"/>
        <v>9999</v>
      </c>
      <c r="O312" s="13"/>
    </row>
    <row r="313" spans="1:15" x14ac:dyDescent="0.2">
      <c r="A313" s="9" t="s">
        <v>21</v>
      </c>
      <c r="B313" s="5">
        <f t="shared" si="489"/>
        <v>0</v>
      </c>
      <c r="C313" s="5">
        <f t="shared" si="490"/>
        <v>0</v>
      </c>
      <c r="D313" s="16">
        <f t="shared" si="491"/>
        <v>9999</v>
      </c>
      <c r="F313" s="9" t="s">
        <v>21</v>
      </c>
      <c r="G313" s="5">
        <f t="shared" si="492"/>
        <v>0</v>
      </c>
      <c r="H313" s="5">
        <f t="shared" si="493"/>
        <v>0</v>
      </c>
      <c r="I313" s="16">
        <f t="shared" si="494"/>
        <v>9999</v>
      </c>
      <c r="K313" s="9" t="s">
        <v>21</v>
      </c>
      <c r="L313" s="5">
        <f t="shared" si="495"/>
        <v>0</v>
      </c>
      <c r="M313" s="5">
        <f t="shared" si="496"/>
        <v>0</v>
      </c>
      <c r="N313" s="16">
        <f t="shared" si="497"/>
        <v>9999</v>
      </c>
      <c r="O313" s="13"/>
    </row>
    <row r="314" spans="1:15" x14ac:dyDescent="0.2">
      <c r="A314" s="9" t="s">
        <v>22</v>
      </c>
      <c r="B314" s="5">
        <f t="shared" si="489"/>
        <v>0</v>
      </c>
      <c r="C314" s="5">
        <f t="shared" si="490"/>
        <v>0</v>
      </c>
      <c r="D314" s="16">
        <f t="shared" si="491"/>
        <v>9999</v>
      </c>
      <c r="F314" s="9" t="s">
        <v>22</v>
      </c>
      <c r="G314" s="5">
        <f t="shared" si="492"/>
        <v>0</v>
      </c>
      <c r="H314" s="5">
        <f t="shared" si="493"/>
        <v>0</v>
      </c>
      <c r="I314" s="16">
        <f t="shared" si="494"/>
        <v>9999</v>
      </c>
      <c r="K314" s="9" t="s">
        <v>22</v>
      </c>
      <c r="L314" s="5">
        <f t="shared" si="495"/>
        <v>0</v>
      </c>
      <c r="M314" s="5">
        <f t="shared" si="496"/>
        <v>0</v>
      </c>
      <c r="N314" s="16">
        <f t="shared" si="497"/>
        <v>9999</v>
      </c>
      <c r="O314" s="13"/>
    </row>
    <row r="315" spans="1:15" x14ac:dyDescent="0.2">
      <c r="A315" s="9" t="s">
        <v>23</v>
      </c>
      <c r="B315" s="5">
        <f t="shared" si="489"/>
        <v>0</v>
      </c>
      <c r="C315" s="5">
        <f t="shared" si="490"/>
        <v>0</v>
      </c>
      <c r="D315" s="16">
        <f t="shared" si="491"/>
        <v>9999</v>
      </c>
      <c r="F315" s="9" t="s">
        <v>23</v>
      </c>
      <c r="G315" s="5">
        <f t="shared" si="492"/>
        <v>0</v>
      </c>
      <c r="H315" s="5">
        <f t="shared" si="493"/>
        <v>0</v>
      </c>
      <c r="I315" s="16">
        <f t="shared" si="494"/>
        <v>9999</v>
      </c>
      <c r="K315" s="9" t="s">
        <v>23</v>
      </c>
      <c r="L315" s="5">
        <f t="shared" si="495"/>
        <v>0</v>
      </c>
      <c r="M315" s="5">
        <f t="shared" si="496"/>
        <v>0</v>
      </c>
      <c r="N315" s="16">
        <f t="shared" si="497"/>
        <v>9999</v>
      </c>
      <c r="O315" s="13"/>
    </row>
    <row r="316" spans="1:15" x14ac:dyDescent="0.2">
      <c r="A316" s="9" t="s">
        <v>24</v>
      </c>
      <c r="B316" s="5">
        <f t="shared" si="489"/>
        <v>0</v>
      </c>
      <c r="C316" s="5">
        <f t="shared" si="490"/>
        <v>0</v>
      </c>
      <c r="D316" s="16">
        <f t="shared" si="491"/>
        <v>9999</v>
      </c>
      <c r="F316" s="9" t="s">
        <v>24</v>
      </c>
      <c r="G316" s="5">
        <f t="shared" si="492"/>
        <v>0</v>
      </c>
      <c r="H316" s="5">
        <f t="shared" si="493"/>
        <v>0</v>
      </c>
      <c r="I316" s="16">
        <f t="shared" si="494"/>
        <v>9999</v>
      </c>
      <c r="K316" s="9" t="s">
        <v>24</v>
      </c>
      <c r="L316" s="5">
        <f t="shared" si="495"/>
        <v>0</v>
      </c>
      <c r="M316" s="5">
        <f t="shared" si="496"/>
        <v>0</v>
      </c>
      <c r="N316" s="16">
        <f t="shared" si="497"/>
        <v>9999</v>
      </c>
      <c r="O316" s="13"/>
    </row>
    <row r="317" spans="1:15" x14ac:dyDescent="0.2">
      <c r="A317" s="4" t="s">
        <v>25</v>
      </c>
      <c r="B317" s="5">
        <f t="shared" si="489"/>
        <v>0</v>
      </c>
      <c r="C317" s="5">
        <f t="shared" si="490"/>
        <v>0</v>
      </c>
      <c r="D317" s="16">
        <f t="shared" si="491"/>
        <v>9999</v>
      </c>
      <c r="F317" s="4" t="s">
        <v>25</v>
      </c>
      <c r="G317" s="5">
        <f t="shared" si="492"/>
        <v>0</v>
      </c>
      <c r="H317" s="5">
        <f t="shared" si="493"/>
        <v>0</v>
      </c>
      <c r="I317" s="16">
        <f t="shared" si="494"/>
        <v>9999</v>
      </c>
      <c r="K317" s="4" t="s">
        <v>25</v>
      </c>
      <c r="L317" s="5">
        <f t="shared" si="495"/>
        <v>0</v>
      </c>
      <c r="M317" s="5">
        <f t="shared" si="496"/>
        <v>0</v>
      </c>
      <c r="N317" s="16">
        <f t="shared" si="497"/>
        <v>9999</v>
      </c>
      <c r="O317" s="13"/>
    </row>
    <row r="318" spans="1:15" x14ac:dyDescent="0.2">
      <c r="A318" s="4" t="s">
        <v>26</v>
      </c>
      <c r="B318" s="5">
        <f t="shared" si="489"/>
        <v>0</v>
      </c>
      <c r="C318" s="5">
        <f t="shared" si="490"/>
        <v>0</v>
      </c>
      <c r="D318" s="16">
        <f t="shared" si="491"/>
        <v>9999</v>
      </c>
      <c r="F318" s="4" t="s">
        <v>26</v>
      </c>
      <c r="G318" s="5">
        <f t="shared" si="492"/>
        <v>0</v>
      </c>
      <c r="H318" s="5">
        <f t="shared" si="493"/>
        <v>0</v>
      </c>
      <c r="I318" s="16">
        <f t="shared" si="494"/>
        <v>9999</v>
      </c>
      <c r="K318" s="4" t="s">
        <v>26</v>
      </c>
      <c r="L318" s="5">
        <f t="shared" si="495"/>
        <v>0</v>
      </c>
      <c r="M318" s="5">
        <f t="shared" si="496"/>
        <v>0</v>
      </c>
      <c r="N318" s="16">
        <f t="shared" si="497"/>
        <v>9999</v>
      </c>
      <c r="O318" s="13"/>
    </row>
    <row r="319" spans="1:15" x14ac:dyDescent="0.2">
      <c r="A319" s="4" t="s">
        <v>27</v>
      </c>
      <c r="B319" s="5">
        <f t="shared" si="489"/>
        <v>0</v>
      </c>
      <c r="C319" s="5">
        <f t="shared" si="490"/>
        <v>0</v>
      </c>
      <c r="D319" s="16">
        <f t="shared" si="491"/>
        <v>9999</v>
      </c>
      <c r="F319" s="4" t="s">
        <v>27</v>
      </c>
      <c r="G319" s="5">
        <f t="shared" si="492"/>
        <v>0</v>
      </c>
      <c r="H319" s="5">
        <f t="shared" si="493"/>
        <v>0</v>
      </c>
      <c r="I319" s="16">
        <f t="shared" si="494"/>
        <v>9999</v>
      </c>
      <c r="K319" s="4" t="s">
        <v>27</v>
      </c>
      <c r="L319" s="5">
        <f t="shared" si="495"/>
        <v>0</v>
      </c>
      <c r="M319" s="5">
        <f t="shared" si="496"/>
        <v>0</v>
      </c>
      <c r="N319" s="16">
        <f t="shared" si="497"/>
        <v>9999</v>
      </c>
      <c r="O319" s="13"/>
    </row>
    <row r="320" spans="1:15" x14ac:dyDescent="0.2">
      <c r="A320" s="9" t="s">
        <v>28</v>
      </c>
      <c r="B320" s="5">
        <f t="shared" si="489"/>
        <v>0</v>
      </c>
      <c r="C320" s="5">
        <f t="shared" si="490"/>
        <v>0</v>
      </c>
      <c r="D320" s="16">
        <f t="shared" si="491"/>
        <v>9999</v>
      </c>
      <c r="F320" s="9" t="s">
        <v>28</v>
      </c>
      <c r="G320" s="5">
        <f t="shared" si="492"/>
        <v>0</v>
      </c>
      <c r="H320" s="5">
        <f t="shared" si="493"/>
        <v>0</v>
      </c>
      <c r="I320" s="16">
        <f t="shared" si="494"/>
        <v>9999</v>
      </c>
      <c r="K320" s="9" t="s">
        <v>28</v>
      </c>
      <c r="L320" s="5">
        <f t="shared" si="495"/>
        <v>0</v>
      </c>
      <c r="M320" s="5">
        <f t="shared" si="496"/>
        <v>0</v>
      </c>
      <c r="N320" s="16">
        <f t="shared" si="497"/>
        <v>9999</v>
      </c>
      <c r="O320" s="13"/>
    </row>
    <row r="321" spans="1:24" x14ac:dyDescent="0.2">
      <c r="A321" s="9" t="s">
        <v>29</v>
      </c>
      <c r="B321" s="5">
        <f t="shared" si="489"/>
        <v>0</v>
      </c>
      <c r="C321" s="5">
        <f t="shared" si="490"/>
        <v>0</v>
      </c>
      <c r="D321" s="16">
        <f t="shared" si="491"/>
        <v>9999</v>
      </c>
      <c r="F321" s="9" t="s">
        <v>29</v>
      </c>
      <c r="G321" s="5">
        <f t="shared" si="492"/>
        <v>0</v>
      </c>
      <c r="H321" s="5">
        <f t="shared" si="493"/>
        <v>0</v>
      </c>
      <c r="I321" s="16">
        <f t="shared" si="494"/>
        <v>9999</v>
      </c>
      <c r="K321" s="9" t="s">
        <v>29</v>
      </c>
      <c r="L321" s="5">
        <f t="shared" si="495"/>
        <v>0</v>
      </c>
      <c r="M321" s="5">
        <f t="shared" si="496"/>
        <v>0</v>
      </c>
      <c r="N321" s="16">
        <f t="shared" si="497"/>
        <v>9999</v>
      </c>
      <c r="O321" s="13"/>
    </row>
    <row r="322" spans="1:24" x14ac:dyDescent="0.2">
      <c r="A322" s="9" t="s">
        <v>30</v>
      </c>
      <c r="B322" s="5">
        <f t="shared" si="489"/>
        <v>0</v>
      </c>
      <c r="C322" s="5">
        <f t="shared" si="490"/>
        <v>0</v>
      </c>
      <c r="D322" s="16">
        <f t="shared" si="491"/>
        <v>9999</v>
      </c>
      <c r="F322" s="9" t="s">
        <v>30</v>
      </c>
      <c r="G322" s="5">
        <f t="shared" si="492"/>
        <v>0</v>
      </c>
      <c r="H322" s="5">
        <f t="shared" si="493"/>
        <v>0</v>
      </c>
      <c r="I322" s="16">
        <f t="shared" si="494"/>
        <v>9999</v>
      </c>
      <c r="K322" s="9" t="s">
        <v>30</v>
      </c>
      <c r="L322" s="5">
        <f t="shared" si="495"/>
        <v>0</v>
      </c>
      <c r="M322" s="5">
        <f t="shared" si="496"/>
        <v>0</v>
      </c>
      <c r="N322" s="16">
        <f t="shared" si="497"/>
        <v>9999</v>
      </c>
      <c r="O322" s="13"/>
    </row>
    <row r="323" spans="1:24" x14ac:dyDescent="0.2">
      <c r="A323" s="9" t="s">
        <v>31</v>
      </c>
      <c r="B323" s="5">
        <f t="shared" si="489"/>
        <v>0</v>
      </c>
      <c r="C323" s="5">
        <f t="shared" si="490"/>
        <v>0</v>
      </c>
      <c r="D323" s="16">
        <f t="shared" si="491"/>
        <v>9999</v>
      </c>
      <c r="F323" s="9" t="s">
        <v>31</v>
      </c>
      <c r="G323" s="5">
        <f t="shared" si="492"/>
        <v>0</v>
      </c>
      <c r="H323" s="5">
        <f t="shared" si="493"/>
        <v>0</v>
      </c>
      <c r="I323" s="16">
        <f t="shared" si="494"/>
        <v>9999</v>
      </c>
      <c r="K323" s="9" t="s">
        <v>31</v>
      </c>
      <c r="L323" s="5">
        <f t="shared" si="495"/>
        <v>0</v>
      </c>
      <c r="M323" s="5">
        <f t="shared" si="496"/>
        <v>0</v>
      </c>
      <c r="N323" s="16">
        <f t="shared" si="497"/>
        <v>9999</v>
      </c>
      <c r="O323" s="13"/>
    </row>
    <row r="324" spans="1:24" x14ac:dyDescent="0.2">
      <c r="A324" s="10" t="s">
        <v>32</v>
      </c>
      <c r="B324" s="8">
        <f t="shared" si="489"/>
        <v>0</v>
      </c>
      <c r="C324" s="8">
        <f t="shared" si="490"/>
        <v>0</v>
      </c>
      <c r="D324" s="18">
        <f t="shared" si="491"/>
        <v>9999</v>
      </c>
      <c r="F324" s="10" t="s">
        <v>32</v>
      </c>
      <c r="G324" s="8">
        <f t="shared" si="492"/>
        <v>0</v>
      </c>
      <c r="H324" s="8">
        <f t="shared" si="493"/>
        <v>0</v>
      </c>
      <c r="I324" s="18">
        <f t="shared" si="494"/>
        <v>9999</v>
      </c>
      <c r="K324" s="10" t="s">
        <v>32</v>
      </c>
      <c r="L324" s="8">
        <f t="shared" si="495"/>
        <v>0</v>
      </c>
      <c r="M324" s="8">
        <f t="shared" si="496"/>
        <v>0</v>
      </c>
      <c r="N324" s="18">
        <f t="shared" si="497"/>
        <v>9999</v>
      </c>
      <c r="O324" s="13"/>
    </row>
    <row r="326" spans="1:24" x14ac:dyDescent="0.2">
      <c r="A326" s="14" t="s">
        <v>393</v>
      </c>
      <c r="P326" s="13"/>
    </row>
    <row r="327" spans="1:24" x14ac:dyDescent="0.2">
      <c r="A327" s="28" t="s">
        <v>62</v>
      </c>
      <c r="B327" s="2"/>
      <c r="C327" s="2"/>
      <c r="D327" s="3"/>
      <c r="F327" s="1" t="s">
        <v>11</v>
      </c>
      <c r="G327" s="2"/>
      <c r="H327" s="2"/>
      <c r="I327" s="3"/>
      <c r="K327" s="27" t="s">
        <v>64</v>
      </c>
      <c r="L327" s="2"/>
      <c r="M327" s="2"/>
      <c r="N327" s="3"/>
      <c r="O327" s="11"/>
    </row>
    <row r="328" spans="1:24" x14ac:dyDescent="0.2">
      <c r="A328" s="4"/>
      <c r="B328" s="5"/>
      <c r="C328" s="5"/>
      <c r="D328" s="6"/>
      <c r="F328" s="4"/>
      <c r="G328" s="5"/>
      <c r="H328" s="5"/>
      <c r="I328" s="6"/>
      <c r="K328" s="4"/>
      <c r="L328" s="5"/>
      <c r="M328" s="5"/>
      <c r="N328" s="6"/>
      <c r="O328" s="11"/>
      <c r="X328" s="29"/>
    </row>
    <row r="329" spans="1:24" x14ac:dyDescent="0.2">
      <c r="A329" s="4"/>
      <c r="B329" s="5"/>
      <c r="C329" s="5"/>
      <c r="D329" s="16" t="s">
        <v>3</v>
      </c>
      <c r="F329" s="4"/>
      <c r="G329" s="5"/>
      <c r="H329" s="5"/>
      <c r="I329" s="16" t="s">
        <v>4</v>
      </c>
      <c r="K329" s="4"/>
      <c r="L329" s="5"/>
      <c r="M329" s="5"/>
      <c r="N329" s="30" t="s">
        <v>4</v>
      </c>
      <c r="O329" s="11"/>
    </row>
    <row r="330" spans="1:24" x14ac:dyDescent="0.2">
      <c r="A330" s="4" t="s">
        <v>13</v>
      </c>
      <c r="B330" s="5">
        <f>IF(E80&lt;&gt;9999,E80,0)</f>
        <v>0</v>
      </c>
      <c r="C330" s="5">
        <f>IF(E105&lt;&gt;9999,E105,0)</f>
        <v>0</v>
      </c>
      <c r="D330" s="16">
        <f>IF(ISERROR(B330-C330),9999,IF(OR(B330=0,C330=0),9999,IF(B330+C330&lt;=0,9999,(B330+C330)/10)))</f>
        <v>9999</v>
      </c>
      <c r="F330" s="4" t="s">
        <v>13</v>
      </c>
      <c r="G330" s="5">
        <f>IF(J80&lt;&gt;9999,J80,0)</f>
        <v>0</v>
      </c>
      <c r="H330" s="5">
        <f>IF(J105&lt;&gt;9999,J105,0)</f>
        <v>0</v>
      </c>
      <c r="I330" s="16">
        <f>IF(ISERROR(H330-G330),9999,IF(OR(G330=0,H330=0),9999,IF(G330+H330&lt;=0,9999,G330+H330)))</f>
        <v>9999</v>
      </c>
      <c r="K330" s="4" t="s">
        <v>13</v>
      </c>
      <c r="L330" s="5">
        <f>U5</f>
        <v>0</v>
      </c>
      <c r="M330" s="5">
        <f>T5</f>
        <v>0</v>
      </c>
      <c r="N330" s="16">
        <f>IF(ISERROR(L330-M330),9999,IF(OR(L330=0,M330=0),9999,IF(L330-M330&lt;=0,9999,L330-M330)))</f>
        <v>9999</v>
      </c>
      <c r="O330" s="13"/>
    </row>
    <row r="331" spans="1:24" x14ac:dyDescent="0.2">
      <c r="A331" s="4" t="s">
        <v>14</v>
      </c>
      <c r="B331" s="5">
        <f t="shared" ref="B331:B349" si="498">IF(E81&lt;&gt;9999,E81,0)</f>
        <v>0</v>
      </c>
      <c r="C331" s="5">
        <f t="shared" ref="C331:C349" si="499">IF(E106&lt;&gt;9999,E106,0)</f>
        <v>0</v>
      </c>
      <c r="D331" s="16">
        <f t="shared" ref="D331:D349" si="500">IF(ISERROR(B331-C331),9999,IF(OR(B331=0,C331=0),9999,IF(B331+C331&lt;=0,9999,(B331+C331)/10)))</f>
        <v>9999</v>
      </c>
      <c r="F331" s="4" t="s">
        <v>14</v>
      </c>
      <c r="G331" s="5">
        <f t="shared" ref="G331:G349" si="501">IF(J81&lt;&gt;9999,J81,0)</f>
        <v>0</v>
      </c>
      <c r="H331" s="5">
        <f t="shared" ref="H331:H349" si="502">IF(J106&lt;&gt;9999,J106,0)</f>
        <v>0</v>
      </c>
      <c r="I331" s="16">
        <f t="shared" ref="I331:I349" si="503">IF(ISERROR(H331-G331),9999,IF(OR(G331=0,H331=0),9999,IF(G331+H331&lt;=0,9999,G331+H331)))</f>
        <v>9999</v>
      </c>
      <c r="K331" s="4" t="s">
        <v>14</v>
      </c>
      <c r="L331" s="5">
        <f t="shared" ref="L331:L349" si="504">U6</f>
        <v>0</v>
      </c>
      <c r="M331" s="5">
        <f t="shared" ref="M331:M349" si="505">T6</f>
        <v>0</v>
      </c>
      <c r="N331" s="16">
        <f t="shared" ref="N331:N349" si="506">IF(ISERROR(L331-M331),9999,IF(OR(L331=0,M331=0),9999,IF(L331-M331&lt;=0,9999,L331-M331)))</f>
        <v>9999</v>
      </c>
      <c r="O331" s="13"/>
    </row>
    <row r="332" spans="1:24" x14ac:dyDescent="0.2">
      <c r="A332" s="4" t="s">
        <v>15</v>
      </c>
      <c r="B332" s="5">
        <f t="shared" si="498"/>
        <v>0</v>
      </c>
      <c r="C332" s="5">
        <f t="shared" si="499"/>
        <v>0</v>
      </c>
      <c r="D332" s="16">
        <f t="shared" si="500"/>
        <v>9999</v>
      </c>
      <c r="F332" s="4" t="s">
        <v>15</v>
      </c>
      <c r="G332" s="5">
        <f t="shared" si="501"/>
        <v>0</v>
      </c>
      <c r="H332" s="5">
        <f t="shared" si="502"/>
        <v>0</v>
      </c>
      <c r="I332" s="16">
        <f t="shared" si="503"/>
        <v>9999</v>
      </c>
      <c r="K332" s="4" t="s">
        <v>15</v>
      </c>
      <c r="L332" s="5">
        <f t="shared" si="504"/>
        <v>0</v>
      </c>
      <c r="M332" s="5">
        <f t="shared" si="505"/>
        <v>0</v>
      </c>
      <c r="N332" s="16">
        <f t="shared" si="506"/>
        <v>9999</v>
      </c>
      <c r="O332" s="13"/>
    </row>
    <row r="333" spans="1:24" x14ac:dyDescent="0.2">
      <c r="A333" s="4" t="s">
        <v>16</v>
      </c>
      <c r="B333" s="5">
        <f t="shared" si="498"/>
        <v>0</v>
      </c>
      <c r="C333" s="5">
        <f t="shared" si="499"/>
        <v>0</v>
      </c>
      <c r="D333" s="16">
        <f t="shared" si="500"/>
        <v>9999</v>
      </c>
      <c r="F333" s="4" t="s">
        <v>16</v>
      </c>
      <c r="G333" s="5">
        <f t="shared" si="501"/>
        <v>0</v>
      </c>
      <c r="H333" s="5">
        <f t="shared" si="502"/>
        <v>0</v>
      </c>
      <c r="I333" s="16">
        <f t="shared" si="503"/>
        <v>9999</v>
      </c>
      <c r="K333" s="4" t="s">
        <v>16</v>
      </c>
      <c r="L333" s="5">
        <f t="shared" si="504"/>
        <v>0</v>
      </c>
      <c r="M333" s="5">
        <f t="shared" si="505"/>
        <v>0</v>
      </c>
      <c r="N333" s="16">
        <f t="shared" si="506"/>
        <v>9999</v>
      </c>
      <c r="O333" s="13"/>
    </row>
    <row r="334" spans="1:24" x14ac:dyDescent="0.2">
      <c r="A334" s="4" t="s">
        <v>17</v>
      </c>
      <c r="B334" s="5">
        <f t="shared" si="498"/>
        <v>0</v>
      </c>
      <c r="C334" s="5">
        <f t="shared" si="499"/>
        <v>0</v>
      </c>
      <c r="D334" s="16">
        <f t="shared" si="500"/>
        <v>9999</v>
      </c>
      <c r="F334" s="4" t="s">
        <v>17</v>
      </c>
      <c r="G334" s="5">
        <f t="shared" si="501"/>
        <v>0</v>
      </c>
      <c r="H334" s="5">
        <f t="shared" si="502"/>
        <v>0</v>
      </c>
      <c r="I334" s="16">
        <f t="shared" si="503"/>
        <v>9999</v>
      </c>
      <c r="K334" s="4" t="s">
        <v>17</v>
      </c>
      <c r="L334" s="5">
        <f t="shared" si="504"/>
        <v>0</v>
      </c>
      <c r="M334" s="5">
        <f t="shared" si="505"/>
        <v>0</v>
      </c>
      <c r="N334" s="16">
        <f t="shared" si="506"/>
        <v>9999</v>
      </c>
      <c r="O334" s="13"/>
    </row>
    <row r="335" spans="1:24" x14ac:dyDescent="0.2">
      <c r="A335" s="4" t="s">
        <v>18</v>
      </c>
      <c r="B335" s="5">
        <f t="shared" si="498"/>
        <v>0</v>
      </c>
      <c r="C335" s="5">
        <f t="shared" si="499"/>
        <v>0</v>
      </c>
      <c r="D335" s="16">
        <f t="shared" si="500"/>
        <v>9999</v>
      </c>
      <c r="F335" s="4" t="s">
        <v>18</v>
      </c>
      <c r="G335" s="5">
        <f t="shared" si="501"/>
        <v>0</v>
      </c>
      <c r="H335" s="5">
        <f t="shared" si="502"/>
        <v>0</v>
      </c>
      <c r="I335" s="16">
        <f t="shared" si="503"/>
        <v>9999</v>
      </c>
      <c r="K335" s="4" t="s">
        <v>18</v>
      </c>
      <c r="L335" s="5">
        <f t="shared" si="504"/>
        <v>0</v>
      </c>
      <c r="M335" s="5">
        <f t="shared" si="505"/>
        <v>0</v>
      </c>
      <c r="N335" s="16">
        <f t="shared" si="506"/>
        <v>9999</v>
      </c>
      <c r="O335" s="13"/>
    </row>
    <row r="336" spans="1:24" x14ac:dyDescent="0.2">
      <c r="A336" s="4" t="s">
        <v>19</v>
      </c>
      <c r="B336" s="5">
        <f t="shared" si="498"/>
        <v>0</v>
      </c>
      <c r="C336" s="5">
        <f t="shared" si="499"/>
        <v>0</v>
      </c>
      <c r="D336" s="16">
        <f t="shared" si="500"/>
        <v>9999</v>
      </c>
      <c r="F336" s="4" t="s">
        <v>19</v>
      </c>
      <c r="G336" s="5">
        <f t="shared" si="501"/>
        <v>0</v>
      </c>
      <c r="H336" s="5">
        <f t="shared" si="502"/>
        <v>0</v>
      </c>
      <c r="I336" s="16">
        <f t="shared" si="503"/>
        <v>9999</v>
      </c>
      <c r="K336" s="4" t="s">
        <v>19</v>
      </c>
      <c r="L336" s="5">
        <f t="shared" si="504"/>
        <v>0</v>
      </c>
      <c r="M336" s="5">
        <f t="shared" si="505"/>
        <v>0</v>
      </c>
      <c r="N336" s="16">
        <f t="shared" si="506"/>
        <v>9999</v>
      </c>
      <c r="O336" s="13"/>
    </row>
    <row r="337" spans="1:16" x14ac:dyDescent="0.2">
      <c r="A337" s="9" t="s">
        <v>20</v>
      </c>
      <c r="B337" s="5">
        <f t="shared" si="498"/>
        <v>0</v>
      </c>
      <c r="C337" s="5">
        <f t="shared" si="499"/>
        <v>0</v>
      </c>
      <c r="D337" s="16">
        <f t="shared" si="500"/>
        <v>9999</v>
      </c>
      <c r="F337" s="9" t="s">
        <v>20</v>
      </c>
      <c r="G337" s="5">
        <f t="shared" si="501"/>
        <v>0</v>
      </c>
      <c r="H337" s="5">
        <f t="shared" si="502"/>
        <v>0</v>
      </c>
      <c r="I337" s="16">
        <f t="shared" si="503"/>
        <v>9999</v>
      </c>
      <c r="K337" s="9" t="s">
        <v>20</v>
      </c>
      <c r="L337" s="5">
        <f t="shared" si="504"/>
        <v>0</v>
      </c>
      <c r="M337" s="5">
        <f t="shared" si="505"/>
        <v>0</v>
      </c>
      <c r="N337" s="16">
        <f t="shared" si="506"/>
        <v>9999</v>
      </c>
      <c r="O337" s="13"/>
    </row>
    <row r="338" spans="1:16" x14ac:dyDescent="0.2">
      <c r="A338" s="9" t="s">
        <v>21</v>
      </c>
      <c r="B338" s="5">
        <f t="shared" si="498"/>
        <v>0</v>
      </c>
      <c r="C338" s="5">
        <f t="shared" si="499"/>
        <v>0</v>
      </c>
      <c r="D338" s="16">
        <f t="shared" si="500"/>
        <v>9999</v>
      </c>
      <c r="F338" s="9" t="s">
        <v>21</v>
      </c>
      <c r="G338" s="5">
        <f t="shared" si="501"/>
        <v>0</v>
      </c>
      <c r="H338" s="5">
        <f t="shared" si="502"/>
        <v>0</v>
      </c>
      <c r="I338" s="16">
        <f t="shared" si="503"/>
        <v>9999</v>
      </c>
      <c r="K338" s="9" t="s">
        <v>21</v>
      </c>
      <c r="L338" s="5">
        <f t="shared" si="504"/>
        <v>0</v>
      </c>
      <c r="M338" s="5">
        <f t="shared" si="505"/>
        <v>0</v>
      </c>
      <c r="N338" s="16">
        <f t="shared" si="506"/>
        <v>9999</v>
      </c>
      <c r="O338" s="13"/>
    </row>
    <row r="339" spans="1:16" x14ac:dyDescent="0.2">
      <c r="A339" s="9" t="s">
        <v>22</v>
      </c>
      <c r="B339" s="5">
        <f t="shared" si="498"/>
        <v>0</v>
      </c>
      <c r="C339" s="5">
        <f t="shared" si="499"/>
        <v>0</v>
      </c>
      <c r="D339" s="16">
        <f t="shared" si="500"/>
        <v>9999</v>
      </c>
      <c r="F339" s="9" t="s">
        <v>22</v>
      </c>
      <c r="G339" s="5">
        <f t="shared" si="501"/>
        <v>0</v>
      </c>
      <c r="H339" s="5">
        <f t="shared" si="502"/>
        <v>0</v>
      </c>
      <c r="I339" s="16">
        <f t="shared" si="503"/>
        <v>9999</v>
      </c>
      <c r="K339" s="9" t="s">
        <v>22</v>
      </c>
      <c r="L339" s="5">
        <f t="shared" si="504"/>
        <v>0</v>
      </c>
      <c r="M339" s="5">
        <f t="shared" si="505"/>
        <v>0</v>
      </c>
      <c r="N339" s="16">
        <f t="shared" si="506"/>
        <v>9999</v>
      </c>
      <c r="O339" s="13"/>
    </row>
    <row r="340" spans="1:16" x14ac:dyDescent="0.2">
      <c r="A340" s="9" t="s">
        <v>23</v>
      </c>
      <c r="B340" s="5">
        <f t="shared" si="498"/>
        <v>0</v>
      </c>
      <c r="C340" s="5">
        <f t="shared" si="499"/>
        <v>0</v>
      </c>
      <c r="D340" s="16">
        <f t="shared" si="500"/>
        <v>9999</v>
      </c>
      <c r="F340" s="9" t="s">
        <v>23</v>
      </c>
      <c r="G340" s="5">
        <f t="shared" si="501"/>
        <v>0</v>
      </c>
      <c r="H340" s="5">
        <f t="shared" si="502"/>
        <v>0</v>
      </c>
      <c r="I340" s="16">
        <f t="shared" si="503"/>
        <v>9999</v>
      </c>
      <c r="K340" s="9" t="s">
        <v>23</v>
      </c>
      <c r="L340" s="5">
        <f t="shared" si="504"/>
        <v>0</v>
      </c>
      <c r="M340" s="5">
        <f t="shared" si="505"/>
        <v>0</v>
      </c>
      <c r="N340" s="16">
        <f t="shared" si="506"/>
        <v>9999</v>
      </c>
      <c r="O340" s="13"/>
    </row>
    <row r="341" spans="1:16" x14ac:dyDescent="0.2">
      <c r="A341" s="9" t="s">
        <v>24</v>
      </c>
      <c r="B341" s="5">
        <f t="shared" si="498"/>
        <v>0</v>
      </c>
      <c r="C341" s="5">
        <f t="shared" si="499"/>
        <v>0</v>
      </c>
      <c r="D341" s="16">
        <f t="shared" si="500"/>
        <v>9999</v>
      </c>
      <c r="F341" s="9" t="s">
        <v>24</v>
      </c>
      <c r="G341" s="5">
        <f t="shared" si="501"/>
        <v>0</v>
      </c>
      <c r="H341" s="5">
        <f t="shared" si="502"/>
        <v>0</v>
      </c>
      <c r="I341" s="16">
        <f t="shared" si="503"/>
        <v>9999</v>
      </c>
      <c r="K341" s="9" t="s">
        <v>24</v>
      </c>
      <c r="L341" s="5">
        <f t="shared" si="504"/>
        <v>0</v>
      </c>
      <c r="M341" s="5">
        <f t="shared" si="505"/>
        <v>0</v>
      </c>
      <c r="N341" s="16">
        <f t="shared" si="506"/>
        <v>9999</v>
      </c>
      <c r="O341" s="13"/>
    </row>
    <row r="342" spans="1:16" x14ac:dyDescent="0.2">
      <c r="A342" s="4" t="s">
        <v>25</v>
      </c>
      <c r="B342" s="5">
        <f t="shared" si="498"/>
        <v>0</v>
      </c>
      <c r="C342" s="5">
        <f t="shared" si="499"/>
        <v>0</v>
      </c>
      <c r="D342" s="16">
        <f t="shared" si="500"/>
        <v>9999</v>
      </c>
      <c r="F342" s="4" t="s">
        <v>25</v>
      </c>
      <c r="G342" s="5">
        <f t="shared" si="501"/>
        <v>0</v>
      </c>
      <c r="H342" s="5">
        <f t="shared" si="502"/>
        <v>0</v>
      </c>
      <c r="I342" s="16">
        <f t="shared" si="503"/>
        <v>9999</v>
      </c>
      <c r="K342" s="4" t="s">
        <v>25</v>
      </c>
      <c r="L342" s="5">
        <f t="shared" si="504"/>
        <v>0</v>
      </c>
      <c r="M342" s="5">
        <f t="shared" si="505"/>
        <v>0</v>
      </c>
      <c r="N342" s="16">
        <f t="shared" si="506"/>
        <v>9999</v>
      </c>
      <c r="O342" s="13"/>
    </row>
    <row r="343" spans="1:16" x14ac:dyDescent="0.2">
      <c r="A343" s="4" t="s">
        <v>26</v>
      </c>
      <c r="B343" s="5">
        <f t="shared" si="498"/>
        <v>0</v>
      </c>
      <c r="C343" s="5">
        <f t="shared" si="499"/>
        <v>0</v>
      </c>
      <c r="D343" s="16">
        <f t="shared" si="500"/>
        <v>9999</v>
      </c>
      <c r="F343" s="4" t="s">
        <v>26</v>
      </c>
      <c r="G343" s="5">
        <f t="shared" si="501"/>
        <v>0</v>
      </c>
      <c r="H343" s="5">
        <f t="shared" si="502"/>
        <v>0</v>
      </c>
      <c r="I343" s="16">
        <f t="shared" si="503"/>
        <v>9999</v>
      </c>
      <c r="K343" s="4" t="s">
        <v>26</v>
      </c>
      <c r="L343" s="5">
        <f t="shared" si="504"/>
        <v>0</v>
      </c>
      <c r="M343" s="5">
        <f t="shared" si="505"/>
        <v>0</v>
      </c>
      <c r="N343" s="16">
        <f t="shared" si="506"/>
        <v>9999</v>
      </c>
      <c r="O343" s="13"/>
    </row>
    <row r="344" spans="1:16" x14ac:dyDescent="0.2">
      <c r="A344" s="4" t="s">
        <v>27</v>
      </c>
      <c r="B344" s="5">
        <f t="shared" si="498"/>
        <v>0</v>
      </c>
      <c r="C344" s="5">
        <f t="shared" si="499"/>
        <v>0</v>
      </c>
      <c r="D344" s="16">
        <f t="shared" si="500"/>
        <v>9999</v>
      </c>
      <c r="F344" s="4" t="s">
        <v>27</v>
      </c>
      <c r="G344" s="5">
        <f t="shared" si="501"/>
        <v>0</v>
      </c>
      <c r="H344" s="5">
        <f t="shared" si="502"/>
        <v>0</v>
      </c>
      <c r="I344" s="16">
        <f t="shared" si="503"/>
        <v>9999</v>
      </c>
      <c r="K344" s="4" t="s">
        <v>27</v>
      </c>
      <c r="L344" s="5">
        <f t="shared" si="504"/>
        <v>0</v>
      </c>
      <c r="M344" s="5">
        <f t="shared" si="505"/>
        <v>0</v>
      </c>
      <c r="N344" s="16">
        <f t="shared" si="506"/>
        <v>9999</v>
      </c>
      <c r="O344" s="13"/>
    </row>
    <row r="345" spans="1:16" x14ac:dyDescent="0.2">
      <c r="A345" s="9" t="s">
        <v>28</v>
      </c>
      <c r="B345" s="5">
        <f t="shared" si="498"/>
        <v>0</v>
      </c>
      <c r="C345" s="5">
        <f t="shared" si="499"/>
        <v>0</v>
      </c>
      <c r="D345" s="16">
        <f t="shared" si="500"/>
        <v>9999</v>
      </c>
      <c r="F345" s="9" t="s">
        <v>28</v>
      </c>
      <c r="G345" s="5">
        <f t="shared" si="501"/>
        <v>0</v>
      </c>
      <c r="H345" s="5">
        <f t="shared" si="502"/>
        <v>0</v>
      </c>
      <c r="I345" s="16">
        <f t="shared" si="503"/>
        <v>9999</v>
      </c>
      <c r="K345" s="9" t="s">
        <v>28</v>
      </c>
      <c r="L345" s="5">
        <f t="shared" si="504"/>
        <v>0</v>
      </c>
      <c r="M345" s="5">
        <f t="shared" si="505"/>
        <v>0</v>
      </c>
      <c r="N345" s="16">
        <f t="shared" si="506"/>
        <v>9999</v>
      </c>
      <c r="O345" s="13"/>
    </row>
    <row r="346" spans="1:16" x14ac:dyDescent="0.2">
      <c r="A346" s="9" t="s">
        <v>29</v>
      </c>
      <c r="B346" s="5">
        <f t="shared" si="498"/>
        <v>0</v>
      </c>
      <c r="C346" s="5">
        <f t="shared" si="499"/>
        <v>0</v>
      </c>
      <c r="D346" s="16">
        <f t="shared" si="500"/>
        <v>9999</v>
      </c>
      <c r="F346" s="9" t="s">
        <v>29</v>
      </c>
      <c r="G346" s="5">
        <f t="shared" si="501"/>
        <v>0</v>
      </c>
      <c r="H346" s="5">
        <f t="shared" si="502"/>
        <v>0</v>
      </c>
      <c r="I346" s="16">
        <f t="shared" si="503"/>
        <v>9999</v>
      </c>
      <c r="K346" s="9" t="s">
        <v>29</v>
      </c>
      <c r="L346" s="5">
        <f t="shared" si="504"/>
        <v>0</v>
      </c>
      <c r="M346" s="5">
        <f t="shared" si="505"/>
        <v>0</v>
      </c>
      <c r="N346" s="16">
        <f t="shared" si="506"/>
        <v>9999</v>
      </c>
      <c r="O346" s="13"/>
    </row>
    <row r="347" spans="1:16" x14ac:dyDescent="0.2">
      <c r="A347" s="9" t="s">
        <v>30</v>
      </c>
      <c r="B347" s="5">
        <f t="shared" si="498"/>
        <v>0</v>
      </c>
      <c r="C347" s="5">
        <f t="shared" si="499"/>
        <v>0</v>
      </c>
      <c r="D347" s="16">
        <f t="shared" si="500"/>
        <v>9999</v>
      </c>
      <c r="F347" s="9" t="s">
        <v>30</v>
      </c>
      <c r="G347" s="5">
        <f t="shared" si="501"/>
        <v>0</v>
      </c>
      <c r="H347" s="5">
        <f t="shared" si="502"/>
        <v>0</v>
      </c>
      <c r="I347" s="16">
        <f t="shared" si="503"/>
        <v>9999</v>
      </c>
      <c r="K347" s="9" t="s">
        <v>30</v>
      </c>
      <c r="L347" s="5">
        <f t="shared" si="504"/>
        <v>0</v>
      </c>
      <c r="M347" s="5">
        <f t="shared" si="505"/>
        <v>0</v>
      </c>
      <c r="N347" s="16">
        <f t="shared" si="506"/>
        <v>9999</v>
      </c>
      <c r="O347" s="13"/>
    </row>
    <row r="348" spans="1:16" x14ac:dyDescent="0.2">
      <c r="A348" s="9" t="s">
        <v>31</v>
      </c>
      <c r="B348" s="5">
        <f t="shared" si="498"/>
        <v>0</v>
      </c>
      <c r="C348" s="5">
        <f t="shared" si="499"/>
        <v>0</v>
      </c>
      <c r="D348" s="16">
        <f t="shared" si="500"/>
        <v>9999</v>
      </c>
      <c r="F348" s="9" t="s">
        <v>31</v>
      </c>
      <c r="G348" s="5">
        <f t="shared" si="501"/>
        <v>0</v>
      </c>
      <c r="H348" s="5">
        <f t="shared" si="502"/>
        <v>0</v>
      </c>
      <c r="I348" s="16">
        <f t="shared" si="503"/>
        <v>9999</v>
      </c>
      <c r="K348" s="9" t="s">
        <v>31</v>
      </c>
      <c r="L348" s="5">
        <f t="shared" si="504"/>
        <v>0</v>
      </c>
      <c r="M348" s="5">
        <f t="shared" si="505"/>
        <v>0</v>
      </c>
      <c r="N348" s="16">
        <f t="shared" si="506"/>
        <v>9999</v>
      </c>
      <c r="O348" s="13"/>
    </row>
    <row r="349" spans="1:16" x14ac:dyDescent="0.2">
      <c r="A349" s="10" t="s">
        <v>32</v>
      </c>
      <c r="B349" s="8">
        <f t="shared" si="498"/>
        <v>0</v>
      </c>
      <c r="C349" s="8">
        <f t="shared" si="499"/>
        <v>0</v>
      </c>
      <c r="D349" s="18">
        <f t="shared" si="500"/>
        <v>9999</v>
      </c>
      <c r="F349" s="10" t="s">
        <v>32</v>
      </c>
      <c r="G349" s="8">
        <f t="shared" si="501"/>
        <v>0</v>
      </c>
      <c r="H349" s="8">
        <f t="shared" si="502"/>
        <v>0</v>
      </c>
      <c r="I349" s="18">
        <f t="shared" si="503"/>
        <v>9999</v>
      </c>
      <c r="K349" s="10" t="s">
        <v>32</v>
      </c>
      <c r="L349" s="8">
        <f t="shared" si="504"/>
        <v>0</v>
      </c>
      <c r="M349" s="8">
        <f t="shared" si="505"/>
        <v>0</v>
      </c>
      <c r="N349" s="18">
        <f t="shared" si="506"/>
        <v>9999</v>
      </c>
      <c r="O349" s="13"/>
    </row>
    <row r="351" spans="1:16" x14ac:dyDescent="0.2">
      <c r="A351" s="14" t="s">
        <v>394</v>
      </c>
      <c r="P351" s="13"/>
    </row>
    <row r="352" spans="1:16" x14ac:dyDescent="0.2">
      <c r="A352" s="28" t="s">
        <v>62</v>
      </c>
      <c r="B352" s="2"/>
      <c r="C352" s="2"/>
      <c r="D352" s="3"/>
      <c r="F352" s="1" t="s">
        <v>11</v>
      </c>
      <c r="G352" s="2"/>
      <c r="H352" s="2"/>
      <c r="I352" s="3"/>
      <c r="K352" s="27" t="s">
        <v>64</v>
      </c>
      <c r="L352" s="2"/>
      <c r="M352" s="2"/>
      <c r="N352" s="3"/>
      <c r="O352" s="11"/>
    </row>
    <row r="353" spans="1:24" x14ac:dyDescent="0.2">
      <c r="A353" s="4"/>
      <c r="B353" s="5"/>
      <c r="C353" s="5"/>
      <c r="D353" s="6"/>
      <c r="F353" s="4"/>
      <c r="G353" s="5"/>
      <c r="H353" s="5"/>
      <c r="I353" s="6"/>
      <c r="K353" s="4"/>
      <c r="L353" s="5"/>
      <c r="M353" s="5"/>
      <c r="N353" s="6"/>
      <c r="O353" s="11"/>
      <c r="X353" s="29"/>
    </row>
    <row r="354" spans="1:24" x14ac:dyDescent="0.2">
      <c r="A354" s="4"/>
      <c r="B354" s="5"/>
      <c r="C354" s="5"/>
      <c r="D354" s="16" t="s">
        <v>3</v>
      </c>
      <c r="F354" s="4"/>
      <c r="G354" s="5"/>
      <c r="H354" s="5"/>
      <c r="I354" s="16" t="s">
        <v>4</v>
      </c>
      <c r="K354" s="4"/>
      <c r="L354" s="5"/>
      <c r="M354" s="5"/>
      <c r="N354" s="30" t="s">
        <v>4</v>
      </c>
      <c r="O354" s="11"/>
    </row>
    <row r="355" spans="1:24" x14ac:dyDescent="0.2">
      <c r="A355" s="4" t="s">
        <v>13</v>
      </c>
      <c r="B355" s="5">
        <f>IF(E105&lt;&gt;9999,E105,0)</f>
        <v>0</v>
      </c>
      <c r="C355" s="5">
        <f>IF(E130&lt;&gt;9999,E130,0)</f>
        <v>0</v>
      </c>
      <c r="D355" s="16">
        <f>IF(ISERROR(B355-C355),9999,IF(OR(B355=0,C355=0),9999,IF(B355+C355&lt;=0,9999,(B355+C355)/10)))</f>
        <v>9999</v>
      </c>
      <c r="F355" s="4" t="s">
        <v>13</v>
      </c>
      <c r="G355" s="5">
        <f>IF(J105&lt;&gt;9999,J105,0)</f>
        <v>0</v>
      </c>
      <c r="H355" s="5">
        <f>IF(J130&lt;&gt;9999,J130,0)</f>
        <v>0</v>
      </c>
      <c r="I355" s="16">
        <f>IF(ISERROR(H355-G355),9999,IF(OR(G355=0,H355=0),9999,IF(G355+H355&lt;=0,9999,G355+H355)))</f>
        <v>9999</v>
      </c>
      <c r="K355" s="4" t="s">
        <v>13</v>
      </c>
      <c r="L355" s="5">
        <f>Z5</f>
        <v>0</v>
      </c>
      <c r="M355" s="5">
        <f>Y5</f>
        <v>0</v>
      </c>
      <c r="N355" s="16">
        <f>IF(ISERROR(L355-M355),9999,IF(OR(L355=0,M355=0),9999,IF(L355-M355&lt;=0,9999,L355-M355)))</f>
        <v>9999</v>
      </c>
      <c r="O355" s="13"/>
    </row>
    <row r="356" spans="1:24" x14ac:dyDescent="0.2">
      <c r="A356" s="4" t="s">
        <v>14</v>
      </c>
      <c r="B356" s="5">
        <f t="shared" ref="B356:B374" si="507">IF(E106&lt;&gt;9999,E106,0)</f>
        <v>0</v>
      </c>
      <c r="C356" s="5">
        <f t="shared" ref="C356:C374" si="508">IF(E131&lt;&gt;9999,E131,0)</f>
        <v>0</v>
      </c>
      <c r="D356" s="16">
        <f t="shared" ref="D356:D374" si="509">IF(ISERROR(B356-C356),9999,IF(OR(B356=0,C356=0),9999,IF(B356+C356&lt;=0,9999,(B356+C356)/10)))</f>
        <v>9999</v>
      </c>
      <c r="F356" s="4" t="s">
        <v>14</v>
      </c>
      <c r="G356" s="5">
        <f t="shared" ref="G356:G374" si="510">IF(J106&lt;&gt;9999,J106,0)</f>
        <v>0</v>
      </c>
      <c r="H356" s="5">
        <f t="shared" ref="H356:H374" si="511">IF(J131&lt;&gt;9999,J131,0)</f>
        <v>0</v>
      </c>
      <c r="I356" s="16">
        <f t="shared" ref="I356:I374" si="512">IF(ISERROR(H356-G356),9999,IF(OR(G356=0,H356=0),9999,IF(G356+H356&lt;=0,9999,G356+H356)))</f>
        <v>9999</v>
      </c>
      <c r="K356" s="4" t="s">
        <v>14</v>
      </c>
      <c r="L356" s="5">
        <f t="shared" ref="L356:L374" si="513">Z6</f>
        <v>0</v>
      </c>
      <c r="M356" s="5">
        <f t="shared" ref="M356:M374" si="514">Y6</f>
        <v>0</v>
      </c>
      <c r="N356" s="16">
        <f t="shared" ref="N356:N374" si="515">IF(ISERROR(L356-M356),9999,IF(OR(L356=0,M356=0),9999,IF(L356-M356&lt;=0,9999,L356-M356)))</f>
        <v>9999</v>
      </c>
      <c r="O356" s="13"/>
    </row>
    <row r="357" spans="1:24" x14ac:dyDescent="0.2">
      <c r="A357" s="4" t="s">
        <v>15</v>
      </c>
      <c r="B357" s="5">
        <f t="shared" si="507"/>
        <v>0</v>
      </c>
      <c r="C357" s="5">
        <f t="shared" si="508"/>
        <v>0</v>
      </c>
      <c r="D357" s="16">
        <f t="shared" si="509"/>
        <v>9999</v>
      </c>
      <c r="F357" s="4" t="s">
        <v>15</v>
      </c>
      <c r="G357" s="5">
        <f t="shared" si="510"/>
        <v>0</v>
      </c>
      <c r="H357" s="5">
        <f t="shared" si="511"/>
        <v>0</v>
      </c>
      <c r="I357" s="16">
        <f t="shared" si="512"/>
        <v>9999</v>
      </c>
      <c r="K357" s="4" t="s">
        <v>15</v>
      </c>
      <c r="L357" s="5">
        <f t="shared" si="513"/>
        <v>0</v>
      </c>
      <c r="M357" s="5">
        <f t="shared" si="514"/>
        <v>0</v>
      </c>
      <c r="N357" s="16">
        <f t="shared" si="515"/>
        <v>9999</v>
      </c>
      <c r="O357" s="13"/>
    </row>
    <row r="358" spans="1:24" x14ac:dyDescent="0.2">
      <c r="A358" s="4" t="s">
        <v>16</v>
      </c>
      <c r="B358" s="5">
        <f t="shared" si="507"/>
        <v>0</v>
      </c>
      <c r="C358" s="5">
        <f t="shared" si="508"/>
        <v>0</v>
      </c>
      <c r="D358" s="16">
        <f t="shared" si="509"/>
        <v>9999</v>
      </c>
      <c r="F358" s="4" t="s">
        <v>16</v>
      </c>
      <c r="G358" s="5">
        <f t="shared" si="510"/>
        <v>0</v>
      </c>
      <c r="H358" s="5">
        <f t="shared" si="511"/>
        <v>0</v>
      </c>
      <c r="I358" s="16">
        <f t="shared" si="512"/>
        <v>9999</v>
      </c>
      <c r="K358" s="4" t="s">
        <v>16</v>
      </c>
      <c r="L358" s="5">
        <f t="shared" si="513"/>
        <v>0</v>
      </c>
      <c r="M358" s="5">
        <f t="shared" si="514"/>
        <v>0</v>
      </c>
      <c r="N358" s="16">
        <f t="shared" si="515"/>
        <v>9999</v>
      </c>
      <c r="O358" s="13"/>
    </row>
    <row r="359" spans="1:24" x14ac:dyDescent="0.2">
      <c r="A359" s="4" t="s">
        <v>17</v>
      </c>
      <c r="B359" s="5">
        <f t="shared" si="507"/>
        <v>0</v>
      </c>
      <c r="C359" s="5">
        <f t="shared" si="508"/>
        <v>0</v>
      </c>
      <c r="D359" s="16">
        <f t="shared" si="509"/>
        <v>9999</v>
      </c>
      <c r="F359" s="4" t="s">
        <v>17</v>
      </c>
      <c r="G359" s="5">
        <f t="shared" si="510"/>
        <v>0</v>
      </c>
      <c r="H359" s="5">
        <f t="shared" si="511"/>
        <v>0</v>
      </c>
      <c r="I359" s="16">
        <f t="shared" si="512"/>
        <v>9999</v>
      </c>
      <c r="K359" s="4" t="s">
        <v>17</v>
      </c>
      <c r="L359" s="5">
        <f t="shared" si="513"/>
        <v>0</v>
      </c>
      <c r="M359" s="5">
        <f t="shared" si="514"/>
        <v>0</v>
      </c>
      <c r="N359" s="16">
        <f t="shared" si="515"/>
        <v>9999</v>
      </c>
      <c r="O359" s="13"/>
    </row>
    <row r="360" spans="1:24" x14ac:dyDescent="0.2">
      <c r="A360" s="4" t="s">
        <v>18</v>
      </c>
      <c r="B360" s="5">
        <f t="shared" si="507"/>
        <v>0</v>
      </c>
      <c r="C360" s="5">
        <f t="shared" si="508"/>
        <v>0</v>
      </c>
      <c r="D360" s="16">
        <f t="shared" si="509"/>
        <v>9999</v>
      </c>
      <c r="F360" s="4" t="s">
        <v>18</v>
      </c>
      <c r="G360" s="5">
        <f t="shared" si="510"/>
        <v>0</v>
      </c>
      <c r="H360" s="5">
        <f t="shared" si="511"/>
        <v>0</v>
      </c>
      <c r="I360" s="16">
        <f t="shared" si="512"/>
        <v>9999</v>
      </c>
      <c r="K360" s="4" t="s">
        <v>18</v>
      </c>
      <c r="L360" s="5">
        <f t="shared" si="513"/>
        <v>0</v>
      </c>
      <c r="M360" s="5">
        <f t="shared" si="514"/>
        <v>0</v>
      </c>
      <c r="N360" s="16">
        <f t="shared" si="515"/>
        <v>9999</v>
      </c>
      <c r="O360" s="13"/>
    </row>
    <row r="361" spans="1:24" x14ac:dyDescent="0.2">
      <c r="A361" s="4" t="s">
        <v>19</v>
      </c>
      <c r="B361" s="5">
        <f t="shared" si="507"/>
        <v>0</v>
      </c>
      <c r="C361" s="5">
        <f t="shared" si="508"/>
        <v>0</v>
      </c>
      <c r="D361" s="16">
        <f t="shared" si="509"/>
        <v>9999</v>
      </c>
      <c r="F361" s="4" t="s">
        <v>19</v>
      </c>
      <c r="G361" s="5">
        <f t="shared" si="510"/>
        <v>0</v>
      </c>
      <c r="H361" s="5">
        <f t="shared" si="511"/>
        <v>0</v>
      </c>
      <c r="I361" s="16">
        <f t="shared" si="512"/>
        <v>9999</v>
      </c>
      <c r="K361" s="4" t="s">
        <v>19</v>
      </c>
      <c r="L361" s="5">
        <f t="shared" si="513"/>
        <v>0</v>
      </c>
      <c r="M361" s="5">
        <f t="shared" si="514"/>
        <v>0</v>
      </c>
      <c r="N361" s="16">
        <f t="shared" si="515"/>
        <v>9999</v>
      </c>
      <c r="O361" s="13"/>
    </row>
    <row r="362" spans="1:24" x14ac:dyDescent="0.2">
      <c r="A362" s="9" t="s">
        <v>20</v>
      </c>
      <c r="B362" s="5">
        <f t="shared" si="507"/>
        <v>0</v>
      </c>
      <c r="C362" s="5">
        <f t="shared" si="508"/>
        <v>0</v>
      </c>
      <c r="D362" s="16">
        <f t="shared" si="509"/>
        <v>9999</v>
      </c>
      <c r="F362" s="9" t="s">
        <v>20</v>
      </c>
      <c r="G362" s="5">
        <f t="shared" si="510"/>
        <v>0</v>
      </c>
      <c r="H362" s="5">
        <f t="shared" si="511"/>
        <v>0</v>
      </c>
      <c r="I362" s="16">
        <f t="shared" si="512"/>
        <v>9999</v>
      </c>
      <c r="K362" s="4" t="s">
        <v>20</v>
      </c>
      <c r="L362" s="5">
        <f t="shared" si="513"/>
        <v>0</v>
      </c>
      <c r="M362" s="5">
        <f t="shared" si="514"/>
        <v>0</v>
      </c>
      <c r="N362" s="16">
        <f t="shared" si="515"/>
        <v>9999</v>
      </c>
      <c r="O362" s="13"/>
    </row>
    <row r="363" spans="1:24" x14ac:dyDescent="0.2">
      <c r="A363" s="9" t="s">
        <v>21</v>
      </c>
      <c r="B363" s="5">
        <f t="shared" si="507"/>
        <v>0</v>
      </c>
      <c r="C363" s="5">
        <f t="shared" si="508"/>
        <v>0</v>
      </c>
      <c r="D363" s="16">
        <f t="shared" si="509"/>
        <v>9999</v>
      </c>
      <c r="F363" s="9" t="s">
        <v>21</v>
      </c>
      <c r="G363" s="5">
        <f t="shared" si="510"/>
        <v>0</v>
      </c>
      <c r="H363" s="5">
        <f t="shared" si="511"/>
        <v>0</v>
      </c>
      <c r="I363" s="16">
        <f t="shared" si="512"/>
        <v>9999</v>
      </c>
      <c r="K363" s="4" t="s">
        <v>21</v>
      </c>
      <c r="L363" s="5">
        <f t="shared" si="513"/>
        <v>0</v>
      </c>
      <c r="M363" s="5">
        <f t="shared" si="514"/>
        <v>0</v>
      </c>
      <c r="N363" s="16">
        <f t="shared" si="515"/>
        <v>9999</v>
      </c>
      <c r="O363" s="13"/>
    </row>
    <row r="364" spans="1:24" x14ac:dyDescent="0.2">
      <c r="A364" s="9" t="s">
        <v>22</v>
      </c>
      <c r="B364" s="5">
        <f t="shared" si="507"/>
        <v>0</v>
      </c>
      <c r="C364" s="5">
        <f t="shared" si="508"/>
        <v>0</v>
      </c>
      <c r="D364" s="16">
        <f t="shared" si="509"/>
        <v>9999</v>
      </c>
      <c r="F364" s="9" t="s">
        <v>22</v>
      </c>
      <c r="G364" s="5">
        <f t="shared" si="510"/>
        <v>0</v>
      </c>
      <c r="H364" s="5">
        <f t="shared" si="511"/>
        <v>0</v>
      </c>
      <c r="I364" s="16">
        <f t="shared" si="512"/>
        <v>9999</v>
      </c>
      <c r="K364" s="4" t="s">
        <v>22</v>
      </c>
      <c r="L364" s="5">
        <f t="shared" si="513"/>
        <v>0</v>
      </c>
      <c r="M364" s="5">
        <f t="shared" si="514"/>
        <v>0</v>
      </c>
      <c r="N364" s="16">
        <f t="shared" si="515"/>
        <v>9999</v>
      </c>
      <c r="O364" s="13"/>
    </row>
    <row r="365" spans="1:24" x14ac:dyDescent="0.2">
      <c r="A365" s="9" t="s">
        <v>23</v>
      </c>
      <c r="B365" s="5">
        <f t="shared" si="507"/>
        <v>0</v>
      </c>
      <c r="C365" s="5">
        <f t="shared" si="508"/>
        <v>0</v>
      </c>
      <c r="D365" s="16">
        <f t="shared" si="509"/>
        <v>9999</v>
      </c>
      <c r="F365" s="9" t="s">
        <v>23</v>
      </c>
      <c r="G365" s="5">
        <f t="shared" si="510"/>
        <v>0</v>
      </c>
      <c r="H365" s="5">
        <f t="shared" si="511"/>
        <v>0</v>
      </c>
      <c r="I365" s="16">
        <f t="shared" si="512"/>
        <v>9999</v>
      </c>
      <c r="K365" s="4" t="s">
        <v>23</v>
      </c>
      <c r="L365" s="5">
        <f t="shared" si="513"/>
        <v>0</v>
      </c>
      <c r="M365" s="5">
        <f t="shared" si="514"/>
        <v>0</v>
      </c>
      <c r="N365" s="16">
        <f t="shared" si="515"/>
        <v>9999</v>
      </c>
      <c r="O365" s="13"/>
    </row>
    <row r="366" spans="1:24" x14ac:dyDescent="0.2">
      <c r="A366" s="9" t="s">
        <v>24</v>
      </c>
      <c r="B366" s="5">
        <f t="shared" si="507"/>
        <v>0</v>
      </c>
      <c r="C366" s="5">
        <f t="shared" si="508"/>
        <v>0</v>
      </c>
      <c r="D366" s="16">
        <f t="shared" si="509"/>
        <v>9999</v>
      </c>
      <c r="F366" s="9" t="s">
        <v>24</v>
      </c>
      <c r="G366" s="5">
        <f t="shared" si="510"/>
        <v>0</v>
      </c>
      <c r="H366" s="5">
        <f t="shared" si="511"/>
        <v>0</v>
      </c>
      <c r="I366" s="16">
        <f t="shared" si="512"/>
        <v>9999</v>
      </c>
      <c r="K366" s="4" t="s">
        <v>24</v>
      </c>
      <c r="L366" s="5">
        <f t="shared" si="513"/>
        <v>0</v>
      </c>
      <c r="M366" s="5">
        <f t="shared" si="514"/>
        <v>0</v>
      </c>
      <c r="N366" s="16">
        <f t="shared" si="515"/>
        <v>9999</v>
      </c>
      <c r="O366" s="13"/>
    </row>
    <row r="367" spans="1:24" x14ac:dyDescent="0.2">
      <c r="A367" s="4" t="s">
        <v>25</v>
      </c>
      <c r="B367" s="5">
        <f t="shared" si="507"/>
        <v>0</v>
      </c>
      <c r="C367" s="5">
        <f t="shared" si="508"/>
        <v>0</v>
      </c>
      <c r="D367" s="16">
        <f t="shared" si="509"/>
        <v>9999</v>
      </c>
      <c r="F367" s="4" t="s">
        <v>25</v>
      </c>
      <c r="G367" s="5">
        <f t="shared" si="510"/>
        <v>0</v>
      </c>
      <c r="H367" s="5">
        <f t="shared" si="511"/>
        <v>0</v>
      </c>
      <c r="I367" s="16">
        <f t="shared" si="512"/>
        <v>9999</v>
      </c>
      <c r="K367" s="4" t="s">
        <v>25</v>
      </c>
      <c r="L367" s="5">
        <f t="shared" si="513"/>
        <v>0</v>
      </c>
      <c r="M367" s="5">
        <f t="shared" si="514"/>
        <v>0</v>
      </c>
      <c r="N367" s="16">
        <f t="shared" si="515"/>
        <v>9999</v>
      </c>
      <c r="O367" s="13"/>
    </row>
    <row r="368" spans="1:24" x14ac:dyDescent="0.2">
      <c r="A368" s="4" t="s">
        <v>26</v>
      </c>
      <c r="B368" s="5">
        <f t="shared" si="507"/>
        <v>0</v>
      </c>
      <c r="C368" s="5">
        <f t="shared" si="508"/>
        <v>0</v>
      </c>
      <c r="D368" s="16">
        <f t="shared" si="509"/>
        <v>9999</v>
      </c>
      <c r="F368" s="4" t="s">
        <v>26</v>
      </c>
      <c r="G368" s="5">
        <f t="shared" si="510"/>
        <v>0</v>
      </c>
      <c r="H368" s="5">
        <f t="shared" si="511"/>
        <v>0</v>
      </c>
      <c r="I368" s="16">
        <f t="shared" si="512"/>
        <v>9999</v>
      </c>
      <c r="K368" s="4" t="s">
        <v>26</v>
      </c>
      <c r="L368" s="5">
        <f t="shared" si="513"/>
        <v>0</v>
      </c>
      <c r="M368" s="5">
        <f t="shared" si="514"/>
        <v>0</v>
      </c>
      <c r="N368" s="16">
        <f t="shared" si="515"/>
        <v>9999</v>
      </c>
      <c r="O368" s="13"/>
    </row>
    <row r="369" spans="1:24" x14ac:dyDescent="0.2">
      <c r="A369" s="4" t="s">
        <v>27</v>
      </c>
      <c r="B369" s="5">
        <f t="shared" si="507"/>
        <v>0</v>
      </c>
      <c r="C369" s="5">
        <f t="shared" si="508"/>
        <v>0</v>
      </c>
      <c r="D369" s="16">
        <f t="shared" si="509"/>
        <v>9999</v>
      </c>
      <c r="F369" s="4" t="s">
        <v>27</v>
      </c>
      <c r="G369" s="5">
        <f t="shared" si="510"/>
        <v>0</v>
      </c>
      <c r="H369" s="5">
        <f t="shared" si="511"/>
        <v>0</v>
      </c>
      <c r="I369" s="16">
        <f t="shared" si="512"/>
        <v>9999</v>
      </c>
      <c r="K369" s="4" t="s">
        <v>27</v>
      </c>
      <c r="L369" s="5">
        <f t="shared" si="513"/>
        <v>0</v>
      </c>
      <c r="M369" s="5">
        <f t="shared" si="514"/>
        <v>0</v>
      </c>
      <c r="N369" s="16">
        <f t="shared" si="515"/>
        <v>9999</v>
      </c>
      <c r="O369" s="13"/>
    </row>
    <row r="370" spans="1:24" x14ac:dyDescent="0.2">
      <c r="A370" s="9" t="s">
        <v>28</v>
      </c>
      <c r="B370" s="5">
        <f t="shared" si="507"/>
        <v>0</v>
      </c>
      <c r="C370" s="5">
        <f t="shared" si="508"/>
        <v>0</v>
      </c>
      <c r="D370" s="16">
        <f t="shared" si="509"/>
        <v>9999</v>
      </c>
      <c r="F370" s="9" t="s">
        <v>28</v>
      </c>
      <c r="G370" s="5">
        <f t="shared" si="510"/>
        <v>0</v>
      </c>
      <c r="H370" s="5">
        <f t="shared" si="511"/>
        <v>0</v>
      </c>
      <c r="I370" s="16">
        <f t="shared" si="512"/>
        <v>9999</v>
      </c>
      <c r="K370" s="4" t="s">
        <v>28</v>
      </c>
      <c r="L370" s="5">
        <f t="shared" si="513"/>
        <v>0</v>
      </c>
      <c r="M370" s="5">
        <f t="shared" si="514"/>
        <v>0</v>
      </c>
      <c r="N370" s="16">
        <f t="shared" si="515"/>
        <v>9999</v>
      </c>
      <c r="O370" s="13"/>
    </row>
    <row r="371" spans="1:24" x14ac:dyDescent="0.2">
      <c r="A371" s="9" t="s">
        <v>29</v>
      </c>
      <c r="B371" s="5">
        <f t="shared" si="507"/>
        <v>0</v>
      </c>
      <c r="C371" s="5">
        <f t="shared" si="508"/>
        <v>0</v>
      </c>
      <c r="D371" s="16">
        <f t="shared" si="509"/>
        <v>9999</v>
      </c>
      <c r="F371" s="9" t="s">
        <v>29</v>
      </c>
      <c r="G371" s="5">
        <f t="shared" si="510"/>
        <v>0</v>
      </c>
      <c r="H371" s="5">
        <f t="shared" si="511"/>
        <v>0</v>
      </c>
      <c r="I371" s="16">
        <f t="shared" si="512"/>
        <v>9999</v>
      </c>
      <c r="K371" s="4" t="s">
        <v>29</v>
      </c>
      <c r="L371" s="5">
        <f t="shared" si="513"/>
        <v>0</v>
      </c>
      <c r="M371" s="5">
        <f t="shared" si="514"/>
        <v>0</v>
      </c>
      <c r="N371" s="16">
        <f t="shared" si="515"/>
        <v>9999</v>
      </c>
      <c r="O371" s="13"/>
    </row>
    <row r="372" spans="1:24" x14ac:dyDescent="0.2">
      <c r="A372" s="9" t="s">
        <v>30</v>
      </c>
      <c r="B372" s="5">
        <f t="shared" si="507"/>
        <v>0</v>
      </c>
      <c r="C372" s="5">
        <f t="shared" si="508"/>
        <v>0</v>
      </c>
      <c r="D372" s="16">
        <f t="shared" si="509"/>
        <v>9999</v>
      </c>
      <c r="F372" s="9" t="s">
        <v>30</v>
      </c>
      <c r="G372" s="5">
        <f t="shared" si="510"/>
        <v>0</v>
      </c>
      <c r="H372" s="5">
        <f t="shared" si="511"/>
        <v>0</v>
      </c>
      <c r="I372" s="16">
        <f t="shared" si="512"/>
        <v>9999</v>
      </c>
      <c r="K372" s="4" t="s">
        <v>30</v>
      </c>
      <c r="L372" s="5">
        <f t="shared" si="513"/>
        <v>0</v>
      </c>
      <c r="M372" s="5">
        <f t="shared" si="514"/>
        <v>0</v>
      </c>
      <c r="N372" s="16">
        <f t="shared" si="515"/>
        <v>9999</v>
      </c>
      <c r="O372" s="13"/>
    </row>
    <row r="373" spans="1:24" x14ac:dyDescent="0.2">
      <c r="A373" s="9" t="s">
        <v>31</v>
      </c>
      <c r="B373" s="5">
        <f t="shared" si="507"/>
        <v>0</v>
      </c>
      <c r="C373" s="5">
        <f t="shared" si="508"/>
        <v>0</v>
      </c>
      <c r="D373" s="16">
        <f t="shared" si="509"/>
        <v>9999</v>
      </c>
      <c r="F373" s="9" t="s">
        <v>31</v>
      </c>
      <c r="G373" s="5">
        <f t="shared" si="510"/>
        <v>0</v>
      </c>
      <c r="H373" s="5">
        <f t="shared" si="511"/>
        <v>0</v>
      </c>
      <c r="I373" s="16">
        <f t="shared" si="512"/>
        <v>9999</v>
      </c>
      <c r="K373" s="4" t="s">
        <v>31</v>
      </c>
      <c r="L373" s="5">
        <f t="shared" si="513"/>
        <v>0</v>
      </c>
      <c r="M373" s="5">
        <f t="shared" si="514"/>
        <v>0</v>
      </c>
      <c r="N373" s="16">
        <f t="shared" si="515"/>
        <v>9999</v>
      </c>
      <c r="O373" s="13"/>
    </row>
    <row r="374" spans="1:24" x14ac:dyDescent="0.2">
      <c r="A374" s="10" t="s">
        <v>32</v>
      </c>
      <c r="B374" s="8">
        <f t="shared" si="507"/>
        <v>0</v>
      </c>
      <c r="C374" s="8">
        <f t="shared" si="508"/>
        <v>0</v>
      </c>
      <c r="D374" s="18">
        <f t="shared" si="509"/>
        <v>9999</v>
      </c>
      <c r="F374" s="10" t="s">
        <v>32</v>
      </c>
      <c r="G374" s="8">
        <f t="shared" si="510"/>
        <v>0</v>
      </c>
      <c r="H374" s="8">
        <f t="shared" si="511"/>
        <v>0</v>
      </c>
      <c r="I374" s="18">
        <f t="shared" si="512"/>
        <v>9999</v>
      </c>
      <c r="K374" s="43" t="s">
        <v>32</v>
      </c>
      <c r="L374" s="8">
        <f t="shared" si="513"/>
        <v>0</v>
      </c>
      <c r="M374" s="8">
        <f t="shared" si="514"/>
        <v>0</v>
      </c>
      <c r="N374" s="18">
        <f t="shared" si="515"/>
        <v>9999</v>
      </c>
      <c r="O374" s="13"/>
    </row>
    <row r="376" spans="1:24" x14ac:dyDescent="0.2">
      <c r="A376" s="14" t="s">
        <v>395</v>
      </c>
      <c r="P376" s="13"/>
    </row>
    <row r="377" spans="1:24" x14ac:dyDescent="0.2">
      <c r="A377" s="28" t="s">
        <v>62</v>
      </c>
      <c r="B377" s="2"/>
      <c r="C377" s="2"/>
      <c r="D377" s="3"/>
      <c r="F377" s="1" t="s">
        <v>11</v>
      </c>
      <c r="G377" s="2"/>
      <c r="H377" s="2"/>
      <c r="I377" s="3"/>
      <c r="K377" s="27" t="s">
        <v>64</v>
      </c>
      <c r="L377" s="2"/>
      <c r="M377" s="2"/>
      <c r="N377" s="3"/>
      <c r="O377" s="11"/>
    </row>
    <row r="378" spans="1:24" x14ac:dyDescent="0.2">
      <c r="A378" s="4"/>
      <c r="B378" s="5"/>
      <c r="C378" s="5"/>
      <c r="D378" s="6"/>
      <c r="F378" s="4"/>
      <c r="G378" s="5"/>
      <c r="H378" s="5"/>
      <c r="I378" s="6"/>
      <c r="K378" s="4"/>
      <c r="L378" s="5"/>
      <c r="M378" s="5"/>
      <c r="N378" s="6"/>
      <c r="O378" s="11"/>
      <c r="X378" s="29"/>
    </row>
    <row r="379" spans="1:24" x14ac:dyDescent="0.2">
      <c r="A379" s="4"/>
      <c r="B379" s="5"/>
      <c r="C379" s="5"/>
      <c r="D379" s="16" t="s">
        <v>3</v>
      </c>
      <c r="F379" s="4"/>
      <c r="G379" s="5"/>
      <c r="H379" s="5"/>
      <c r="I379" s="16" t="s">
        <v>4</v>
      </c>
      <c r="K379" s="4"/>
      <c r="L379" s="5"/>
      <c r="M379" s="5"/>
      <c r="N379" s="30" t="s">
        <v>4</v>
      </c>
      <c r="O379" s="11"/>
    </row>
    <row r="380" spans="1:24" x14ac:dyDescent="0.2">
      <c r="A380" s="4" t="s">
        <v>13</v>
      </c>
      <c r="B380" s="5">
        <f>IF(E130&lt;&gt;9999,E130,0)</f>
        <v>0</v>
      </c>
      <c r="C380" s="5">
        <f>IF(E155&lt;&gt;9999,E155,0)</f>
        <v>0</v>
      </c>
      <c r="D380" s="16">
        <f>IF(ISERROR(B380-C380),9999,IF(OR(B380=0,C380=0),9999,IF(B380+C380&lt;=0,9999,(B380+C380)/10)))</f>
        <v>9999</v>
      </c>
      <c r="F380" s="4" t="s">
        <v>13</v>
      </c>
      <c r="G380" s="5">
        <f>IF(J130&lt;&gt;9999,J130,0)</f>
        <v>0</v>
      </c>
      <c r="H380" s="5">
        <f>IF(J155&lt;&gt;9999,J155,0)</f>
        <v>0</v>
      </c>
      <c r="I380" s="16">
        <f>IF(ISERROR(H380-G380),9999,IF(OR(G380=0,H380=0),9999,IF(G380+H380&lt;=0,9999,G380+H380)))</f>
        <v>9999</v>
      </c>
      <c r="K380" s="4" t="s">
        <v>13</v>
      </c>
      <c r="L380" s="5">
        <f>AE5</f>
        <v>0</v>
      </c>
      <c r="M380" s="5">
        <f>AD5</f>
        <v>0</v>
      </c>
      <c r="N380" s="16">
        <f>IF(ISERROR(L380-M380),9999,IF(OR(L380=0,M380=0),9999,IF(L380-M380&lt;=0,9999,L380-M380)))</f>
        <v>9999</v>
      </c>
      <c r="O380" s="13"/>
    </row>
    <row r="381" spans="1:24" x14ac:dyDescent="0.2">
      <c r="A381" s="4" t="s">
        <v>14</v>
      </c>
      <c r="B381" s="5">
        <f t="shared" ref="B381:B399" si="516">IF(E131&lt;&gt;9999,E131,0)</f>
        <v>0</v>
      </c>
      <c r="C381" s="5">
        <f t="shared" ref="C381:C399" si="517">IF(E156&lt;&gt;9999,E156,0)</f>
        <v>0</v>
      </c>
      <c r="D381" s="16">
        <f t="shared" ref="D381:D399" si="518">IF(ISERROR(B381-C381),9999,IF(OR(B381=0,C381=0),9999,IF(B381+C381&lt;=0,9999,(B381+C381)/10)))</f>
        <v>9999</v>
      </c>
      <c r="F381" s="4" t="s">
        <v>14</v>
      </c>
      <c r="G381" s="5">
        <f t="shared" ref="G381:G399" si="519">IF(J131&lt;&gt;9999,J131,0)</f>
        <v>0</v>
      </c>
      <c r="H381" s="5">
        <f t="shared" ref="H381:H399" si="520">IF(J156&lt;&gt;9999,J156,0)</f>
        <v>0</v>
      </c>
      <c r="I381" s="16">
        <f t="shared" ref="I381:I399" si="521">IF(ISERROR(H381-G381),9999,IF(OR(G381=0,H381=0),9999,IF(G381+H381&lt;=0,9999,G381+H381)))</f>
        <v>9999</v>
      </c>
      <c r="K381" s="4" t="s">
        <v>14</v>
      </c>
      <c r="L381" s="5">
        <f t="shared" ref="L381:L399" si="522">AE6</f>
        <v>0</v>
      </c>
      <c r="M381" s="5">
        <f t="shared" ref="M381:M399" si="523">AD6</f>
        <v>0</v>
      </c>
      <c r="N381" s="16">
        <f t="shared" ref="N381:N399" si="524">IF(ISERROR(L381-M381),9999,IF(OR(L381=0,M381=0),9999,IF(L381-M381&lt;=0,9999,L381-M381)))</f>
        <v>9999</v>
      </c>
      <c r="O381" s="13"/>
    </row>
    <row r="382" spans="1:24" x14ac:dyDescent="0.2">
      <c r="A382" s="4" t="s">
        <v>15</v>
      </c>
      <c r="B382" s="5">
        <f t="shared" si="516"/>
        <v>0</v>
      </c>
      <c r="C382" s="5">
        <f t="shared" si="517"/>
        <v>0</v>
      </c>
      <c r="D382" s="16">
        <f t="shared" si="518"/>
        <v>9999</v>
      </c>
      <c r="F382" s="4" t="s">
        <v>15</v>
      </c>
      <c r="G382" s="5">
        <f t="shared" si="519"/>
        <v>0</v>
      </c>
      <c r="H382" s="5">
        <f t="shared" si="520"/>
        <v>0</v>
      </c>
      <c r="I382" s="16">
        <f t="shared" si="521"/>
        <v>9999</v>
      </c>
      <c r="K382" s="4" t="s">
        <v>15</v>
      </c>
      <c r="L382" s="5">
        <f t="shared" si="522"/>
        <v>0</v>
      </c>
      <c r="M382" s="5">
        <f t="shared" si="523"/>
        <v>0</v>
      </c>
      <c r="N382" s="16">
        <f t="shared" si="524"/>
        <v>9999</v>
      </c>
      <c r="O382" s="13"/>
    </row>
    <row r="383" spans="1:24" x14ac:dyDescent="0.2">
      <c r="A383" s="4" t="s">
        <v>16</v>
      </c>
      <c r="B383" s="5">
        <f t="shared" si="516"/>
        <v>0</v>
      </c>
      <c r="C383" s="5">
        <f t="shared" si="517"/>
        <v>0</v>
      </c>
      <c r="D383" s="16">
        <f t="shared" si="518"/>
        <v>9999</v>
      </c>
      <c r="F383" s="4" t="s">
        <v>16</v>
      </c>
      <c r="G383" s="5">
        <f t="shared" si="519"/>
        <v>0</v>
      </c>
      <c r="H383" s="5">
        <f t="shared" si="520"/>
        <v>0</v>
      </c>
      <c r="I383" s="16">
        <f t="shared" si="521"/>
        <v>9999</v>
      </c>
      <c r="K383" s="4" t="s">
        <v>16</v>
      </c>
      <c r="L383" s="5">
        <f t="shared" si="522"/>
        <v>0</v>
      </c>
      <c r="M383" s="5">
        <f t="shared" si="523"/>
        <v>0</v>
      </c>
      <c r="N383" s="16">
        <f t="shared" si="524"/>
        <v>9999</v>
      </c>
      <c r="O383" s="13"/>
    </row>
    <row r="384" spans="1:24" x14ac:dyDescent="0.2">
      <c r="A384" s="4" t="s">
        <v>17</v>
      </c>
      <c r="B384" s="5">
        <f t="shared" si="516"/>
        <v>0</v>
      </c>
      <c r="C384" s="5">
        <f t="shared" si="517"/>
        <v>0</v>
      </c>
      <c r="D384" s="16">
        <f t="shared" si="518"/>
        <v>9999</v>
      </c>
      <c r="F384" s="4" t="s">
        <v>17</v>
      </c>
      <c r="G384" s="5">
        <f t="shared" si="519"/>
        <v>0</v>
      </c>
      <c r="H384" s="5">
        <f t="shared" si="520"/>
        <v>0</v>
      </c>
      <c r="I384" s="16">
        <f t="shared" si="521"/>
        <v>9999</v>
      </c>
      <c r="K384" s="4" t="s">
        <v>17</v>
      </c>
      <c r="L384" s="5">
        <f t="shared" si="522"/>
        <v>0</v>
      </c>
      <c r="M384" s="5">
        <f t="shared" si="523"/>
        <v>0</v>
      </c>
      <c r="N384" s="16">
        <f t="shared" si="524"/>
        <v>9999</v>
      </c>
      <c r="O384" s="13"/>
    </row>
    <row r="385" spans="1:15" x14ac:dyDescent="0.2">
      <c r="A385" s="4" t="s">
        <v>18</v>
      </c>
      <c r="B385" s="5">
        <f t="shared" si="516"/>
        <v>0</v>
      </c>
      <c r="C385" s="5">
        <f t="shared" si="517"/>
        <v>0</v>
      </c>
      <c r="D385" s="16">
        <f t="shared" si="518"/>
        <v>9999</v>
      </c>
      <c r="F385" s="4" t="s">
        <v>18</v>
      </c>
      <c r="G385" s="5">
        <f t="shared" si="519"/>
        <v>0</v>
      </c>
      <c r="H385" s="5">
        <f t="shared" si="520"/>
        <v>0</v>
      </c>
      <c r="I385" s="16">
        <f t="shared" si="521"/>
        <v>9999</v>
      </c>
      <c r="K385" s="4" t="s">
        <v>18</v>
      </c>
      <c r="L385" s="5">
        <f t="shared" si="522"/>
        <v>0</v>
      </c>
      <c r="M385" s="5">
        <f t="shared" si="523"/>
        <v>0</v>
      </c>
      <c r="N385" s="16">
        <f t="shared" si="524"/>
        <v>9999</v>
      </c>
      <c r="O385" s="13"/>
    </row>
    <row r="386" spans="1:15" x14ac:dyDescent="0.2">
      <c r="A386" s="4" t="s">
        <v>19</v>
      </c>
      <c r="B386" s="5">
        <f t="shared" si="516"/>
        <v>0</v>
      </c>
      <c r="C386" s="5">
        <f t="shared" si="517"/>
        <v>0</v>
      </c>
      <c r="D386" s="16">
        <f t="shared" si="518"/>
        <v>9999</v>
      </c>
      <c r="F386" s="4" t="s">
        <v>19</v>
      </c>
      <c r="G386" s="5">
        <f t="shared" si="519"/>
        <v>0</v>
      </c>
      <c r="H386" s="5">
        <f t="shared" si="520"/>
        <v>0</v>
      </c>
      <c r="I386" s="16">
        <f t="shared" si="521"/>
        <v>9999</v>
      </c>
      <c r="K386" s="4" t="s">
        <v>19</v>
      </c>
      <c r="L386" s="5">
        <f t="shared" si="522"/>
        <v>0</v>
      </c>
      <c r="M386" s="5">
        <f t="shared" si="523"/>
        <v>0</v>
      </c>
      <c r="N386" s="16">
        <f t="shared" si="524"/>
        <v>9999</v>
      </c>
      <c r="O386" s="13"/>
    </row>
    <row r="387" spans="1:15" x14ac:dyDescent="0.2">
      <c r="A387" s="9" t="s">
        <v>20</v>
      </c>
      <c r="B387" s="5">
        <f t="shared" si="516"/>
        <v>0</v>
      </c>
      <c r="C387" s="5">
        <f t="shared" si="517"/>
        <v>0</v>
      </c>
      <c r="D387" s="16">
        <f t="shared" si="518"/>
        <v>9999</v>
      </c>
      <c r="F387" s="9" t="s">
        <v>20</v>
      </c>
      <c r="G387" s="5">
        <f t="shared" si="519"/>
        <v>0</v>
      </c>
      <c r="H387" s="5">
        <f t="shared" si="520"/>
        <v>0</v>
      </c>
      <c r="I387" s="16">
        <f t="shared" si="521"/>
        <v>9999</v>
      </c>
      <c r="K387" s="9" t="s">
        <v>20</v>
      </c>
      <c r="L387" s="5">
        <f t="shared" si="522"/>
        <v>0</v>
      </c>
      <c r="M387" s="5">
        <f t="shared" si="523"/>
        <v>0</v>
      </c>
      <c r="N387" s="16">
        <f t="shared" si="524"/>
        <v>9999</v>
      </c>
      <c r="O387" s="13"/>
    </row>
    <row r="388" spans="1:15" x14ac:dyDescent="0.2">
      <c r="A388" s="9" t="s">
        <v>21</v>
      </c>
      <c r="B388" s="5">
        <f t="shared" si="516"/>
        <v>0</v>
      </c>
      <c r="C388" s="5">
        <f t="shared" si="517"/>
        <v>0</v>
      </c>
      <c r="D388" s="16">
        <f t="shared" si="518"/>
        <v>9999</v>
      </c>
      <c r="F388" s="9" t="s">
        <v>21</v>
      </c>
      <c r="G388" s="5">
        <f t="shared" si="519"/>
        <v>0</v>
      </c>
      <c r="H388" s="5">
        <f t="shared" si="520"/>
        <v>0</v>
      </c>
      <c r="I388" s="16">
        <f t="shared" si="521"/>
        <v>9999</v>
      </c>
      <c r="K388" s="9" t="s">
        <v>21</v>
      </c>
      <c r="L388" s="5">
        <f t="shared" si="522"/>
        <v>0</v>
      </c>
      <c r="M388" s="5">
        <f t="shared" si="523"/>
        <v>0</v>
      </c>
      <c r="N388" s="16">
        <f t="shared" si="524"/>
        <v>9999</v>
      </c>
      <c r="O388" s="13"/>
    </row>
    <row r="389" spans="1:15" x14ac:dyDescent="0.2">
      <c r="A389" s="9" t="s">
        <v>22</v>
      </c>
      <c r="B389" s="5">
        <f t="shared" si="516"/>
        <v>0</v>
      </c>
      <c r="C389" s="5">
        <f t="shared" si="517"/>
        <v>0</v>
      </c>
      <c r="D389" s="16">
        <f t="shared" si="518"/>
        <v>9999</v>
      </c>
      <c r="F389" s="9" t="s">
        <v>22</v>
      </c>
      <c r="G389" s="5">
        <f t="shared" si="519"/>
        <v>0</v>
      </c>
      <c r="H389" s="5">
        <f t="shared" si="520"/>
        <v>0</v>
      </c>
      <c r="I389" s="16">
        <f t="shared" si="521"/>
        <v>9999</v>
      </c>
      <c r="K389" s="9" t="s">
        <v>22</v>
      </c>
      <c r="L389" s="5">
        <f t="shared" si="522"/>
        <v>0</v>
      </c>
      <c r="M389" s="5">
        <f t="shared" si="523"/>
        <v>0</v>
      </c>
      <c r="N389" s="16">
        <f t="shared" si="524"/>
        <v>9999</v>
      </c>
      <c r="O389" s="13"/>
    </row>
    <row r="390" spans="1:15" x14ac:dyDescent="0.2">
      <c r="A390" s="9" t="s">
        <v>23</v>
      </c>
      <c r="B390" s="5">
        <f t="shared" si="516"/>
        <v>0</v>
      </c>
      <c r="C390" s="5">
        <f t="shared" si="517"/>
        <v>0</v>
      </c>
      <c r="D390" s="16">
        <f t="shared" si="518"/>
        <v>9999</v>
      </c>
      <c r="F390" s="9" t="s">
        <v>23</v>
      </c>
      <c r="G390" s="5">
        <f t="shared" si="519"/>
        <v>0</v>
      </c>
      <c r="H390" s="5">
        <f t="shared" si="520"/>
        <v>0</v>
      </c>
      <c r="I390" s="16">
        <f t="shared" si="521"/>
        <v>9999</v>
      </c>
      <c r="K390" s="9" t="s">
        <v>23</v>
      </c>
      <c r="L390" s="5">
        <f t="shared" si="522"/>
        <v>0</v>
      </c>
      <c r="M390" s="5">
        <f t="shared" si="523"/>
        <v>0</v>
      </c>
      <c r="N390" s="16">
        <f t="shared" si="524"/>
        <v>9999</v>
      </c>
      <c r="O390" s="13"/>
    </row>
    <row r="391" spans="1:15" x14ac:dyDescent="0.2">
      <c r="A391" s="9" t="s">
        <v>24</v>
      </c>
      <c r="B391" s="5">
        <f t="shared" si="516"/>
        <v>0</v>
      </c>
      <c r="C391" s="5">
        <f t="shared" si="517"/>
        <v>0</v>
      </c>
      <c r="D391" s="16">
        <f t="shared" si="518"/>
        <v>9999</v>
      </c>
      <c r="F391" s="9" t="s">
        <v>24</v>
      </c>
      <c r="G391" s="5">
        <f t="shared" si="519"/>
        <v>0</v>
      </c>
      <c r="H391" s="5">
        <f t="shared" si="520"/>
        <v>0</v>
      </c>
      <c r="I391" s="16">
        <f t="shared" si="521"/>
        <v>9999</v>
      </c>
      <c r="K391" s="9" t="s">
        <v>24</v>
      </c>
      <c r="L391" s="5">
        <f t="shared" si="522"/>
        <v>0</v>
      </c>
      <c r="M391" s="5">
        <f t="shared" si="523"/>
        <v>0</v>
      </c>
      <c r="N391" s="16">
        <f t="shared" si="524"/>
        <v>9999</v>
      </c>
      <c r="O391" s="13"/>
    </row>
    <row r="392" spans="1:15" x14ac:dyDescent="0.2">
      <c r="A392" s="4" t="s">
        <v>25</v>
      </c>
      <c r="B392" s="5">
        <f t="shared" si="516"/>
        <v>0</v>
      </c>
      <c r="C392" s="5">
        <f t="shared" si="517"/>
        <v>0</v>
      </c>
      <c r="D392" s="16">
        <f t="shared" si="518"/>
        <v>9999</v>
      </c>
      <c r="F392" s="4" t="s">
        <v>25</v>
      </c>
      <c r="G392" s="5">
        <f t="shared" si="519"/>
        <v>0</v>
      </c>
      <c r="H392" s="5">
        <f t="shared" si="520"/>
        <v>0</v>
      </c>
      <c r="I392" s="16">
        <f t="shared" si="521"/>
        <v>9999</v>
      </c>
      <c r="K392" s="4" t="s">
        <v>25</v>
      </c>
      <c r="L392" s="5">
        <f t="shared" si="522"/>
        <v>0</v>
      </c>
      <c r="M392" s="5">
        <f t="shared" si="523"/>
        <v>0</v>
      </c>
      <c r="N392" s="16">
        <f t="shared" si="524"/>
        <v>9999</v>
      </c>
      <c r="O392" s="13"/>
    </row>
    <row r="393" spans="1:15" x14ac:dyDescent="0.2">
      <c r="A393" s="4" t="s">
        <v>26</v>
      </c>
      <c r="B393" s="5">
        <f t="shared" si="516"/>
        <v>0</v>
      </c>
      <c r="C393" s="5">
        <f t="shared" si="517"/>
        <v>0</v>
      </c>
      <c r="D393" s="16">
        <f t="shared" si="518"/>
        <v>9999</v>
      </c>
      <c r="F393" s="4" t="s">
        <v>26</v>
      </c>
      <c r="G393" s="5">
        <f t="shared" si="519"/>
        <v>0</v>
      </c>
      <c r="H393" s="5">
        <f t="shared" si="520"/>
        <v>0</v>
      </c>
      <c r="I393" s="16">
        <f t="shared" si="521"/>
        <v>9999</v>
      </c>
      <c r="K393" s="4" t="s">
        <v>26</v>
      </c>
      <c r="L393" s="5">
        <f t="shared" si="522"/>
        <v>0</v>
      </c>
      <c r="M393" s="5">
        <f t="shared" si="523"/>
        <v>0</v>
      </c>
      <c r="N393" s="16">
        <f t="shared" si="524"/>
        <v>9999</v>
      </c>
      <c r="O393" s="13"/>
    </row>
    <row r="394" spans="1:15" x14ac:dyDescent="0.2">
      <c r="A394" s="4" t="s">
        <v>27</v>
      </c>
      <c r="B394" s="5">
        <f t="shared" si="516"/>
        <v>0</v>
      </c>
      <c r="C394" s="5">
        <f t="shared" si="517"/>
        <v>0</v>
      </c>
      <c r="D394" s="16">
        <f t="shared" si="518"/>
        <v>9999</v>
      </c>
      <c r="F394" s="4" t="s">
        <v>27</v>
      </c>
      <c r="G394" s="5">
        <f t="shared" si="519"/>
        <v>0</v>
      </c>
      <c r="H394" s="5">
        <f t="shared" si="520"/>
        <v>0</v>
      </c>
      <c r="I394" s="16">
        <f t="shared" si="521"/>
        <v>9999</v>
      </c>
      <c r="K394" s="4" t="s">
        <v>27</v>
      </c>
      <c r="L394" s="5">
        <f t="shared" si="522"/>
        <v>0</v>
      </c>
      <c r="M394" s="5">
        <f t="shared" si="523"/>
        <v>0</v>
      </c>
      <c r="N394" s="16">
        <f t="shared" si="524"/>
        <v>9999</v>
      </c>
      <c r="O394" s="13"/>
    </row>
    <row r="395" spans="1:15" x14ac:dyDescent="0.2">
      <c r="A395" s="9" t="s">
        <v>28</v>
      </c>
      <c r="B395" s="5">
        <f t="shared" si="516"/>
        <v>0</v>
      </c>
      <c r="C395" s="5">
        <f t="shared" si="517"/>
        <v>0</v>
      </c>
      <c r="D395" s="16">
        <f t="shared" si="518"/>
        <v>9999</v>
      </c>
      <c r="F395" s="9" t="s">
        <v>28</v>
      </c>
      <c r="G395" s="5">
        <f t="shared" si="519"/>
        <v>0</v>
      </c>
      <c r="H395" s="5">
        <f t="shared" si="520"/>
        <v>0</v>
      </c>
      <c r="I395" s="16">
        <f t="shared" si="521"/>
        <v>9999</v>
      </c>
      <c r="K395" s="9" t="s">
        <v>28</v>
      </c>
      <c r="L395" s="5">
        <f t="shared" si="522"/>
        <v>0</v>
      </c>
      <c r="M395" s="5">
        <f t="shared" si="523"/>
        <v>0</v>
      </c>
      <c r="N395" s="16">
        <f t="shared" si="524"/>
        <v>9999</v>
      </c>
      <c r="O395" s="13"/>
    </row>
    <row r="396" spans="1:15" x14ac:dyDescent="0.2">
      <c r="A396" s="9" t="s">
        <v>29</v>
      </c>
      <c r="B396" s="5">
        <f t="shared" si="516"/>
        <v>0</v>
      </c>
      <c r="C396" s="5">
        <f t="shared" si="517"/>
        <v>0</v>
      </c>
      <c r="D396" s="16">
        <f t="shared" si="518"/>
        <v>9999</v>
      </c>
      <c r="F396" s="9" t="s">
        <v>29</v>
      </c>
      <c r="G396" s="5">
        <f t="shared" si="519"/>
        <v>0</v>
      </c>
      <c r="H396" s="5">
        <f t="shared" si="520"/>
        <v>0</v>
      </c>
      <c r="I396" s="16">
        <f t="shared" si="521"/>
        <v>9999</v>
      </c>
      <c r="K396" s="9" t="s">
        <v>29</v>
      </c>
      <c r="L396" s="5">
        <f t="shared" si="522"/>
        <v>0</v>
      </c>
      <c r="M396" s="5">
        <f t="shared" si="523"/>
        <v>0</v>
      </c>
      <c r="N396" s="16">
        <f t="shared" si="524"/>
        <v>9999</v>
      </c>
      <c r="O396" s="13"/>
    </row>
    <row r="397" spans="1:15" x14ac:dyDescent="0.2">
      <c r="A397" s="9" t="s">
        <v>30</v>
      </c>
      <c r="B397" s="5">
        <f t="shared" si="516"/>
        <v>0</v>
      </c>
      <c r="C397" s="5">
        <f t="shared" si="517"/>
        <v>0</v>
      </c>
      <c r="D397" s="16">
        <f t="shared" si="518"/>
        <v>9999</v>
      </c>
      <c r="F397" s="9" t="s">
        <v>30</v>
      </c>
      <c r="G397" s="5">
        <f t="shared" si="519"/>
        <v>0</v>
      </c>
      <c r="H397" s="5">
        <f t="shared" si="520"/>
        <v>0</v>
      </c>
      <c r="I397" s="16">
        <f t="shared" si="521"/>
        <v>9999</v>
      </c>
      <c r="K397" s="9" t="s">
        <v>30</v>
      </c>
      <c r="L397" s="5">
        <f t="shared" si="522"/>
        <v>0</v>
      </c>
      <c r="M397" s="5">
        <f t="shared" si="523"/>
        <v>0</v>
      </c>
      <c r="N397" s="16">
        <f t="shared" si="524"/>
        <v>9999</v>
      </c>
      <c r="O397" s="13"/>
    </row>
    <row r="398" spans="1:15" x14ac:dyDescent="0.2">
      <c r="A398" s="9" t="s">
        <v>31</v>
      </c>
      <c r="B398" s="5">
        <f t="shared" si="516"/>
        <v>0</v>
      </c>
      <c r="C398" s="5">
        <f t="shared" si="517"/>
        <v>0</v>
      </c>
      <c r="D398" s="16">
        <f t="shared" si="518"/>
        <v>9999</v>
      </c>
      <c r="F398" s="9" t="s">
        <v>31</v>
      </c>
      <c r="G398" s="5">
        <f t="shared" si="519"/>
        <v>0</v>
      </c>
      <c r="H398" s="5">
        <f t="shared" si="520"/>
        <v>0</v>
      </c>
      <c r="I398" s="16">
        <f t="shared" si="521"/>
        <v>9999</v>
      </c>
      <c r="K398" s="9" t="s">
        <v>31</v>
      </c>
      <c r="L398" s="5">
        <f t="shared" si="522"/>
        <v>0</v>
      </c>
      <c r="M398" s="5">
        <f t="shared" si="523"/>
        <v>0</v>
      </c>
      <c r="N398" s="16">
        <f t="shared" si="524"/>
        <v>9999</v>
      </c>
      <c r="O398" s="13"/>
    </row>
    <row r="399" spans="1:15" x14ac:dyDescent="0.2">
      <c r="A399" s="10" t="s">
        <v>32</v>
      </c>
      <c r="B399" s="8">
        <f t="shared" si="516"/>
        <v>0</v>
      </c>
      <c r="C399" s="8">
        <f t="shared" si="517"/>
        <v>0</v>
      </c>
      <c r="D399" s="18">
        <f t="shared" si="518"/>
        <v>9999</v>
      </c>
      <c r="F399" s="10" t="s">
        <v>32</v>
      </c>
      <c r="G399" s="8">
        <f t="shared" si="519"/>
        <v>0</v>
      </c>
      <c r="H399" s="8">
        <f t="shared" si="520"/>
        <v>0</v>
      </c>
      <c r="I399" s="18">
        <f t="shared" si="521"/>
        <v>9999</v>
      </c>
      <c r="K399" s="10" t="s">
        <v>32</v>
      </c>
      <c r="L399" s="8">
        <f t="shared" si="522"/>
        <v>0</v>
      </c>
      <c r="M399" s="8">
        <f t="shared" si="523"/>
        <v>0</v>
      </c>
      <c r="N399" s="18">
        <f t="shared" si="524"/>
        <v>9999</v>
      </c>
      <c r="O399" s="13"/>
    </row>
    <row r="401" spans="1:24" x14ac:dyDescent="0.2">
      <c r="A401" s="14" t="s">
        <v>396</v>
      </c>
      <c r="P401" s="13"/>
    </row>
    <row r="402" spans="1:24" x14ac:dyDescent="0.2">
      <c r="A402" s="28" t="s">
        <v>62</v>
      </c>
      <c r="B402" s="2"/>
      <c r="C402" s="2"/>
      <c r="D402" s="3"/>
      <c r="F402" s="1" t="s">
        <v>11</v>
      </c>
      <c r="G402" s="2"/>
      <c r="H402" s="2"/>
      <c r="I402" s="3"/>
      <c r="K402" s="27" t="s">
        <v>64</v>
      </c>
      <c r="L402" s="2"/>
      <c r="M402" s="2"/>
      <c r="N402" s="3"/>
      <c r="O402" s="11"/>
    </row>
    <row r="403" spans="1:24" x14ac:dyDescent="0.2">
      <c r="A403" s="4"/>
      <c r="B403" s="5"/>
      <c r="C403" s="5"/>
      <c r="D403" s="6"/>
      <c r="F403" s="4"/>
      <c r="G403" s="5"/>
      <c r="H403" s="5"/>
      <c r="I403" s="6"/>
      <c r="K403" s="4"/>
      <c r="L403" s="5"/>
      <c r="M403" s="5"/>
      <c r="N403" s="6"/>
      <c r="O403" s="11"/>
      <c r="X403" s="29"/>
    </row>
    <row r="404" spans="1:24" x14ac:dyDescent="0.2">
      <c r="A404" s="4"/>
      <c r="B404" s="5"/>
      <c r="C404" s="5"/>
      <c r="D404" s="16" t="s">
        <v>3</v>
      </c>
      <c r="F404" s="4"/>
      <c r="G404" s="5"/>
      <c r="H404" s="5"/>
      <c r="I404" s="16" t="s">
        <v>4</v>
      </c>
      <c r="K404" s="4"/>
      <c r="L404" s="5"/>
      <c r="M404" s="5"/>
      <c r="N404" s="30" t="s">
        <v>4</v>
      </c>
      <c r="O404" s="11"/>
    </row>
    <row r="405" spans="1:24" x14ac:dyDescent="0.2">
      <c r="A405" s="4" t="s">
        <v>13</v>
      </c>
      <c r="B405" s="5">
        <f>IF(E155&lt;&gt;9999,E155,0)</f>
        <v>0</v>
      </c>
      <c r="C405" s="5">
        <f>IF(E180&lt;&gt;9999,E180,0)</f>
        <v>0</v>
      </c>
      <c r="D405" s="16">
        <f>IF(ISERROR(B405-C405),9999,IF(OR(B405=0,C405=0),9999,IF(B405+C405&lt;=0,9999,(B405+C405)/10)))</f>
        <v>9999</v>
      </c>
      <c r="F405" s="4" t="s">
        <v>13</v>
      </c>
      <c r="G405" s="5">
        <f>IF(J155&lt;&gt;9999,J155,0)</f>
        <v>0</v>
      </c>
      <c r="H405" s="5">
        <f>IF(J180&lt;&gt;9999,J180,0)</f>
        <v>0</v>
      </c>
      <c r="I405" s="16">
        <f>IF(ISERROR(H405-G405),9999,IF(OR(G405=0,H405=0),9999,IF(G405+H405&lt;=0,9999,G405+H405)))</f>
        <v>9999</v>
      </c>
      <c r="K405" s="4" t="s">
        <v>13</v>
      </c>
      <c r="L405" s="5">
        <f>AJ5</f>
        <v>0</v>
      </c>
      <c r="M405" s="5">
        <f>AI5</f>
        <v>0</v>
      </c>
      <c r="N405" s="16">
        <f>IF(ISERROR(L405-M405),9999,IF(OR(L405=0,M405=0),9999,IF(L405-M405&lt;=0,9999,L405-M405)))</f>
        <v>9999</v>
      </c>
      <c r="O405" s="13"/>
    </row>
    <row r="406" spans="1:24" x14ac:dyDescent="0.2">
      <c r="A406" s="4" t="s">
        <v>14</v>
      </c>
      <c r="B406" s="5">
        <f t="shared" ref="B406:B424" si="525">IF(E156&lt;&gt;9999,E156,0)</f>
        <v>0</v>
      </c>
      <c r="C406" s="5">
        <f t="shared" ref="C406:C424" si="526">IF(E181&lt;&gt;9999,E181,0)</f>
        <v>0</v>
      </c>
      <c r="D406" s="16">
        <f t="shared" ref="D406:D424" si="527">IF(ISERROR(B406-C406),9999,IF(OR(B406=0,C406=0),9999,IF(B406+C406&lt;=0,9999,(B406+C406)/10)))</f>
        <v>9999</v>
      </c>
      <c r="F406" s="4" t="s">
        <v>14</v>
      </c>
      <c r="G406" s="5">
        <f t="shared" ref="G406:G424" si="528">IF(J156&lt;&gt;9999,J156,0)</f>
        <v>0</v>
      </c>
      <c r="H406" s="5">
        <f t="shared" ref="H406:H424" si="529">IF(J181&lt;&gt;9999,J181,0)</f>
        <v>0</v>
      </c>
      <c r="I406" s="16">
        <f t="shared" ref="I406:I424" si="530">IF(ISERROR(H406-G406),9999,IF(OR(G406=0,H406=0),9999,IF(G406+H406&lt;=0,9999,G406+H406)))</f>
        <v>9999</v>
      </c>
      <c r="K406" s="4" t="s">
        <v>14</v>
      </c>
      <c r="L406" s="5">
        <f t="shared" ref="L406:L424" si="531">AJ6</f>
        <v>0</v>
      </c>
      <c r="M406" s="5">
        <f t="shared" ref="M406:M424" si="532">AI6</f>
        <v>0</v>
      </c>
      <c r="N406" s="16">
        <f t="shared" ref="N406:N424" si="533">IF(ISERROR(L406-M406),9999,IF(OR(L406=0,M406=0),9999,IF(L406-M406&lt;=0,9999,L406-M406)))</f>
        <v>9999</v>
      </c>
      <c r="O406" s="13"/>
    </row>
    <row r="407" spans="1:24" x14ac:dyDescent="0.2">
      <c r="A407" s="4" t="s">
        <v>15</v>
      </c>
      <c r="B407" s="5">
        <f t="shared" si="525"/>
        <v>0</v>
      </c>
      <c r="C407" s="5">
        <f t="shared" si="526"/>
        <v>0</v>
      </c>
      <c r="D407" s="16">
        <f t="shared" si="527"/>
        <v>9999</v>
      </c>
      <c r="F407" s="4" t="s">
        <v>15</v>
      </c>
      <c r="G407" s="5">
        <f t="shared" si="528"/>
        <v>0</v>
      </c>
      <c r="H407" s="5">
        <f t="shared" si="529"/>
        <v>0</v>
      </c>
      <c r="I407" s="16">
        <f t="shared" si="530"/>
        <v>9999</v>
      </c>
      <c r="K407" s="4" t="s">
        <v>15</v>
      </c>
      <c r="L407" s="5">
        <f t="shared" si="531"/>
        <v>0</v>
      </c>
      <c r="M407" s="5">
        <f t="shared" si="532"/>
        <v>0</v>
      </c>
      <c r="N407" s="16">
        <f t="shared" si="533"/>
        <v>9999</v>
      </c>
      <c r="O407" s="13"/>
    </row>
    <row r="408" spans="1:24" x14ac:dyDescent="0.2">
      <c r="A408" s="4" t="s">
        <v>16</v>
      </c>
      <c r="B408" s="5">
        <f t="shared" si="525"/>
        <v>0</v>
      </c>
      <c r="C408" s="5">
        <f t="shared" si="526"/>
        <v>0</v>
      </c>
      <c r="D408" s="16">
        <f t="shared" si="527"/>
        <v>9999</v>
      </c>
      <c r="F408" s="4" t="s">
        <v>16</v>
      </c>
      <c r="G408" s="5">
        <f t="shared" si="528"/>
        <v>0</v>
      </c>
      <c r="H408" s="5">
        <f t="shared" si="529"/>
        <v>0</v>
      </c>
      <c r="I408" s="16">
        <f t="shared" si="530"/>
        <v>9999</v>
      </c>
      <c r="K408" s="4" t="s">
        <v>16</v>
      </c>
      <c r="L408" s="5">
        <f t="shared" si="531"/>
        <v>0</v>
      </c>
      <c r="M408" s="5">
        <f t="shared" si="532"/>
        <v>0</v>
      </c>
      <c r="N408" s="16">
        <f t="shared" si="533"/>
        <v>9999</v>
      </c>
      <c r="O408" s="13"/>
    </row>
    <row r="409" spans="1:24" x14ac:dyDescent="0.2">
      <c r="A409" s="4" t="s">
        <v>17</v>
      </c>
      <c r="B409" s="5">
        <f t="shared" si="525"/>
        <v>0</v>
      </c>
      <c r="C409" s="5">
        <f t="shared" si="526"/>
        <v>0</v>
      </c>
      <c r="D409" s="16">
        <f t="shared" si="527"/>
        <v>9999</v>
      </c>
      <c r="F409" s="4" t="s">
        <v>17</v>
      </c>
      <c r="G409" s="5">
        <f t="shared" si="528"/>
        <v>0</v>
      </c>
      <c r="H409" s="5">
        <f t="shared" si="529"/>
        <v>0</v>
      </c>
      <c r="I409" s="16">
        <f t="shared" si="530"/>
        <v>9999</v>
      </c>
      <c r="K409" s="4" t="s">
        <v>17</v>
      </c>
      <c r="L409" s="5">
        <f t="shared" si="531"/>
        <v>0</v>
      </c>
      <c r="M409" s="5">
        <f t="shared" si="532"/>
        <v>0</v>
      </c>
      <c r="N409" s="16">
        <f t="shared" si="533"/>
        <v>9999</v>
      </c>
      <c r="O409" s="13"/>
    </row>
    <row r="410" spans="1:24" x14ac:dyDescent="0.2">
      <c r="A410" s="4" t="s">
        <v>18</v>
      </c>
      <c r="B410" s="5">
        <f t="shared" si="525"/>
        <v>0</v>
      </c>
      <c r="C410" s="5">
        <f t="shared" si="526"/>
        <v>0</v>
      </c>
      <c r="D410" s="16">
        <f t="shared" si="527"/>
        <v>9999</v>
      </c>
      <c r="F410" s="4" t="s">
        <v>18</v>
      </c>
      <c r="G410" s="5">
        <f t="shared" si="528"/>
        <v>0</v>
      </c>
      <c r="H410" s="5">
        <f t="shared" si="529"/>
        <v>0</v>
      </c>
      <c r="I410" s="16">
        <f t="shared" si="530"/>
        <v>9999</v>
      </c>
      <c r="K410" s="4" t="s">
        <v>18</v>
      </c>
      <c r="L410" s="5">
        <f t="shared" si="531"/>
        <v>0</v>
      </c>
      <c r="M410" s="5">
        <f t="shared" si="532"/>
        <v>0</v>
      </c>
      <c r="N410" s="16">
        <f t="shared" si="533"/>
        <v>9999</v>
      </c>
      <c r="O410" s="13"/>
    </row>
    <row r="411" spans="1:24" x14ac:dyDescent="0.2">
      <c r="A411" s="4" t="s">
        <v>19</v>
      </c>
      <c r="B411" s="5">
        <f t="shared" si="525"/>
        <v>0</v>
      </c>
      <c r="C411" s="5">
        <f t="shared" si="526"/>
        <v>0</v>
      </c>
      <c r="D411" s="16">
        <f t="shared" si="527"/>
        <v>9999</v>
      </c>
      <c r="F411" s="4" t="s">
        <v>19</v>
      </c>
      <c r="G411" s="5">
        <f t="shared" si="528"/>
        <v>0</v>
      </c>
      <c r="H411" s="5">
        <f t="shared" si="529"/>
        <v>0</v>
      </c>
      <c r="I411" s="16">
        <f t="shared" si="530"/>
        <v>9999</v>
      </c>
      <c r="K411" s="4" t="s">
        <v>19</v>
      </c>
      <c r="L411" s="5">
        <f t="shared" si="531"/>
        <v>0</v>
      </c>
      <c r="M411" s="5">
        <f t="shared" si="532"/>
        <v>0</v>
      </c>
      <c r="N411" s="16">
        <f t="shared" si="533"/>
        <v>9999</v>
      </c>
      <c r="O411" s="13"/>
    </row>
    <row r="412" spans="1:24" x14ac:dyDescent="0.2">
      <c r="A412" s="9" t="s">
        <v>20</v>
      </c>
      <c r="B412" s="5">
        <f t="shared" si="525"/>
        <v>0</v>
      </c>
      <c r="C412" s="5">
        <f t="shared" si="526"/>
        <v>0</v>
      </c>
      <c r="D412" s="16">
        <f t="shared" si="527"/>
        <v>9999</v>
      </c>
      <c r="F412" s="9" t="s">
        <v>20</v>
      </c>
      <c r="G412" s="5">
        <f t="shared" si="528"/>
        <v>0</v>
      </c>
      <c r="H412" s="5">
        <f t="shared" si="529"/>
        <v>0</v>
      </c>
      <c r="I412" s="16">
        <f t="shared" si="530"/>
        <v>9999</v>
      </c>
      <c r="K412" s="9" t="s">
        <v>20</v>
      </c>
      <c r="L412" s="5">
        <f t="shared" si="531"/>
        <v>0</v>
      </c>
      <c r="M412" s="5">
        <f t="shared" si="532"/>
        <v>0</v>
      </c>
      <c r="N412" s="16">
        <f t="shared" si="533"/>
        <v>9999</v>
      </c>
      <c r="O412" s="13"/>
    </row>
    <row r="413" spans="1:24" x14ac:dyDescent="0.2">
      <c r="A413" s="9" t="s">
        <v>21</v>
      </c>
      <c r="B413" s="5">
        <f t="shared" si="525"/>
        <v>0</v>
      </c>
      <c r="C413" s="5">
        <f t="shared" si="526"/>
        <v>0</v>
      </c>
      <c r="D413" s="16">
        <f t="shared" si="527"/>
        <v>9999</v>
      </c>
      <c r="F413" s="9" t="s">
        <v>21</v>
      </c>
      <c r="G413" s="5">
        <f t="shared" si="528"/>
        <v>0</v>
      </c>
      <c r="H413" s="5">
        <f t="shared" si="529"/>
        <v>0</v>
      </c>
      <c r="I413" s="16">
        <f t="shared" si="530"/>
        <v>9999</v>
      </c>
      <c r="K413" s="9" t="s">
        <v>21</v>
      </c>
      <c r="L413" s="5">
        <f t="shared" si="531"/>
        <v>0</v>
      </c>
      <c r="M413" s="5">
        <f t="shared" si="532"/>
        <v>0</v>
      </c>
      <c r="N413" s="16">
        <f t="shared" si="533"/>
        <v>9999</v>
      </c>
      <c r="O413" s="13"/>
    </row>
    <row r="414" spans="1:24" x14ac:dyDescent="0.2">
      <c r="A414" s="9" t="s">
        <v>22</v>
      </c>
      <c r="B414" s="5">
        <f t="shared" si="525"/>
        <v>0</v>
      </c>
      <c r="C414" s="5">
        <f t="shared" si="526"/>
        <v>0</v>
      </c>
      <c r="D414" s="16">
        <f t="shared" si="527"/>
        <v>9999</v>
      </c>
      <c r="F414" s="9" t="s">
        <v>22</v>
      </c>
      <c r="G414" s="5">
        <f t="shared" si="528"/>
        <v>0</v>
      </c>
      <c r="H414" s="5">
        <f t="shared" si="529"/>
        <v>0</v>
      </c>
      <c r="I414" s="16">
        <f t="shared" si="530"/>
        <v>9999</v>
      </c>
      <c r="K414" s="9" t="s">
        <v>22</v>
      </c>
      <c r="L414" s="5">
        <f t="shared" si="531"/>
        <v>0</v>
      </c>
      <c r="M414" s="5">
        <f t="shared" si="532"/>
        <v>0</v>
      </c>
      <c r="N414" s="16">
        <f t="shared" si="533"/>
        <v>9999</v>
      </c>
      <c r="O414" s="13"/>
    </row>
    <row r="415" spans="1:24" x14ac:dyDescent="0.2">
      <c r="A415" s="9" t="s">
        <v>23</v>
      </c>
      <c r="B415" s="5">
        <f t="shared" si="525"/>
        <v>0</v>
      </c>
      <c r="C415" s="5">
        <f t="shared" si="526"/>
        <v>0</v>
      </c>
      <c r="D415" s="16">
        <f t="shared" si="527"/>
        <v>9999</v>
      </c>
      <c r="F415" s="9" t="s">
        <v>23</v>
      </c>
      <c r="G415" s="5">
        <f t="shared" si="528"/>
        <v>0</v>
      </c>
      <c r="H415" s="5">
        <f t="shared" si="529"/>
        <v>0</v>
      </c>
      <c r="I415" s="16">
        <f t="shared" si="530"/>
        <v>9999</v>
      </c>
      <c r="K415" s="9" t="s">
        <v>23</v>
      </c>
      <c r="L415" s="5">
        <f t="shared" si="531"/>
        <v>0</v>
      </c>
      <c r="M415" s="5">
        <f t="shared" si="532"/>
        <v>0</v>
      </c>
      <c r="N415" s="16">
        <f t="shared" si="533"/>
        <v>9999</v>
      </c>
      <c r="O415" s="13"/>
    </row>
    <row r="416" spans="1:24" x14ac:dyDescent="0.2">
      <c r="A416" s="9" t="s">
        <v>24</v>
      </c>
      <c r="B416" s="5">
        <f t="shared" si="525"/>
        <v>0</v>
      </c>
      <c r="C416" s="5">
        <f t="shared" si="526"/>
        <v>0</v>
      </c>
      <c r="D416" s="16">
        <f t="shared" si="527"/>
        <v>9999</v>
      </c>
      <c r="F416" s="9" t="s">
        <v>24</v>
      </c>
      <c r="G416" s="5">
        <f t="shared" si="528"/>
        <v>0</v>
      </c>
      <c r="H416" s="5">
        <f t="shared" si="529"/>
        <v>0</v>
      </c>
      <c r="I416" s="16">
        <f t="shared" si="530"/>
        <v>9999</v>
      </c>
      <c r="K416" s="9" t="s">
        <v>24</v>
      </c>
      <c r="L416" s="5">
        <f t="shared" si="531"/>
        <v>0</v>
      </c>
      <c r="M416" s="5">
        <f t="shared" si="532"/>
        <v>0</v>
      </c>
      <c r="N416" s="16">
        <f t="shared" si="533"/>
        <v>9999</v>
      </c>
      <c r="O416" s="13"/>
    </row>
    <row r="417" spans="1:24" x14ac:dyDescent="0.2">
      <c r="A417" s="4" t="s">
        <v>25</v>
      </c>
      <c r="B417" s="5">
        <f t="shared" si="525"/>
        <v>0</v>
      </c>
      <c r="C417" s="5">
        <f t="shared" si="526"/>
        <v>0</v>
      </c>
      <c r="D417" s="16">
        <f t="shared" si="527"/>
        <v>9999</v>
      </c>
      <c r="F417" s="4" t="s">
        <v>25</v>
      </c>
      <c r="G417" s="5">
        <f t="shared" si="528"/>
        <v>0</v>
      </c>
      <c r="H417" s="5">
        <f t="shared" si="529"/>
        <v>0</v>
      </c>
      <c r="I417" s="16">
        <f t="shared" si="530"/>
        <v>9999</v>
      </c>
      <c r="K417" s="4" t="s">
        <v>25</v>
      </c>
      <c r="L417" s="5">
        <f t="shared" si="531"/>
        <v>0</v>
      </c>
      <c r="M417" s="5">
        <f t="shared" si="532"/>
        <v>0</v>
      </c>
      <c r="N417" s="16">
        <f t="shared" si="533"/>
        <v>9999</v>
      </c>
      <c r="O417" s="13"/>
    </row>
    <row r="418" spans="1:24" x14ac:dyDescent="0.2">
      <c r="A418" s="4" t="s">
        <v>26</v>
      </c>
      <c r="B418" s="5">
        <f t="shared" si="525"/>
        <v>0</v>
      </c>
      <c r="C418" s="5">
        <f t="shared" si="526"/>
        <v>0</v>
      </c>
      <c r="D418" s="16">
        <f t="shared" si="527"/>
        <v>9999</v>
      </c>
      <c r="F418" s="4" t="s">
        <v>26</v>
      </c>
      <c r="G418" s="5">
        <f t="shared" si="528"/>
        <v>0</v>
      </c>
      <c r="H418" s="5">
        <f t="shared" si="529"/>
        <v>0</v>
      </c>
      <c r="I418" s="16">
        <f t="shared" si="530"/>
        <v>9999</v>
      </c>
      <c r="K418" s="4" t="s">
        <v>26</v>
      </c>
      <c r="L418" s="5">
        <f t="shared" si="531"/>
        <v>0</v>
      </c>
      <c r="M418" s="5">
        <f t="shared" si="532"/>
        <v>0</v>
      </c>
      <c r="N418" s="16">
        <f t="shared" si="533"/>
        <v>9999</v>
      </c>
      <c r="O418" s="13"/>
    </row>
    <row r="419" spans="1:24" x14ac:dyDescent="0.2">
      <c r="A419" s="4" t="s">
        <v>27</v>
      </c>
      <c r="B419" s="5">
        <f t="shared" si="525"/>
        <v>0</v>
      </c>
      <c r="C419" s="5">
        <f t="shared" si="526"/>
        <v>0</v>
      </c>
      <c r="D419" s="16">
        <f t="shared" si="527"/>
        <v>9999</v>
      </c>
      <c r="F419" s="4" t="s">
        <v>27</v>
      </c>
      <c r="G419" s="5">
        <f t="shared" si="528"/>
        <v>0</v>
      </c>
      <c r="H419" s="5">
        <f t="shared" si="529"/>
        <v>0</v>
      </c>
      <c r="I419" s="16">
        <f t="shared" si="530"/>
        <v>9999</v>
      </c>
      <c r="K419" s="4" t="s">
        <v>27</v>
      </c>
      <c r="L419" s="5">
        <f t="shared" si="531"/>
        <v>0</v>
      </c>
      <c r="M419" s="5">
        <f t="shared" si="532"/>
        <v>0</v>
      </c>
      <c r="N419" s="16">
        <f t="shared" si="533"/>
        <v>9999</v>
      </c>
      <c r="O419" s="13"/>
    </row>
    <row r="420" spans="1:24" x14ac:dyDescent="0.2">
      <c r="A420" s="9" t="s">
        <v>28</v>
      </c>
      <c r="B420" s="5">
        <f t="shared" si="525"/>
        <v>0</v>
      </c>
      <c r="C420" s="5">
        <f t="shared" si="526"/>
        <v>0</v>
      </c>
      <c r="D420" s="16">
        <f t="shared" si="527"/>
        <v>9999</v>
      </c>
      <c r="F420" s="9" t="s">
        <v>28</v>
      </c>
      <c r="G420" s="5">
        <f t="shared" si="528"/>
        <v>0</v>
      </c>
      <c r="H420" s="5">
        <f t="shared" si="529"/>
        <v>0</v>
      </c>
      <c r="I420" s="16">
        <f t="shared" si="530"/>
        <v>9999</v>
      </c>
      <c r="K420" s="9" t="s">
        <v>28</v>
      </c>
      <c r="L420" s="5">
        <f t="shared" si="531"/>
        <v>0</v>
      </c>
      <c r="M420" s="5">
        <f t="shared" si="532"/>
        <v>0</v>
      </c>
      <c r="N420" s="16">
        <f t="shared" si="533"/>
        <v>9999</v>
      </c>
      <c r="O420" s="13"/>
    </row>
    <row r="421" spans="1:24" x14ac:dyDescent="0.2">
      <c r="A421" s="9" t="s">
        <v>29</v>
      </c>
      <c r="B421" s="5">
        <f t="shared" si="525"/>
        <v>0</v>
      </c>
      <c r="C421" s="5">
        <f t="shared" si="526"/>
        <v>0</v>
      </c>
      <c r="D421" s="16">
        <f t="shared" si="527"/>
        <v>9999</v>
      </c>
      <c r="F421" s="9" t="s">
        <v>29</v>
      </c>
      <c r="G421" s="5">
        <f t="shared" si="528"/>
        <v>0</v>
      </c>
      <c r="H421" s="5">
        <f t="shared" si="529"/>
        <v>0</v>
      </c>
      <c r="I421" s="16">
        <f t="shared" si="530"/>
        <v>9999</v>
      </c>
      <c r="K421" s="9" t="s">
        <v>29</v>
      </c>
      <c r="L421" s="5">
        <f t="shared" si="531"/>
        <v>0</v>
      </c>
      <c r="M421" s="5">
        <f t="shared" si="532"/>
        <v>0</v>
      </c>
      <c r="N421" s="16">
        <f t="shared" si="533"/>
        <v>9999</v>
      </c>
      <c r="O421" s="13"/>
    </row>
    <row r="422" spans="1:24" x14ac:dyDescent="0.2">
      <c r="A422" s="9" t="s">
        <v>30</v>
      </c>
      <c r="B422" s="5">
        <f t="shared" si="525"/>
        <v>0</v>
      </c>
      <c r="C422" s="5">
        <f t="shared" si="526"/>
        <v>0</v>
      </c>
      <c r="D422" s="16">
        <f t="shared" si="527"/>
        <v>9999</v>
      </c>
      <c r="F422" s="9" t="s">
        <v>30</v>
      </c>
      <c r="G422" s="5">
        <f t="shared" si="528"/>
        <v>0</v>
      </c>
      <c r="H422" s="5">
        <f t="shared" si="529"/>
        <v>0</v>
      </c>
      <c r="I422" s="16">
        <f t="shared" si="530"/>
        <v>9999</v>
      </c>
      <c r="K422" s="9" t="s">
        <v>30</v>
      </c>
      <c r="L422" s="5">
        <f t="shared" si="531"/>
        <v>0</v>
      </c>
      <c r="M422" s="5">
        <f t="shared" si="532"/>
        <v>0</v>
      </c>
      <c r="N422" s="16">
        <f t="shared" si="533"/>
        <v>9999</v>
      </c>
      <c r="O422" s="13"/>
    </row>
    <row r="423" spans="1:24" x14ac:dyDescent="0.2">
      <c r="A423" s="9" t="s">
        <v>31</v>
      </c>
      <c r="B423" s="5">
        <f t="shared" si="525"/>
        <v>0</v>
      </c>
      <c r="C423" s="5">
        <f t="shared" si="526"/>
        <v>0</v>
      </c>
      <c r="D423" s="16">
        <f t="shared" si="527"/>
        <v>9999</v>
      </c>
      <c r="F423" s="9" t="s">
        <v>31</v>
      </c>
      <c r="G423" s="5">
        <f t="shared" si="528"/>
        <v>0</v>
      </c>
      <c r="H423" s="5">
        <f t="shared" si="529"/>
        <v>0</v>
      </c>
      <c r="I423" s="16">
        <f t="shared" si="530"/>
        <v>9999</v>
      </c>
      <c r="K423" s="9" t="s">
        <v>31</v>
      </c>
      <c r="L423" s="5">
        <f t="shared" si="531"/>
        <v>0</v>
      </c>
      <c r="M423" s="5">
        <f t="shared" si="532"/>
        <v>0</v>
      </c>
      <c r="N423" s="16">
        <f t="shared" si="533"/>
        <v>9999</v>
      </c>
      <c r="O423" s="13"/>
    </row>
    <row r="424" spans="1:24" x14ac:dyDescent="0.2">
      <c r="A424" s="10" t="s">
        <v>32</v>
      </c>
      <c r="B424" s="8">
        <f t="shared" si="525"/>
        <v>0</v>
      </c>
      <c r="C424" s="8">
        <f t="shared" si="526"/>
        <v>0</v>
      </c>
      <c r="D424" s="18">
        <f t="shared" si="527"/>
        <v>9999</v>
      </c>
      <c r="F424" s="10" t="s">
        <v>32</v>
      </c>
      <c r="G424" s="8">
        <f t="shared" si="528"/>
        <v>0</v>
      </c>
      <c r="H424" s="8">
        <f t="shared" si="529"/>
        <v>0</v>
      </c>
      <c r="I424" s="18">
        <f t="shared" si="530"/>
        <v>9999</v>
      </c>
      <c r="K424" s="10" t="s">
        <v>32</v>
      </c>
      <c r="L424" s="8">
        <f t="shared" si="531"/>
        <v>0</v>
      </c>
      <c r="M424" s="8">
        <f t="shared" si="532"/>
        <v>0</v>
      </c>
      <c r="N424" s="18">
        <f t="shared" si="533"/>
        <v>9999</v>
      </c>
      <c r="O424" s="13"/>
    </row>
    <row r="426" spans="1:24" x14ac:dyDescent="0.2">
      <c r="A426" s="14" t="s">
        <v>397</v>
      </c>
      <c r="P426" s="13"/>
    </row>
    <row r="427" spans="1:24" x14ac:dyDescent="0.2">
      <c r="A427" s="28" t="s">
        <v>62</v>
      </c>
      <c r="B427" s="2"/>
      <c r="C427" s="2"/>
      <c r="D427" s="3"/>
      <c r="F427" s="1" t="s">
        <v>11</v>
      </c>
      <c r="G427" s="2"/>
      <c r="H427" s="2"/>
      <c r="I427" s="3"/>
      <c r="K427" s="27" t="s">
        <v>64</v>
      </c>
      <c r="L427" s="2"/>
      <c r="M427" s="2"/>
      <c r="N427" s="3"/>
      <c r="O427" s="11"/>
    </row>
    <row r="428" spans="1:24" x14ac:dyDescent="0.2">
      <c r="A428" s="4"/>
      <c r="B428" s="5"/>
      <c r="C428" s="5"/>
      <c r="D428" s="6"/>
      <c r="F428" s="4"/>
      <c r="G428" s="5"/>
      <c r="H428" s="5"/>
      <c r="I428" s="6"/>
      <c r="K428" s="4"/>
      <c r="L428" s="5"/>
      <c r="M428" s="5"/>
      <c r="N428" s="6"/>
      <c r="O428" s="11"/>
      <c r="X428" s="29"/>
    </row>
    <row r="429" spans="1:24" x14ac:dyDescent="0.2">
      <c r="A429" s="4"/>
      <c r="B429" s="5"/>
      <c r="C429" s="5"/>
      <c r="D429" s="16" t="s">
        <v>3</v>
      </c>
      <c r="F429" s="4"/>
      <c r="G429" s="5"/>
      <c r="H429" s="5"/>
      <c r="I429" s="16" t="s">
        <v>4</v>
      </c>
      <c r="K429" s="4"/>
      <c r="L429" s="5"/>
      <c r="M429" s="5"/>
      <c r="N429" s="30" t="s">
        <v>4</v>
      </c>
      <c r="O429" s="11"/>
    </row>
    <row r="430" spans="1:24" x14ac:dyDescent="0.2">
      <c r="A430" s="4" t="s">
        <v>13</v>
      </c>
      <c r="B430" s="5">
        <f>IF(E180&lt;&gt;9999,E180,0)</f>
        <v>0</v>
      </c>
      <c r="C430" s="5">
        <f>IF(E205&lt;&gt;9999,E205,0)</f>
        <v>0</v>
      </c>
      <c r="D430" s="16">
        <f>IF(ISERROR(B430-C430),9999,IF(OR(B430=0,C430=0),9999,IF(B430+C430&lt;=0,9999,(B430+C430)/10)))</f>
        <v>9999</v>
      </c>
      <c r="F430" s="4" t="s">
        <v>13</v>
      </c>
      <c r="G430" s="5">
        <f>IF(J180&lt;&gt;9999,J180,0)</f>
        <v>0</v>
      </c>
      <c r="H430" s="5">
        <f>IF(J205&lt;&gt;9999,J205,0)</f>
        <v>0</v>
      </c>
      <c r="I430" s="16">
        <f>IF(ISERROR(H430-G430),9999,IF(OR(G430=0,H430=0),9999,IF(G430+H430&lt;=0,9999,G430+H430)))</f>
        <v>9999</v>
      </c>
      <c r="K430" s="4" t="s">
        <v>13</v>
      </c>
      <c r="L430" s="5">
        <f>AO5</f>
        <v>0</v>
      </c>
      <c r="M430" s="5">
        <f>AN5</f>
        <v>0</v>
      </c>
      <c r="N430" s="16">
        <f>IF(ISERROR(L430-M430),9999,IF(OR(L430=0,M430=0),9999,IF(L430-M430&lt;=0,9999,L430-M430)))</f>
        <v>9999</v>
      </c>
      <c r="O430" s="13"/>
    </row>
    <row r="431" spans="1:24" x14ac:dyDescent="0.2">
      <c r="A431" s="4" t="s">
        <v>14</v>
      </c>
      <c r="B431" s="5">
        <f t="shared" ref="B431:B449" si="534">IF(E181&lt;&gt;9999,E181,0)</f>
        <v>0</v>
      </c>
      <c r="C431" s="5">
        <f t="shared" ref="C431:C449" si="535">IF(E206&lt;&gt;9999,E206,0)</f>
        <v>0</v>
      </c>
      <c r="D431" s="16">
        <f t="shared" ref="D431:D449" si="536">IF(ISERROR(B431-C431),9999,IF(OR(B431=0,C431=0),9999,IF(B431+C431&lt;=0,9999,(B431+C431)/10)))</f>
        <v>9999</v>
      </c>
      <c r="F431" s="4" t="s">
        <v>14</v>
      </c>
      <c r="G431" s="5">
        <f t="shared" ref="G431:G449" si="537">IF(J181&lt;&gt;9999,J181,0)</f>
        <v>0</v>
      </c>
      <c r="H431" s="5">
        <f t="shared" ref="H431:H449" si="538">IF(J206&lt;&gt;9999,J206,0)</f>
        <v>0</v>
      </c>
      <c r="I431" s="16">
        <f t="shared" ref="I431:I449" si="539">IF(ISERROR(H431-G431),9999,IF(OR(G431=0,H431=0),9999,IF(G431+H431&lt;=0,9999,G431+H431)))</f>
        <v>9999</v>
      </c>
      <c r="K431" s="4" t="s">
        <v>14</v>
      </c>
      <c r="L431" s="5">
        <f t="shared" ref="L431:L449" si="540">AO6</f>
        <v>0</v>
      </c>
      <c r="M431" s="5">
        <f t="shared" ref="M431:M449" si="541">AN6</f>
        <v>0</v>
      </c>
      <c r="N431" s="16">
        <f t="shared" ref="N431:N449" si="542">IF(ISERROR(L431-M431),9999,IF(OR(L431=0,M431=0),9999,IF(L431-M431&lt;=0,9999,L431-M431)))</f>
        <v>9999</v>
      </c>
      <c r="O431" s="13"/>
    </row>
    <row r="432" spans="1:24" x14ac:dyDescent="0.2">
      <c r="A432" s="4" t="s">
        <v>15</v>
      </c>
      <c r="B432" s="5">
        <f t="shared" si="534"/>
        <v>0</v>
      </c>
      <c r="C432" s="5">
        <f t="shared" si="535"/>
        <v>0</v>
      </c>
      <c r="D432" s="16">
        <f t="shared" si="536"/>
        <v>9999</v>
      </c>
      <c r="F432" s="4" t="s">
        <v>15</v>
      </c>
      <c r="G432" s="5">
        <f t="shared" si="537"/>
        <v>0</v>
      </c>
      <c r="H432" s="5">
        <f t="shared" si="538"/>
        <v>0</v>
      </c>
      <c r="I432" s="16">
        <f t="shared" si="539"/>
        <v>9999</v>
      </c>
      <c r="K432" s="4" t="s">
        <v>15</v>
      </c>
      <c r="L432" s="5">
        <f t="shared" si="540"/>
        <v>0</v>
      </c>
      <c r="M432" s="5">
        <f t="shared" si="541"/>
        <v>0</v>
      </c>
      <c r="N432" s="16">
        <f t="shared" si="542"/>
        <v>9999</v>
      </c>
      <c r="O432" s="13"/>
    </row>
    <row r="433" spans="1:15" x14ac:dyDescent="0.2">
      <c r="A433" s="4" t="s">
        <v>16</v>
      </c>
      <c r="B433" s="5">
        <f t="shared" si="534"/>
        <v>0</v>
      </c>
      <c r="C433" s="5">
        <f t="shared" si="535"/>
        <v>0</v>
      </c>
      <c r="D433" s="16">
        <f t="shared" si="536"/>
        <v>9999</v>
      </c>
      <c r="F433" s="4" t="s">
        <v>16</v>
      </c>
      <c r="G433" s="5">
        <f t="shared" si="537"/>
        <v>0</v>
      </c>
      <c r="H433" s="5">
        <f t="shared" si="538"/>
        <v>0</v>
      </c>
      <c r="I433" s="16">
        <f t="shared" si="539"/>
        <v>9999</v>
      </c>
      <c r="K433" s="4" t="s">
        <v>16</v>
      </c>
      <c r="L433" s="5">
        <f t="shared" si="540"/>
        <v>0</v>
      </c>
      <c r="M433" s="5">
        <f t="shared" si="541"/>
        <v>0</v>
      </c>
      <c r="N433" s="16">
        <f t="shared" si="542"/>
        <v>9999</v>
      </c>
      <c r="O433" s="13"/>
    </row>
    <row r="434" spans="1:15" x14ac:dyDescent="0.2">
      <c r="A434" s="4" t="s">
        <v>17</v>
      </c>
      <c r="B434" s="5">
        <f t="shared" si="534"/>
        <v>0</v>
      </c>
      <c r="C434" s="5">
        <f t="shared" si="535"/>
        <v>0</v>
      </c>
      <c r="D434" s="16">
        <f t="shared" si="536"/>
        <v>9999</v>
      </c>
      <c r="F434" s="4" t="s">
        <v>17</v>
      </c>
      <c r="G434" s="5">
        <f t="shared" si="537"/>
        <v>0</v>
      </c>
      <c r="H434" s="5">
        <f t="shared" si="538"/>
        <v>0</v>
      </c>
      <c r="I434" s="16">
        <f t="shared" si="539"/>
        <v>9999</v>
      </c>
      <c r="K434" s="4" t="s">
        <v>17</v>
      </c>
      <c r="L434" s="5">
        <f t="shared" si="540"/>
        <v>0</v>
      </c>
      <c r="M434" s="5">
        <f t="shared" si="541"/>
        <v>0</v>
      </c>
      <c r="N434" s="16">
        <f t="shared" si="542"/>
        <v>9999</v>
      </c>
      <c r="O434" s="13"/>
    </row>
    <row r="435" spans="1:15" x14ac:dyDescent="0.2">
      <c r="A435" s="4" t="s">
        <v>18</v>
      </c>
      <c r="B435" s="5">
        <f t="shared" si="534"/>
        <v>0</v>
      </c>
      <c r="C435" s="5">
        <f t="shared" si="535"/>
        <v>0</v>
      </c>
      <c r="D435" s="16">
        <f t="shared" si="536"/>
        <v>9999</v>
      </c>
      <c r="F435" s="4" t="s">
        <v>18</v>
      </c>
      <c r="G435" s="5">
        <f t="shared" si="537"/>
        <v>0</v>
      </c>
      <c r="H435" s="5">
        <f t="shared" si="538"/>
        <v>0</v>
      </c>
      <c r="I435" s="16">
        <f t="shared" si="539"/>
        <v>9999</v>
      </c>
      <c r="K435" s="4" t="s">
        <v>18</v>
      </c>
      <c r="L435" s="5">
        <f t="shared" si="540"/>
        <v>0</v>
      </c>
      <c r="M435" s="5">
        <f t="shared" si="541"/>
        <v>0</v>
      </c>
      <c r="N435" s="16">
        <f t="shared" si="542"/>
        <v>9999</v>
      </c>
      <c r="O435" s="13"/>
    </row>
    <row r="436" spans="1:15" x14ac:dyDescent="0.2">
      <c r="A436" s="4" t="s">
        <v>19</v>
      </c>
      <c r="B436" s="5">
        <f t="shared" si="534"/>
        <v>0</v>
      </c>
      <c r="C436" s="5">
        <f t="shared" si="535"/>
        <v>0</v>
      </c>
      <c r="D436" s="16">
        <f t="shared" si="536"/>
        <v>9999</v>
      </c>
      <c r="F436" s="4" t="s">
        <v>19</v>
      </c>
      <c r="G436" s="5">
        <f t="shared" si="537"/>
        <v>0</v>
      </c>
      <c r="H436" s="5">
        <f t="shared" si="538"/>
        <v>0</v>
      </c>
      <c r="I436" s="16">
        <f t="shared" si="539"/>
        <v>9999</v>
      </c>
      <c r="K436" s="4" t="s">
        <v>19</v>
      </c>
      <c r="L436" s="5">
        <f t="shared" si="540"/>
        <v>0</v>
      </c>
      <c r="M436" s="5">
        <f t="shared" si="541"/>
        <v>0</v>
      </c>
      <c r="N436" s="16">
        <f t="shared" si="542"/>
        <v>9999</v>
      </c>
      <c r="O436" s="13"/>
    </row>
    <row r="437" spans="1:15" x14ac:dyDescent="0.2">
      <c r="A437" s="9" t="s">
        <v>20</v>
      </c>
      <c r="B437" s="5">
        <f t="shared" si="534"/>
        <v>0</v>
      </c>
      <c r="C437" s="5">
        <f t="shared" si="535"/>
        <v>0</v>
      </c>
      <c r="D437" s="16">
        <f t="shared" si="536"/>
        <v>9999</v>
      </c>
      <c r="F437" s="9" t="s">
        <v>20</v>
      </c>
      <c r="G437" s="5">
        <f t="shared" si="537"/>
        <v>0</v>
      </c>
      <c r="H437" s="5">
        <f t="shared" si="538"/>
        <v>0</v>
      </c>
      <c r="I437" s="16">
        <f t="shared" si="539"/>
        <v>9999</v>
      </c>
      <c r="K437" s="9" t="s">
        <v>20</v>
      </c>
      <c r="L437" s="5">
        <f t="shared" si="540"/>
        <v>0</v>
      </c>
      <c r="M437" s="5">
        <f t="shared" si="541"/>
        <v>0</v>
      </c>
      <c r="N437" s="16">
        <f t="shared" si="542"/>
        <v>9999</v>
      </c>
      <c r="O437" s="13"/>
    </row>
    <row r="438" spans="1:15" x14ac:dyDescent="0.2">
      <c r="A438" s="9" t="s">
        <v>21</v>
      </c>
      <c r="B438" s="5">
        <f t="shared" si="534"/>
        <v>0</v>
      </c>
      <c r="C438" s="5">
        <f t="shared" si="535"/>
        <v>0</v>
      </c>
      <c r="D438" s="16">
        <f t="shared" si="536"/>
        <v>9999</v>
      </c>
      <c r="F438" s="9" t="s">
        <v>21</v>
      </c>
      <c r="G438" s="5">
        <f t="shared" si="537"/>
        <v>0</v>
      </c>
      <c r="H438" s="5">
        <f t="shared" si="538"/>
        <v>0</v>
      </c>
      <c r="I438" s="16">
        <f t="shared" si="539"/>
        <v>9999</v>
      </c>
      <c r="K438" s="9" t="s">
        <v>21</v>
      </c>
      <c r="L438" s="5">
        <f t="shared" si="540"/>
        <v>0</v>
      </c>
      <c r="M438" s="5">
        <f t="shared" si="541"/>
        <v>0</v>
      </c>
      <c r="N438" s="16">
        <f t="shared" si="542"/>
        <v>9999</v>
      </c>
      <c r="O438" s="13"/>
    </row>
    <row r="439" spans="1:15" x14ac:dyDescent="0.2">
      <c r="A439" s="9" t="s">
        <v>22</v>
      </c>
      <c r="B439" s="5">
        <f t="shared" si="534"/>
        <v>0</v>
      </c>
      <c r="C439" s="5">
        <f t="shared" si="535"/>
        <v>0</v>
      </c>
      <c r="D439" s="16">
        <f t="shared" si="536"/>
        <v>9999</v>
      </c>
      <c r="F439" s="9" t="s">
        <v>22</v>
      </c>
      <c r="G439" s="5">
        <f t="shared" si="537"/>
        <v>0</v>
      </c>
      <c r="H439" s="5">
        <f t="shared" si="538"/>
        <v>0</v>
      </c>
      <c r="I439" s="16">
        <f t="shared" si="539"/>
        <v>9999</v>
      </c>
      <c r="K439" s="9" t="s">
        <v>22</v>
      </c>
      <c r="L439" s="5">
        <f t="shared" si="540"/>
        <v>0</v>
      </c>
      <c r="M439" s="5">
        <f t="shared" si="541"/>
        <v>0</v>
      </c>
      <c r="N439" s="16">
        <f t="shared" si="542"/>
        <v>9999</v>
      </c>
      <c r="O439" s="13"/>
    </row>
    <row r="440" spans="1:15" x14ac:dyDescent="0.2">
      <c r="A440" s="9" t="s">
        <v>23</v>
      </c>
      <c r="B440" s="5">
        <f t="shared" si="534"/>
        <v>0</v>
      </c>
      <c r="C440" s="5">
        <f t="shared" si="535"/>
        <v>0</v>
      </c>
      <c r="D440" s="16">
        <f t="shared" si="536"/>
        <v>9999</v>
      </c>
      <c r="F440" s="9" t="s">
        <v>23</v>
      </c>
      <c r="G440" s="5">
        <f t="shared" si="537"/>
        <v>0</v>
      </c>
      <c r="H440" s="5">
        <f t="shared" si="538"/>
        <v>0</v>
      </c>
      <c r="I440" s="16">
        <f t="shared" si="539"/>
        <v>9999</v>
      </c>
      <c r="K440" s="9" t="s">
        <v>23</v>
      </c>
      <c r="L440" s="5">
        <f t="shared" si="540"/>
        <v>0</v>
      </c>
      <c r="M440" s="5">
        <f t="shared" si="541"/>
        <v>0</v>
      </c>
      <c r="N440" s="16">
        <f t="shared" si="542"/>
        <v>9999</v>
      </c>
      <c r="O440" s="13"/>
    </row>
    <row r="441" spans="1:15" x14ac:dyDescent="0.2">
      <c r="A441" s="9" t="s">
        <v>24</v>
      </c>
      <c r="B441" s="5">
        <f t="shared" si="534"/>
        <v>0</v>
      </c>
      <c r="C441" s="5">
        <f t="shared" si="535"/>
        <v>0</v>
      </c>
      <c r="D441" s="16">
        <f t="shared" si="536"/>
        <v>9999</v>
      </c>
      <c r="F441" s="9" t="s">
        <v>24</v>
      </c>
      <c r="G441" s="5">
        <f t="shared" si="537"/>
        <v>0</v>
      </c>
      <c r="H441" s="5">
        <f t="shared" si="538"/>
        <v>0</v>
      </c>
      <c r="I441" s="16">
        <f t="shared" si="539"/>
        <v>9999</v>
      </c>
      <c r="K441" s="9" t="s">
        <v>24</v>
      </c>
      <c r="L441" s="5">
        <f t="shared" si="540"/>
        <v>0</v>
      </c>
      <c r="M441" s="5">
        <f t="shared" si="541"/>
        <v>0</v>
      </c>
      <c r="N441" s="16">
        <f t="shared" si="542"/>
        <v>9999</v>
      </c>
      <c r="O441" s="13"/>
    </row>
    <row r="442" spans="1:15" x14ac:dyDescent="0.2">
      <c r="A442" s="4" t="s">
        <v>25</v>
      </c>
      <c r="B442" s="5">
        <f t="shared" si="534"/>
        <v>0</v>
      </c>
      <c r="C442" s="5">
        <f t="shared" si="535"/>
        <v>0</v>
      </c>
      <c r="D442" s="16">
        <f t="shared" si="536"/>
        <v>9999</v>
      </c>
      <c r="F442" s="4" t="s">
        <v>25</v>
      </c>
      <c r="G442" s="5">
        <f t="shared" si="537"/>
        <v>0</v>
      </c>
      <c r="H442" s="5">
        <f t="shared" si="538"/>
        <v>0</v>
      </c>
      <c r="I442" s="16">
        <f t="shared" si="539"/>
        <v>9999</v>
      </c>
      <c r="K442" s="4" t="s">
        <v>25</v>
      </c>
      <c r="L442" s="5">
        <f t="shared" si="540"/>
        <v>0</v>
      </c>
      <c r="M442" s="5">
        <f t="shared" si="541"/>
        <v>0</v>
      </c>
      <c r="N442" s="16">
        <f t="shared" si="542"/>
        <v>9999</v>
      </c>
      <c r="O442" s="13"/>
    </row>
    <row r="443" spans="1:15" x14ac:dyDescent="0.2">
      <c r="A443" s="4" t="s">
        <v>26</v>
      </c>
      <c r="B443" s="5">
        <f t="shared" si="534"/>
        <v>0</v>
      </c>
      <c r="C443" s="5">
        <f t="shared" si="535"/>
        <v>0</v>
      </c>
      <c r="D443" s="16">
        <f t="shared" si="536"/>
        <v>9999</v>
      </c>
      <c r="F443" s="4" t="s">
        <v>26</v>
      </c>
      <c r="G443" s="5">
        <f t="shared" si="537"/>
        <v>0</v>
      </c>
      <c r="H443" s="5">
        <f t="shared" si="538"/>
        <v>0</v>
      </c>
      <c r="I443" s="16">
        <f t="shared" si="539"/>
        <v>9999</v>
      </c>
      <c r="K443" s="4" t="s">
        <v>26</v>
      </c>
      <c r="L443" s="5">
        <f t="shared" si="540"/>
        <v>0</v>
      </c>
      <c r="M443" s="5">
        <f t="shared" si="541"/>
        <v>0</v>
      </c>
      <c r="N443" s="16">
        <f t="shared" si="542"/>
        <v>9999</v>
      </c>
      <c r="O443" s="13"/>
    </row>
    <row r="444" spans="1:15" x14ac:dyDescent="0.2">
      <c r="A444" s="4" t="s">
        <v>27</v>
      </c>
      <c r="B444" s="5">
        <f t="shared" si="534"/>
        <v>0</v>
      </c>
      <c r="C444" s="5">
        <f t="shared" si="535"/>
        <v>0</v>
      </c>
      <c r="D444" s="16">
        <f t="shared" si="536"/>
        <v>9999</v>
      </c>
      <c r="F444" s="4" t="s">
        <v>27</v>
      </c>
      <c r="G444" s="5">
        <f t="shared" si="537"/>
        <v>0</v>
      </c>
      <c r="H444" s="5">
        <f t="shared" si="538"/>
        <v>0</v>
      </c>
      <c r="I444" s="16">
        <f t="shared" si="539"/>
        <v>9999</v>
      </c>
      <c r="K444" s="4" t="s">
        <v>27</v>
      </c>
      <c r="L444" s="5">
        <f t="shared" si="540"/>
        <v>0</v>
      </c>
      <c r="M444" s="5">
        <f t="shared" si="541"/>
        <v>0</v>
      </c>
      <c r="N444" s="16">
        <f t="shared" si="542"/>
        <v>9999</v>
      </c>
      <c r="O444" s="13"/>
    </row>
    <row r="445" spans="1:15" x14ac:dyDescent="0.2">
      <c r="A445" s="9" t="s">
        <v>28</v>
      </c>
      <c r="B445" s="5">
        <f t="shared" si="534"/>
        <v>0</v>
      </c>
      <c r="C445" s="5">
        <f t="shared" si="535"/>
        <v>0</v>
      </c>
      <c r="D445" s="16">
        <f t="shared" si="536"/>
        <v>9999</v>
      </c>
      <c r="F445" s="9" t="s">
        <v>28</v>
      </c>
      <c r="G445" s="5">
        <f t="shared" si="537"/>
        <v>0</v>
      </c>
      <c r="H445" s="5">
        <f t="shared" si="538"/>
        <v>0</v>
      </c>
      <c r="I445" s="16">
        <f t="shared" si="539"/>
        <v>9999</v>
      </c>
      <c r="K445" s="9" t="s">
        <v>28</v>
      </c>
      <c r="L445" s="5">
        <f t="shared" si="540"/>
        <v>0</v>
      </c>
      <c r="M445" s="5">
        <f t="shared" si="541"/>
        <v>0</v>
      </c>
      <c r="N445" s="16">
        <f t="shared" si="542"/>
        <v>9999</v>
      </c>
      <c r="O445" s="13"/>
    </row>
    <row r="446" spans="1:15" x14ac:dyDescent="0.2">
      <c r="A446" s="9" t="s">
        <v>29</v>
      </c>
      <c r="B446" s="5">
        <f t="shared" si="534"/>
        <v>0</v>
      </c>
      <c r="C446" s="5">
        <f t="shared" si="535"/>
        <v>0</v>
      </c>
      <c r="D446" s="16">
        <f t="shared" si="536"/>
        <v>9999</v>
      </c>
      <c r="F446" s="9" t="s">
        <v>29</v>
      </c>
      <c r="G446" s="5">
        <f t="shared" si="537"/>
        <v>0</v>
      </c>
      <c r="H446" s="5">
        <f t="shared" si="538"/>
        <v>0</v>
      </c>
      <c r="I446" s="16">
        <f t="shared" si="539"/>
        <v>9999</v>
      </c>
      <c r="K446" s="9" t="s">
        <v>29</v>
      </c>
      <c r="L446" s="5">
        <f t="shared" si="540"/>
        <v>0</v>
      </c>
      <c r="M446" s="5">
        <f t="shared" si="541"/>
        <v>0</v>
      </c>
      <c r="N446" s="16">
        <f t="shared" si="542"/>
        <v>9999</v>
      </c>
      <c r="O446" s="13"/>
    </row>
    <row r="447" spans="1:15" x14ac:dyDescent="0.2">
      <c r="A447" s="9" t="s">
        <v>30</v>
      </c>
      <c r="B447" s="5">
        <f t="shared" si="534"/>
        <v>0</v>
      </c>
      <c r="C447" s="5">
        <f t="shared" si="535"/>
        <v>0</v>
      </c>
      <c r="D447" s="16">
        <f t="shared" si="536"/>
        <v>9999</v>
      </c>
      <c r="F447" s="9" t="s">
        <v>30</v>
      </c>
      <c r="G447" s="5">
        <f t="shared" si="537"/>
        <v>0</v>
      </c>
      <c r="H447" s="5">
        <f t="shared" si="538"/>
        <v>0</v>
      </c>
      <c r="I447" s="16">
        <f t="shared" si="539"/>
        <v>9999</v>
      </c>
      <c r="K447" s="9" t="s">
        <v>30</v>
      </c>
      <c r="L447" s="5">
        <f t="shared" si="540"/>
        <v>0</v>
      </c>
      <c r="M447" s="5">
        <f t="shared" si="541"/>
        <v>0</v>
      </c>
      <c r="N447" s="16">
        <f t="shared" si="542"/>
        <v>9999</v>
      </c>
      <c r="O447" s="13"/>
    </row>
    <row r="448" spans="1:15" x14ac:dyDescent="0.2">
      <c r="A448" s="9" t="s">
        <v>31</v>
      </c>
      <c r="B448" s="5">
        <f t="shared" si="534"/>
        <v>0</v>
      </c>
      <c r="C448" s="5">
        <f t="shared" si="535"/>
        <v>0</v>
      </c>
      <c r="D448" s="16">
        <f t="shared" si="536"/>
        <v>9999</v>
      </c>
      <c r="F448" s="9" t="s">
        <v>31</v>
      </c>
      <c r="G448" s="5">
        <f t="shared" si="537"/>
        <v>0</v>
      </c>
      <c r="H448" s="5">
        <f t="shared" si="538"/>
        <v>0</v>
      </c>
      <c r="I448" s="16">
        <f t="shared" si="539"/>
        <v>9999</v>
      </c>
      <c r="K448" s="9" t="s">
        <v>31</v>
      </c>
      <c r="L448" s="5">
        <f t="shared" si="540"/>
        <v>0</v>
      </c>
      <c r="M448" s="5">
        <f t="shared" si="541"/>
        <v>0</v>
      </c>
      <c r="N448" s="16">
        <f t="shared" si="542"/>
        <v>9999</v>
      </c>
      <c r="O448" s="13"/>
    </row>
    <row r="449" spans="1:24" x14ac:dyDescent="0.2">
      <c r="A449" s="10" t="s">
        <v>32</v>
      </c>
      <c r="B449" s="8">
        <f t="shared" si="534"/>
        <v>0</v>
      </c>
      <c r="C449" s="8">
        <f t="shared" si="535"/>
        <v>0</v>
      </c>
      <c r="D449" s="18">
        <f t="shared" si="536"/>
        <v>9999</v>
      </c>
      <c r="F449" s="10" t="s">
        <v>32</v>
      </c>
      <c r="G449" s="8">
        <f t="shared" si="537"/>
        <v>0</v>
      </c>
      <c r="H449" s="8">
        <f t="shared" si="538"/>
        <v>0</v>
      </c>
      <c r="I449" s="18">
        <f t="shared" si="539"/>
        <v>9999</v>
      </c>
      <c r="K449" s="10" t="s">
        <v>32</v>
      </c>
      <c r="L449" s="8">
        <f t="shared" si="540"/>
        <v>0</v>
      </c>
      <c r="M449" s="8">
        <f t="shared" si="541"/>
        <v>0</v>
      </c>
      <c r="N449" s="18">
        <f t="shared" si="542"/>
        <v>9999</v>
      </c>
      <c r="O449" s="13"/>
    </row>
    <row r="451" spans="1:24" x14ac:dyDescent="0.2">
      <c r="A451" s="14" t="s">
        <v>398</v>
      </c>
      <c r="P451" s="13"/>
    </row>
    <row r="452" spans="1:24" x14ac:dyDescent="0.2">
      <c r="A452" s="28" t="s">
        <v>62</v>
      </c>
      <c r="B452" s="2"/>
      <c r="C452" s="2"/>
      <c r="D452" s="3"/>
      <c r="F452" s="1" t="s">
        <v>11</v>
      </c>
      <c r="G452" s="2"/>
      <c r="H452" s="2"/>
      <c r="I452" s="3"/>
      <c r="K452" s="27" t="s">
        <v>64</v>
      </c>
      <c r="L452" s="2"/>
      <c r="M452" s="2"/>
      <c r="N452" s="3"/>
      <c r="O452" s="11"/>
    </row>
    <row r="453" spans="1:24" x14ac:dyDescent="0.2">
      <c r="A453" s="4"/>
      <c r="B453" s="5"/>
      <c r="C453" s="5"/>
      <c r="D453" s="6"/>
      <c r="F453" s="4"/>
      <c r="G453" s="5"/>
      <c r="H453" s="5"/>
      <c r="I453" s="6"/>
      <c r="K453" s="4"/>
      <c r="L453" s="5"/>
      <c r="M453" s="5"/>
      <c r="N453" s="6"/>
      <c r="O453" s="11"/>
      <c r="X453" s="29"/>
    </row>
    <row r="454" spans="1:24" x14ac:dyDescent="0.2">
      <c r="A454" s="4"/>
      <c r="B454" s="5"/>
      <c r="C454" s="5"/>
      <c r="D454" s="16" t="s">
        <v>3</v>
      </c>
      <c r="F454" s="4"/>
      <c r="G454" s="5"/>
      <c r="H454" s="5"/>
      <c r="I454" s="16" t="s">
        <v>4</v>
      </c>
      <c r="K454" s="4"/>
      <c r="L454" s="5"/>
      <c r="M454" s="5"/>
      <c r="N454" s="30" t="s">
        <v>4</v>
      </c>
      <c r="O454" s="11"/>
    </row>
    <row r="455" spans="1:24" x14ac:dyDescent="0.2">
      <c r="A455" s="4" t="s">
        <v>13</v>
      </c>
      <c r="B455" s="5">
        <f>IF(E205&lt;&gt;9999,E205,0)</f>
        <v>0</v>
      </c>
      <c r="C455" s="5">
        <f>IF(E230&lt;&gt;9999,E230,0)</f>
        <v>0</v>
      </c>
      <c r="D455" s="16">
        <f>IF(ISERROR(B455-C455),9999,IF(OR(B455=0,C455=0),9999,IF(B455+C455&lt;=0,9999,(B455+C455)/10)))</f>
        <v>9999</v>
      </c>
      <c r="F455" s="4" t="s">
        <v>13</v>
      </c>
      <c r="G455" s="5">
        <f>IF(J205&lt;&gt;9999,J205,0)</f>
        <v>0</v>
      </c>
      <c r="H455" s="5">
        <f>IF(J230&lt;&gt;9999,J230,0)</f>
        <v>0</v>
      </c>
      <c r="I455" s="16">
        <f>IF(ISERROR(H455-G455),9999,IF(OR(G455=0,H455=0),9999,IF(G455+H455&lt;=0,9999,G455+H455)))</f>
        <v>9999</v>
      </c>
      <c r="K455" s="4" t="s">
        <v>13</v>
      </c>
      <c r="L455" s="5">
        <f>AT5</f>
        <v>0</v>
      </c>
      <c r="M455" s="5">
        <f>AS5</f>
        <v>0</v>
      </c>
      <c r="N455" s="16">
        <f>IF(ISERROR(L455-M455),9999,IF(OR(L455=0,M455=0),9999,IF(L455-M455&lt;=0,9999,L455-M455)))</f>
        <v>9999</v>
      </c>
      <c r="O455" s="13"/>
    </row>
    <row r="456" spans="1:24" x14ac:dyDescent="0.2">
      <c r="A456" s="4" t="s">
        <v>14</v>
      </c>
      <c r="B456" s="5">
        <f t="shared" ref="B456:B474" si="543">IF(E206&lt;&gt;9999,E206,0)</f>
        <v>0</v>
      </c>
      <c r="C456" s="5">
        <f t="shared" ref="C456:C474" si="544">IF(E231&lt;&gt;9999,E231,0)</f>
        <v>0</v>
      </c>
      <c r="D456" s="16">
        <f t="shared" ref="D456:D474" si="545">IF(ISERROR(B456-C456),9999,IF(OR(B456=0,C456=0),9999,IF(B456+C456&lt;=0,9999,(B456+C456)/10)))</f>
        <v>9999</v>
      </c>
      <c r="F456" s="4" t="s">
        <v>14</v>
      </c>
      <c r="G456" s="5">
        <f t="shared" ref="G456:G474" si="546">IF(J206&lt;&gt;9999,J206,0)</f>
        <v>0</v>
      </c>
      <c r="H456" s="5">
        <f t="shared" ref="H456:H474" si="547">IF(J231&lt;&gt;9999,J231,0)</f>
        <v>0</v>
      </c>
      <c r="I456" s="16">
        <f t="shared" ref="I456:I474" si="548">IF(ISERROR(H456-G456),9999,IF(OR(G456=0,H456=0),9999,IF(G456+H456&lt;=0,9999,G456+H456)))</f>
        <v>9999</v>
      </c>
      <c r="K456" s="4" t="s">
        <v>14</v>
      </c>
      <c r="L456" s="5">
        <f t="shared" ref="L456:L474" si="549">AT6</f>
        <v>0</v>
      </c>
      <c r="M456" s="5">
        <f t="shared" ref="M456:M474" si="550">AS6</f>
        <v>0</v>
      </c>
      <c r="N456" s="16">
        <f t="shared" ref="N456:N474" si="551">IF(ISERROR(L456-M456),9999,IF(OR(L456=0,M456=0),9999,IF(L456-M456&lt;=0,9999,L456-M456)))</f>
        <v>9999</v>
      </c>
      <c r="O456" s="13"/>
    </row>
    <row r="457" spans="1:24" x14ac:dyDescent="0.2">
      <c r="A457" s="4" t="s">
        <v>15</v>
      </c>
      <c r="B457" s="5">
        <f t="shared" si="543"/>
        <v>0</v>
      </c>
      <c r="C457" s="5">
        <f t="shared" si="544"/>
        <v>0</v>
      </c>
      <c r="D457" s="16">
        <f t="shared" si="545"/>
        <v>9999</v>
      </c>
      <c r="F457" s="4" t="s">
        <v>15</v>
      </c>
      <c r="G457" s="5">
        <f t="shared" si="546"/>
        <v>0</v>
      </c>
      <c r="H457" s="5">
        <f t="shared" si="547"/>
        <v>0</v>
      </c>
      <c r="I457" s="16">
        <f t="shared" si="548"/>
        <v>9999</v>
      </c>
      <c r="K457" s="4" t="s">
        <v>15</v>
      </c>
      <c r="L457" s="5">
        <f t="shared" si="549"/>
        <v>0</v>
      </c>
      <c r="M457" s="5">
        <f t="shared" si="550"/>
        <v>0</v>
      </c>
      <c r="N457" s="16">
        <f t="shared" si="551"/>
        <v>9999</v>
      </c>
      <c r="O457" s="13"/>
    </row>
    <row r="458" spans="1:24" x14ac:dyDescent="0.2">
      <c r="A458" s="4" t="s">
        <v>16</v>
      </c>
      <c r="B458" s="5">
        <f t="shared" si="543"/>
        <v>0</v>
      </c>
      <c r="C458" s="5">
        <f t="shared" si="544"/>
        <v>0</v>
      </c>
      <c r="D458" s="16">
        <f t="shared" si="545"/>
        <v>9999</v>
      </c>
      <c r="F458" s="4" t="s">
        <v>16</v>
      </c>
      <c r="G458" s="5">
        <f t="shared" si="546"/>
        <v>0</v>
      </c>
      <c r="H458" s="5">
        <f t="shared" si="547"/>
        <v>0</v>
      </c>
      <c r="I458" s="16">
        <f t="shared" si="548"/>
        <v>9999</v>
      </c>
      <c r="K458" s="4" t="s">
        <v>16</v>
      </c>
      <c r="L458" s="5">
        <f t="shared" si="549"/>
        <v>0</v>
      </c>
      <c r="M458" s="5">
        <f t="shared" si="550"/>
        <v>0</v>
      </c>
      <c r="N458" s="16">
        <f t="shared" si="551"/>
        <v>9999</v>
      </c>
      <c r="O458" s="13"/>
    </row>
    <row r="459" spans="1:24" x14ac:dyDescent="0.2">
      <c r="A459" s="4" t="s">
        <v>17</v>
      </c>
      <c r="B459" s="5">
        <f t="shared" si="543"/>
        <v>0</v>
      </c>
      <c r="C459" s="5">
        <f t="shared" si="544"/>
        <v>0</v>
      </c>
      <c r="D459" s="16">
        <f t="shared" si="545"/>
        <v>9999</v>
      </c>
      <c r="F459" s="4" t="s">
        <v>17</v>
      </c>
      <c r="G459" s="5">
        <f t="shared" si="546"/>
        <v>0</v>
      </c>
      <c r="H459" s="5">
        <f t="shared" si="547"/>
        <v>0</v>
      </c>
      <c r="I459" s="16">
        <f t="shared" si="548"/>
        <v>9999</v>
      </c>
      <c r="K459" s="4" t="s">
        <v>17</v>
      </c>
      <c r="L459" s="5">
        <f t="shared" si="549"/>
        <v>0</v>
      </c>
      <c r="M459" s="5">
        <f t="shared" si="550"/>
        <v>0</v>
      </c>
      <c r="N459" s="16">
        <f t="shared" si="551"/>
        <v>9999</v>
      </c>
      <c r="O459" s="13"/>
    </row>
    <row r="460" spans="1:24" x14ac:dyDescent="0.2">
      <c r="A460" s="4" t="s">
        <v>18</v>
      </c>
      <c r="B460" s="5">
        <f t="shared" si="543"/>
        <v>0</v>
      </c>
      <c r="C460" s="5">
        <f t="shared" si="544"/>
        <v>0</v>
      </c>
      <c r="D460" s="16">
        <f t="shared" si="545"/>
        <v>9999</v>
      </c>
      <c r="F460" s="4" t="s">
        <v>18</v>
      </c>
      <c r="G460" s="5">
        <f t="shared" si="546"/>
        <v>0</v>
      </c>
      <c r="H460" s="5">
        <f t="shared" si="547"/>
        <v>0</v>
      </c>
      <c r="I460" s="16">
        <f t="shared" si="548"/>
        <v>9999</v>
      </c>
      <c r="K460" s="4" t="s">
        <v>18</v>
      </c>
      <c r="L460" s="5">
        <f t="shared" si="549"/>
        <v>0</v>
      </c>
      <c r="M460" s="5">
        <f t="shared" si="550"/>
        <v>0</v>
      </c>
      <c r="N460" s="16">
        <f t="shared" si="551"/>
        <v>9999</v>
      </c>
      <c r="O460" s="13"/>
    </row>
    <row r="461" spans="1:24" x14ac:dyDescent="0.2">
      <c r="A461" s="4" t="s">
        <v>19</v>
      </c>
      <c r="B461" s="5">
        <f t="shared" si="543"/>
        <v>0</v>
      </c>
      <c r="C461" s="5">
        <f t="shared" si="544"/>
        <v>0</v>
      </c>
      <c r="D461" s="16">
        <f t="shared" si="545"/>
        <v>9999</v>
      </c>
      <c r="F461" s="4" t="s">
        <v>19</v>
      </c>
      <c r="G461" s="5">
        <f t="shared" si="546"/>
        <v>0</v>
      </c>
      <c r="H461" s="5">
        <f t="shared" si="547"/>
        <v>0</v>
      </c>
      <c r="I461" s="16">
        <f t="shared" si="548"/>
        <v>9999</v>
      </c>
      <c r="K461" s="4" t="s">
        <v>19</v>
      </c>
      <c r="L461" s="5">
        <f t="shared" si="549"/>
        <v>0</v>
      </c>
      <c r="M461" s="5">
        <f t="shared" si="550"/>
        <v>0</v>
      </c>
      <c r="N461" s="16">
        <f t="shared" si="551"/>
        <v>9999</v>
      </c>
      <c r="O461" s="13"/>
    </row>
    <row r="462" spans="1:24" x14ac:dyDescent="0.2">
      <c r="A462" s="9" t="s">
        <v>20</v>
      </c>
      <c r="B462" s="5">
        <f t="shared" si="543"/>
        <v>0</v>
      </c>
      <c r="C462" s="5">
        <f t="shared" si="544"/>
        <v>0</v>
      </c>
      <c r="D462" s="16">
        <f t="shared" si="545"/>
        <v>9999</v>
      </c>
      <c r="F462" s="9" t="s">
        <v>20</v>
      </c>
      <c r="G462" s="5">
        <f t="shared" si="546"/>
        <v>0</v>
      </c>
      <c r="H462" s="5">
        <f t="shared" si="547"/>
        <v>0</v>
      </c>
      <c r="I462" s="16">
        <f t="shared" si="548"/>
        <v>9999</v>
      </c>
      <c r="K462" s="9" t="s">
        <v>20</v>
      </c>
      <c r="L462" s="5">
        <f t="shared" si="549"/>
        <v>0</v>
      </c>
      <c r="M462" s="5">
        <f t="shared" si="550"/>
        <v>0</v>
      </c>
      <c r="N462" s="16">
        <f t="shared" si="551"/>
        <v>9999</v>
      </c>
      <c r="O462" s="13"/>
    </row>
    <row r="463" spans="1:24" x14ac:dyDescent="0.2">
      <c r="A463" s="9" t="s">
        <v>21</v>
      </c>
      <c r="B463" s="5">
        <f t="shared" si="543"/>
        <v>0</v>
      </c>
      <c r="C463" s="5">
        <f t="shared" si="544"/>
        <v>0</v>
      </c>
      <c r="D463" s="16">
        <f t="shared" si="545"/>
        <v>9999</v>
      </c>
      <c r="F463" s="9" t="s">
        <v>21</v>
      </c>
      <c r="G463" s="5">
        <f t="shared" si="546"/>
        <v>0</v>
      </c>
      <c r="H463" s="5">
        <f t="shared" si="547"/>
        <v>0</v>
      </c>
      <c r="I463" s="16">
        <f t="shared" si="548"/>
        <v>9999</v>
      </c>
      <c r="K463" s="9" t="s">
        <v>21</v>
      </c>
      <c r="L463" s="5">
        <f t="shared" si="549"/>
        <v>0</v>
      </c>
      <c r="M463" s="5">
        <f t="shared" si="550"/>
        <v>0</v>
      </c>
      <c r="N463" s="16">
        <f t="shared" si="551"/>
        <v>9999</v>
      </c>
      <c r="O463" s="13"/>
    </row>
    <row r="464" spans="1:24" x14ac:dyDescent="0.2">
      <c r="A464" s="9" t="s">
        <v>22</v>
      </c>
      <c r="B464" s="5">
        <f t="shared" si="543"/>
        <v>0</v>
      </c>
      <c r="C464" s="5">
        <f t="shared" si="544"/>
        <v>0</v>
      </c>
      <c r="D464" s="16">
        <f t="shared" si="545"/>
        <v>9999</v>
      </c>
      <c r="F464" s="9" t="s">
        <v>22</v>
      </c>
      <c r="G464" s="5">
        <f t="shared" si="546"/>
        <v>0</v>
      </c>
      <c r="H464" s="5">
        <f t="shared" si="547"/>
        <v>0</v>
      </c>
      <c r="I464" s="16">
        <f t="shared" si="548"/>
        <v>9999</v>
      </c>
      <c r="K464" s="9" t="s">
        <v>22</v>
      </c>
      <c r="L464" s="5">
        <f t="shared" si="549"/>
        <v>0</v>
      </c>
      <c r="M464" s="5">
        <f t="shared" si="550"/>
        <v>0</v>
      </c>
      <c r="N464" s="16">
        <f t="shared" si="551"/>
        <v>9999</v>
      </c>
      <c r="O464" s="13"/>
    </row>
    <row r="465" spans="1:24" x14ac:dyDescent="0.2">
      <c r="A465" s="9" t="s">
        <v>23</v>
      </c>
      <c r="B465" s="5">
        <f t="shared" si="543"/>
        <v>0</v>
      </c>
      <c r="C465" s="5">
        <f t="shared" si="544"/>
        <v>0</v>
      </c>
      <c r="D465" s="16">
        <f t="shared" si="545"/>
        <v>9999</v>
      </c>
      <c r="F465" s="9" t="s">
        <v>23</v>
      </c>
      <c r="G465" s="5">
        <f t="shared" si="546"/>
        <v>0</v>
      </c>
      <c r="H465" s="5">
        <f t="shared" si="547"/>
        <v>0</v>
      </c>
      <c r="I465" s="16">
        <f t="shared" si="548"/>
        <v>9999</v>
      </c>
      <c r="K465" s="9" t="s">
        <v>23</v>
      </c>
      <c r="L465" s="5">
        <f t="shared" si="549"/>
        <v>0</v>
      </c>
      <c r="M465" s="5">
        <f t="shared" si="550"/>
        <v>0</v>
      </c>
      <c r="N465" s="16">
        <f t="shared" si="551"/>
        <v>9999</v>
      </c>
      <c r="O465" s="13"/>
    </row>
    <row r="466" spans="1:24" x14ac:dyDescent="0.2">
      <c r="A466" s="9" t="s">
        <v>24</v>
      </c>
      <c r="B466" s="5">
        <f t="shared" si="543"/>
        <v>0</v>
      </c>
      <c r="C466" s="5">
        <f t="shared" si="544"/>
        <v>0</v>
      </c>
      <c r="D466" s="16">
        <f t="shared" si="545"/>
        <v>9999</v>
      </c>
      <c r="F466" s="9" t="s">
        <v>24</v>
      </c>
      <c r="G466" s="5">
        <f t="shared" si="546"/>
        <v>0</v>
      </c>
      <c r="H466" s="5">
        <f t="shared" si="547"/>
        <v>0</v>
      </c>
      <c r="I466" s="16">
        <f t="shared" si="548"/>
        <v>9999</v>
      </c>
      <c r="K466" s="9" t="s">
        <v>24</v>
      </c>
      <c r="L466" s="5">
        <f t="shared" si="549"/>
        <v>0</v>
      </c>
      <c r="M466" s="5">
        <f t="shared" si="550"/>
        <v>0</v>
      </c>
      <c r="N466" s="16">
        <f t="shared" si="551"/>
        <v>9999</v>
      </c>
      <c r="O466" s="13"/>
    </row>
    <row r="467" spans="1:24" x14ac:dyDescent="0.2">
      <c r="A467" s="4" t="s">
        <v>25</v>
      </c>
      <c r="B467" s="5">
        <f t="shared" si="543"/>
        <v>0</v>
      </c>
      <c r="C467" s="5">
        <f t="shared" si="544"/>
        <v>0</v>
      </c>
      <c r="D467" s="16">
        <f t="shared" si="545"/>
        <v>9999</v>
      </c>
      <c r="F467" s="4" t="s">
        <v>25</v>
      </c>
      <c r="G467" s="5">
        <f t="shared" si="546"/>
        <v>0</v>
      </c>
      <c r="H467" s="5">
        <f t="shared" si="547"/>
        <v>0</v>
      </c>
      <c r="I467" s="16">
        <f t="shared" si="548"/>
        <v>9999</v>
      </c>
      <c r="K467" s="4" t="s">
        <v>25</v>
      </c>
      <c r="L467" s="5">
        <f t="shared" si="549"/>
        <v>0</v>
      </c>
      <c r="M467" s="5">
        <f t="shared" si="550"/>
        <v>0</v>
      </c>
      <c r="N467" s="16">
        <f t="shared" si="551"/>
        <v>9999</v>
      </c>
      <c r="O467" s="13"/>
    </row>
    <row r="468" spans="1:24" x14ac:dyDescent="0.2">
      <c r="A468" s="4" t="s">
        <v>26</v>
      </c>
      <c r="B468" s="5">
        <f t="shared" si="543"/>
        <v>0</v>
      </c>
      <c r="C468" s="5">
        <f t="shared" si="544"/>
        <v>0</v>
      </c>
      <c r="D468" s="16">
        <f t="shared" si="545"/>
        <v>9999</v>
      </c>
      <c r="F468" s="4" t="s">
        <v>26</v>
      </c>
      <c r="G468" s="5">
        <f t="shared" si="546"/>
        <v>0</v>
      </c>
      <c r="H468" s="5">
        <f t="shared" si="547"/>
        <v>0</v>
      </c>
      <c r="I468" s="16">
        <f t="shared" si="548"/>
        <v>9999</v>
      </c>
      <c r="K468" s="4" t="s">
        <v>26</v>
      </c>
      <c r="L468" s="5">
        <f t="shared" si="549"/>
        <v>0</v>
      </c>
      <c r="M468" s="5">
        <f t="shared" si="550"/>
        <v>0</v>
      </c>
      <c r="N468" s="16">
        <f t="shared" si="551"/>
        <v>9999</v>
      </c>
      <c r="O468" s="13"/>
    </row>
    <row r="469" spans="1:24" x14ac:dyDescent="0.2">
      <c r="A469" s="4" t="s">
        <v>27</v>
      </c>
      <c r="B469" s="5">
        <f t="shared" si="543"/>
        <v>0</v>
      </c>
      <c r="C469" s="5">
        <f t="shared" si="544"/>
        <v>0</v>
      </c>
      <c r="D469" s="16">
        <f t="shared" si="545"/>
        <v>9999</v>
      </c>
      <c r="F469" s="4" t="s">
        <v>27</v>
      </c>
      <c r="G469" s="5">
        <f t="shared" si="546"/>
        <v>0</v>
      </c>
      <c r="H469" s="5">
        <f t="shared" si="547"/>
        <v>0</v>
      </c>
      <c r="I469" s="16">
        <f t="shared" si="548"/>
        <v>9999</v>
      </c>
      <c r="K469" s="4" t="s">
        <v>27</v>
      </c>
      <c r="L469" s="5">
        <f t="shared" si="549"/>
        <v>0</v>
      </c>
      <c r="M469" s="5">
        <f t="shared" si="550"/>
        <v>0</v>
      </c>
      <c r="N469" s="16">
        <f t="shared" si="551"/>
        <v>9999</v>
      </c>
      <c r="O469" s="13"/>
    </row>
    <row r="470" spans="1:24" x14ac:dyDescent="0.2">
      <c r="A470" s="9" t="s">
        <v>28</v>
      </c>
      <c r="B470" s="5">
        <f t="shared" si="543"/>
        <v>0</v>
      </c>
      <c r="C470" s="5">
        <f t="shared" si="544"/>
        <v>0</v>
      </c>
      <c r="D470" s="16">
        <f t="shared" si="545"/>
        <v>9999</v>
      </c>
      <c r="F470" s="9" t="s">
        <v>28</v>
      </c>
      <c r="G470" s="5">
        <f t="shared" si="546"/>
        <v>0</v>
      </c>
      <c r="H470" s="5">
        <f t="shared" si="547"/>
        <v>0</v>
      </c>
      <c r="I470" s="16">
        <f t="shared" si="548"/>
        <v>9999</v>
      </c>
      <c r="K470" s="9" t="s">
        <v>28</v>
      </c>
      <c r="L470" s="5">
        <f t="shared" si="549"/>
        <v>0</v>
      </c>
      <c r="M470" s="5">
        <f t="shared" si="550"/>
        <v>0</v>
      </c>
      <c r="N470" s="16">
        <f t="shared" si="551"/>
        <v>9999</v>
      </c>
      <c r="O470" s="13"/>
    </row>
    <row r="471" spans="1:24" x14ac:dyDescent="0.2">
      <c r="A471" s="9" t="s">
        <v>29</v>
      </c>
      <c r="B471" s="5">
        <f t="shared" si="543"/>
        <v>0</v>
      </c>
      <c r="C471" s="5">
        <f t="shared" si="544"/>
        <v>0</v>
      </c>
      <c r="D471" s="16">
        <f t="shared" si="545"/>
        <v>9999</v>
      </c>
      <c r="F471" s="9" t="s">
        <v>29</v>
      </c>
      <c r="G471" s="5">
        <f t="shared" si="546"/>
        <v>0</v>
      </c>
      <c r="H471" s="5">
        <f t="shared" si="547"/>
        <v>0</v>
      </c>
      <c r="I471" s="16">
        <f t="shared" si="548"/>
        <v>9999</v>
      </c>
      <c r="K471" s="9" t="s">
        <v>29</v>
      </c>
      <c r="L471" s="5">
        <f t="shared" si="549"/>
        <v>0</v>
      </c>
      <c r="M471" s="5">
        <f t="shared" si="550"/>
        <v>0</v>
      </c>
      <c r="N471" s="16">
        <f t="shared" si="551"/>
        <v>9999</v>
      </c>
      <c r="O471" s="13"/>
    </row>
    <row r="472" spans="1:24" x14ac:dyDescent="0.2">
      <c r="A472" s="9" t="s">
        <v>30</v>
      </c>
      <c r="B472" s="5">
        <f t="shared" si="543"/>
        <v>0</v>
      </c>
      <c r="C472" s="5">
        <f t="shared" si="544"/>
        <v>0</v>
      </c>
      <c r="D472" s="16">
        <f t="shared" si="545"/>
        <v>9999</v>
      </c>
      <c r="F472" s="9" t="s">
        <v>30</v>
      </c>
      <c r="G472" s="5">
        <f t="shared" si="546"/>
        <v>0</v>
      </c>
      <c r="H472" s="5">
        <f t="shared" si="547"/>
        <v>0</v>
      </c>
      <c r="I472" s="16">
        <f t="shared" si="548"/>
        <v>9999</v>
      </c>
      <c r="K472" s="9" t="s">
        <v>30</v>
      </c>
      <c r="L472" s="5">
        <f t="shared" si="549"/>
        <v>0</v>
      </c>
      <c r="M472" s="5">
        <f t="shared" si="550"/>
        <v>0</v>
      </c>
      <c r="N472" s="16">
        <f t="shared" si="551"/>
        <v>9999</v>
      </c>
      <c r="O472" s="13"/>
    </row>
    <row r="473" spans="1:24" x14ac:dyDescent="0.2">
      <c r="A473" s="9" t="s">
        <v>31</v>
      </c>
      <c r="B473" s="5">
        <f t="shared" si="543"/>
        <v>0</v>
      </c>
      <c r="C473" s="5">
        <f t="shared" si="544"/>
        <v>0</v>
      </c>
      <c r="D473" s="16">
        <f t="shared" si="545"/>
        <v>9999</v>
      </c>
      <c r="F473" s="9" t="s">
        <v>31</v>
      </c>
      <c r="G473" s="5">
        <f t="shared" si="546"/>
        <v>0</v>
      </c>
      <c r="H473" s="5">
        <f t="shared" si="547"/>
        <v>0</v>
      </c>
      <c r="I473" s="16">
        <f t="shared" si="548"/>
        <v>9999</v>
      </c>
      <c r="K473" s="9" t="s">
        <v>31</v>
      </c>
      <c r="L473" s="5">
        <f t="shared" si="549"/>
        <v>0</v>
      </c>
      <c r="M473" s="5">
        <f t="shared" si="550"/>
        <v>0</v>
      </c>
      <c r="N473" s="16">
        <f t="shared" si="551"/>
        <v>9999</v>
      </c>
      <c r="O473" s="13"/>
    </row>
    <row r="474" spans="1:24" x14ac:dyDescent="0.2">
      <c r="A474" s="10" t="s">
        <v>32</v>
      </c>
      <c r="B474" s="8">
        <f t="shared" si="543"/>
        <v>0</v>
      </c>
      <c r="C474" s="8">
        <f t="shared" si="544"/>
        <v>0</v>
      </c>
      <c r="D474" s="18">
        <f t="shared" si="545"/>
        <v>9999</v>
      </c>
      <c r="F474" s="10" t="s">
        <v>32</v>
      </c>
      <c r="G474" s="8">
        <f t="shared" si="546"/>
        <v>0</v>
      </c>
      <c r="H474" s="8">
        <f t="shared" si="547"/>
        <v>0</v>
      </c>
      <c r="I474" s="18">
        <f t="shared" si="548"/>
        <v>9999</v>
      </c>
      <c r="K474" s="10" t="s">
        <v>32</v>
      </c>
      <c r="L474" s="8">
        <f t="shared" si="549"/>
        <v>0</v>
      </c>
      <c r="M474" s="8">
        <f t="shared" si="550"/>
        <v>0</v>
      </c>
      <c r="N474" s="18">
        <f t="shared" si="551"/>
        <v>9999</v>
      </c>
      <c r="O474" s="13"/>
    </row>
    <row r="476" spans="1:24" x14ac:dyDescent="0.2">
      <c r="A476" s="14" t="s">
        <v>399</v>
      </c>
      <c r="P476" s="13"/>
    </row>
    <row r="477" spans="1:24" x14ac:dyDescent="0.2">
      <c r="A477" s="28" t="s">
        <v>62</v>
      </c>
      <c r="B477" s="2"/>
      <c r="C477" s="2"/>
      <c r="D477" s="3"/>
      <c r="F477" s="1" t="s">
        <v>11</v>
      </c>
      <c r="G477" s="2"/>
      <c r="H477" s="2"/>
      <c r="I477" s="3"/>
      <c r="K477" s="27" t="s">
        <v>64</v>
      </c>
      <c r="L477" s="2"/>
      <c r="M477" s="2"/>
      <c r="N477" s="3"/>
      <c r="O477" s="11"/>
    </row>
    <row r="478" spans="1:24" x14ac:dyDescent="0.2">
      <c r="A478" s="4"/>
      <c r="B478" s="5"/>
      <c r="C478" s="5"/>
      <c r="D478" s="6"/>
      <c r="F478" s="4"/>
      <c r="G478" s="5"/>
      <c r="H478" s="5"/>
      <c r="I478" s="6"/>
      <c r="K478" s="4"/>
      <c r="L478" s="5"/>
      <c r="M478" s="5"/>
      <c r="N478" s="6"/>
      <c r="O478" s="11"/>
      <c r="X478" s="29"/>
    </row>
    <row r="479" spans="1:24" x14ac:dyDescent="0.2">
      <c r="A479" s="4"/>
      <c r="B479" s="5"/>
      <c r="C479" s="5"/>
      <c r="D479" s="16" t="s">
        <v>3</v>
      </c>
      <c r="F479" s="4"/>
      <c r="G479" s="5"/>
      <c r="H479" s="5"/>
      <c r="I479" s="16" t="s">
        <v>4</v>
      </c>
      <c r="K479" s="4"/>
      <c r="L479" s="5"/>
      <c r="M479" s="5"/>
      <c r="N479" s="30" t="s">
        <v>4</v>
      </c>
      <c r="O479" s="11"/>
    </row>
    <row r="480" spans="1:24" x14ac:dyDescent="0.2">
      <c r="A480" s="4" t="s">
        <v>13</v>
      </c>
      <c r="B480" s="5">
        <f>IF(E230&lt;&gt;9999,E230,0)</f>
        <v>0</v>
      </c>
      <c r="C480" s="5">
        <f>IF(E255&lt;&gt;9999,E255,0)</f>
        <v>0</v>
      </c>
      <c r="D480" s="16">
        <f>IF(ISERROR(B480-C480),9999,IF(OR(B480=0,C480=0),9999,IF(B480+C480&lt;=0,9999,(B480+C480)/10)))</f>
        <v>9999</v>
      </c>
      <c r="F480" s="4" t="s">
        <v>13</v>
      </c>
      <c r="G480" s="5">
        <f>IF(J230&lt;&gt;9999,J230,0)</f>
        <v>0</v>
      </c>
      <c r="H480" s="5">
        <f>IF(J255&lt;&gt;9999,J255,0)</f>
        <v>0</v>
      </c>
      <c r="I480" s="16">
        <f>IF(ISERROR(H480-G480),9999,IF(OR(G480=0,H480=0),9999,IF(G480+H480&lt;=0,9999,G480+H480)))</f>
        <v>9999</v>
      </c>
      <c r="K480" s="4" t="s">
        <v>13</v>
      </c>
      <c r="L480" s="5">
        <f>AY5</f>
        <v>0</v>
      </c>
      <c r="M480" s="5">
        <f>AX5</f>
        <v>0</v>
      </c>
      <c r="N480" s="16">
        <f>IF(ISERROR(L480-M480),9999,IF(OR(L480=0,M480=0),9999,IF(L480-M480&lt;=0,9999,L480-M480)))</f>
        <v>9999</v>
      </c>
      <c r="O480" s="13"/>
    </row>
    <row r="481" spans="1:15" x14ac:dyDescent="0.2">
      <c r="A481" s="4" t="s">
        <v>14</v>
      </c>
      <c r="B481" s="5">
        <f t="shared" ref="B481:B499" si="552">IF(E231&lt;&gt;9999,E231,0)</f>
        <v>0</v>
      </c>
      <c r="C481" s="5">
        <f t="shared" ref="C481:C499" si="553">IF(E256&lt;&gt;9999,E256,0)</f>
        <v>0</v>
      </c>
      <c r="D481" s="16">
        <f t="shared" ref="D481:D499" si="554">IF(ISERROR(B481-C481),9999,IF(OR(B481=0,C481=0),9999,IF(B481+C481&lt;=0,9999,(B481+C481)/10)))</f>
        <v>9999</v>
      </c>
      <c r="F481" s="4" t="s">
        <v>14</v>
      </c>
      <c r="G481" s="5">
        <f t="shared" ref="G481:G499" si="555">IF(J231&lt;&gt;9999,J231,0)</f>
        <v>0</v>
      </c>
      <c r="H481" s="5">
        <f t="shared" ref="H481:H499" si="556">IF(J256&lt;&gt;9999,J256,0)</f>
        <v>0</v>
      </c>
      <c r="I481" s="16">
        <f t="shared" ref="I481:I499" si="557">IF(ISERROR(H481-G481),9999,IF(OR(G481=0,H481=0),9999,IF(G481+H481&lt;=0,9999,G481+H481)))</f>
        <v>9999</v>
      </c>
      <c r="K481" s="4" t="s">
        <v>14</v>
      </c>
      <c r="L481" s="5">
        <f t="shared" ref="L481:L499" si="558">AY6</f>
        <v>0</v>
      </c>
      <c r="M481" s="5">
        <f t="shared" ref="M481:M499" si="559">AX6</f>
        <v>0</v>
      </c>
      <c r="N481" s="16">
        <f t="shared" ref="N481:N499" si="560">IF(ISERROR(L481-M481),9999,IF(OR(L481=0,M481=0),9999,IF(L481-M481&lt;=0,9999,L481-M481)))</f>
        <v>9999</v>
      </c>
      <c r="O481" s="13"/>
    </row>
    <row r="482" spans="1:15" x14ac:dyDescent="0.2">
      <c r="A482" s="4" t="s">
        <v>15</v>
      </c>
      <c r="B482" s="5">
        <f t="shared" si="552"/>
        <v>0</v>
      </c>
      <c r="C482" s="5">
        <f t="shared" si="553"/>
        <v>0</v>
      </c>
      <c r="D482" s="16">
        <f t="shared" si="554"/>
        <v>9999</v>
      </c>
      <c r="F482" s="4" t="s">
        <v>15</v>
      </c>
      <c r="G482" s="5">
        <f t="shared" si="555"/>
        <v>0</v>
      </c>
      <c r="H482" s="5">
        <f t="shared" si="556"/>
        <v>0</v>
      </c>
      <c r="I482" s="16">
        <f t="shared" si="557"/>
        <v>9999</v>
      </c>
      <c r="K482" s="4" t="s">
        <v>15</v>
      </c>
      <c r="L482" s="5">
        <f t="shared" si="558"/>
        <v>0</v>
      </c>
      <c r="M482" s="5">
        <f t="shared" si="559"/>
        <v>0</v>
      </c>
      <c r="N482" s="16">
        <f t="shared" si="560"/>
        <v>9999</v>
      </c>
      <c r="O482" s="13"/>
    </row>
    <row r="483" spans="1:15" x14ac:dyDescent="0.2">
      <c r="A483" s="4" t="s">
        <v>16</v>
      </c>
      <c r="B483" s="5">
        <f t="shared" si="552"/>
        <v>0</v>
      </c>
      <c r="C483" s="5">
        <f t="shared" si="553"/>
        <v>0</v>
      </c>
      <c r="D483" s="16">
        <f t="shared" si="554"/>
        <v>9999</v>
      </c>
      <c r="F483" s="4" t="s">
        <v>16</v>
      </c>
      <c r="G483" s="5">
        <f t="shared" si="555"/>
        <v>0</v>
      </c>
      <c r="H483" s="5">
        <f t="shared" si="556"/>
        <v>0</v>
      </c>
      <c r="I483" s="16">
        <f t="shared" si="557"/>
        <v>9999</v>
      </c>
      <c r="K483" s="4" t="s">
        <v>16</v>
      </c>
      <c r="L483" s="5">
        <f t="shared" si="558"/>
        <v>0</v>
      </c>
      <c r="M483" s="5">
        <f t="shared" si="559"/>
        <v>0</v>
      </c>
      <c r="N483" s="16">
        <f t="shared" si="560"/>
        <v>9999</v>
      </c>
      <c r="O483" s="13"/>
    </row>
    <row r="484" spans="1:15" x14ac:dyDescent="0.2">
      <c r="A484" s="4" t="s">
        <v>17</v>
      </c>
      <c r="B484" s="5">
        <f t="shared" si="552"/>
        <v>0</v>
      </c>
      <c r="C484" s="5">
        <f t="shared" si="553"/>
        <v>0</v>
      </c>
      <c r="D484" s="16">
        <f t="shared" si="554"/>
        <v>9999</v>
      </c>
      <c r="F484" s="4" t="s">
        <v>17</v>
      </c>
      <c r="G484" s="5">
        <f t="shared" si="555"/>
        <v>0</v>
      </c>
      <c r="H484" s="5">
        <f t="shared" si="556"/>
        <v>0</v>
      </c>
      <c r="I484" s="16">
        <f t="shared" si="557"/>
        <v>9999</v>
      </c>
      <c r="K484" s="4" t="s">
        <v>17</v>
      </c>
      <c r="L484" s="5">
        <f t="shared" si="558"/>
        <v>0</v>
      </c>
      <c r="M484" s="5">
        <f t="shared" si="559"/>
        <v>0</v>
      </c>
      <c r="N484" s="16">
        <f t="shared" si="560"/>
        <v>9999</v>
      </c>
      <c r="O484" s="13"/>
    </row>
    <row r="485" spans="1:15" x14ac:dyDescent="0.2">
      <c r="A485" s="4" t="s">
        <v>18</v>
      </c>
      <c r="B485" s="5">
        <f t="shared" si="552"/>
        <v>0</v>
      </c>
      <c r="C485" s="5">
        <f t="shared" si="553"/>
        <v>0</v>
      </c>
      <c r="D485" s="16">
        <f t="shared" si="554"/>
        <v>9999</v>
      </c>
      <c r="F485" s="4" t="s">
        <v>18</v>
      </c>
      <c r="G485" s="5">
        <f t="shared" si="555"/>
        <v>0</v>
      </c>
      <c r="H485" s="5">
        <f t="shared" si="556"/>
        <v>0</v>
      </c>
      <c r="I485" s="16">
        <f t="shared" si="557"/>
        <v>9999</v>
      </c>
      <c r="K485" s="4" t="s">
        <v>18</v>
      </c>
      <c r="L485" s="5">
        <f t="shared" si="558"/>
        <v>0</v>
      </c>
      <c r="M485" s="5">
        <f t="shared" si="559"/>
        <v>0</v>
      </c>
      <c r="N485" s="16">
        <f t="shared" si="560"/>
        <v>9999</v>
      </c>
      <c r="O485" s="13"/>
    </row>
    <row r="486" spans="1:15" x14ac:dyDescent="0.2">
      <c r="A486" s="4" t="s">
        <v>19</v>
      </c>
      <c r="B486" s="5">
        <f t="shared" si="552"/>
        <v>0</v>
      </c>
      <c r="C486" s="5">
        <f t="shared" si="553"/>
        <v>0</v>
      </c>
      <c r="D486" s="16">
        <f t="shared" si="554"/>
        <v>9999</v>
      </c>
      <c r="F486" s="4" t="s">
        <v>19</v>
      </c>
      <c r="G486" s="5">
        <f t="shared" si="555"/>
        <v>0</v>
      </c>
      <c r="H486" s="5">
        <f t="shared" si="556"/>
        <v>0</v>
      </c>
      <c r="I486" s="16">
        <f t="shared" si="557"/>
        <v>9999</v>
      </c>
      <c r="K486" s="4" t="s">
        <v>19</v>
      </c>
      <c r="L486" s="5">
        <f t="shared" si="558"/>
        <v>0</v>
      </c>
      <c r="M486" s="5">
        <f t="shared" si="559"/>
        <v>0</v>
      </c>
      <c r="N486" s="16">
        <f t="shared" si="560"/>
        <v>9999</v>
      </c>
      <c r="O486" s="13"/>
    </row>
    <row r="487" spans="1:15" x14ac:dyDescent="0.2">
      <c r="A487" s="9" t="s">
        <v>20</v>
      </c>
      <c r="B487" s="5">
        <f t="shared" si="552"/>
        <v>0</v>
      </c>
      <c r="C487" s="5">
        <f t="shared" si="553"/>
        <v>0</v>
      </c>
      <c r="D487" s="16">
        <f t="shared" si="554"/>
        <v>9999</v>
      </c>
      <c r="F487" s="9" t="s">
        <v>20</v>
      </c>
      <c r="G487" s="5">
        <f t="shared" si="555"/>
        <v>0</v>
      </c>
      <c r="H487" s="5">
        <f t="shared" si="556"/>
        <v>0</v>
      </c>
      <c r="I487" s="16">
        <f t="shared" si="557"/>
        <v>9999</v>
      </c>
      <c r="K487" s="9" t="s">
        <v>20</v>
      </c>
      <c r="L487" s="5">
        <f t="shared" si="558"/>
        <v>0</v>
      </c>
      <c r="M487" s="5">
        <f t="shared" si="559"/>
        <v>0</v>
      </c>
      <c r="N487" s="16">
        <f t="shared" si="560"/>
        <v>9999</v>
      </c>
      <c r="O487" s="13"/>
    </row>
    <row r="488" spans="1:15" x14ac:dyDescent="0.2">
      <c r="A488" s="9" t="s">
        <v>21</v>
      </c>
      <c r="B488" s="5">
        <f t="shared" si="552"/>
        <v>0</v>
      </c>
      <c r="C488" s="5">
        <f t="shared" si="553"/>
        <v>0</v>
      </c>
      <c r="D488" s="16">
        <f t="shared" si="554"/>
        <v>9999</v>
      </c>
      <c r="F488" s="9" t="s">
        <v>21</v>
      </c>
      <c r="G488" s="5">
        <f t="shared" si="555"/>
        <v>0</v>
      </c>
      <c r="H488" s="5">
        <f t="shared" si="556"/>
        <v>0</v>
      </c>
      <c r="I488" s="16">
        <f t="shared" si="557"/>
        <v>9999</v>
      </c>
      <c r="K488" s="9" t="s">
        <v>21</v>
      </c>
      <c r="L488" s="5">
        <f t="shared" si="558"/>
        <v>0</v>
      </c>
      <c r="M488" s="5">
        <f t="shared" si="559"/>
        <v>0</v>
      </c>
      <c r="N488" s="16">
        <f t="shared" si="560"/>
        <v>9999</v>
      </c>
      <c r="O488" s="13"/>
    </row>
    <row r="489" spans="1:15" x14ac:dyDescent="0.2">
      <c r="A489" s="9" t="s">
        <v>22</v>
      </c>
      <c r="B489" s="5">
        <f t="shared" si="552"/>
        <v>0</v>
      </c>
      <c r="C489" s="5">
        <f t="shared" si="553"/>
        <v>0</v>
      </c>
      <c r="D489" s="16">
        <f t="shared" si="554"/>
        <v>9999</v>
      </c>
      <c r="F489" s="9" t="s">
        <v>22</v>
      </c>
      <c r="G489" s="5">
        <f t="shared" si="555"/>
        <v>0</v>
      </c>
      <c r="H489" s="5">
        <f t="shared" si="556"/>
        <v>0</v>
      </c>
      <c r="I489" s="16">
        <f t="shared" si="557"/>
        <v>9999</v>
      </c>
      <c r="K489" s="9" t="s">
        <v>22</v>
      </c>
      <c r="L489" s="5">
        <f t="shared" si="558"/>
        <v>0</v>
      </c>
      <c r="M489" s="5">
        <f t="shared" si="559"/>
        <v>0</v>
      </c>
      <c r="N489" s="16">
        <f t="shared" si="560"/>
        <v>9999</v>
      </c>
      <c r="O489" s="13"/>
    </row>
    <row r="490" spans="1:15" x14ac:dyDescent="0.2">
      <c r="A490" s="9" t="s">
        <v>23</v>
      </c>
      <c r="B490" s="5">
        <f t="shared" si="552"/>
        <v>0</v>
      </c>
      <c r="C490" s="5">
        <f t="shared" si="553"/>
        <v>0</v>
      </c>
      <c r="D490" s="16">
        <f t="shared" si="554"/>
        <v>9999</v>
      </c>
      <c r="F490" s="9" t="s">
        <v>23</v>
      </c>
      <c r="G490" s="5">
        <f t="shared" si="555"/>
        <v>0</v>
      </c>
      <c r="H490" s="5">
        <f t="shared" si="556"/>
        <v>0</v>
      </c>
      <c r="I490" s="16">
        <f t="shared" si="557"/>
        <v>9999</v>
      </c>
      <c r="K490" s="9" t="s">
        <v>23</v>
      </c>
      <c r="L490" s="5">
        <f t="shared" si="558"/>
        <v>0</v>
      </c>
      <c r="M490" s="5">
        <f t="shared" si="559"/>
        <v>0</v>
      </c>
      <c r="N490" s="16">
        <f t="shared" si="560"/>
        <v>9999</v>
      </c>
      <c r="O490" s="13"/>
    </row>
    <row r="491" spans="1:15" x14ac:dyDescent="0.2">
      <c r="A491" s="9" t="s">
        <v>24</v>
      </c>
      <c r="B491" s="5">
        <f t="shared" si="552"/>
        <v>0</v>
      </c>
      <c r="C491" s="5">
        <f t="shared" si="553"/>
        <v>0</v>
      </c>
      <c r="D491" s="16">
        <f t="shared" si="554"/>
        <v>9999</v>
      </c>
      <c r="F491" s="9" t="s">
        <v>24</v>
      </c>
      <c r="G491" s="5">
        <f t="shared" si="555"/>
        <v>0</v>
      </c>
      <c r="H491" s="5">
        <f t="shared" si="556"/>
        <v>0</v>
      </c>
      <c r="I491" s="16">
        <f t="shared" si="557"/>
        <v>9999</v>
      </c>
      <c r="K491" s="9" t="s">
        <v>24</v>
      </c>
      <c r="L491" s="5">
        <f t="shared" si="558"/>
        <v>0</v>
      </c>
      <c r="M491" s="5">
        <f t="shared" si="559"/>
        <v>0</v>
      </c>
      <c r="N491" s="16">
        <f t="shared" si="560"/>
        <v>9999</v>
      </c>
      <c r="O491" s="13"/>
    </row>
    <row r="492" spans="1:15" x14ac:dyDescent="0.2">
      <c r="A492" s="4" t="s">
        <v>25</v>
      </c>
      <c r="B492" s="5">
        <f t="shared" si="552"/>
        <v>0</v>
      </c>
      <c r="C492" s="5">
        <f t="shared" si="553"/>
        <v>0</v>
      </c>
      <c r="D492" s="16">
        <f t="shared" si="554"/>
        <v>9999</v>
      </c>
      <c r="F492" s="4" t="s">
        <v>25</v>
      </c>
      <c r="G492" s="5">
        <f t="shared" si="555"/>
        <v>0</v>
      </c>
      <c r="H492" s="5">
        <f t="shared" si="556"/>
        <v>0</v>
      </c>
      <c r="I492" s="16">
        <f t="shared" si="557"/>
        <v>9999</v>
      </c>
      <c r="K492" s="4" t="s">
        <v>25</v>
      </c>
      <c r="L492" s="5">
        <f t="shared" si="558"/>
        <v>0</v>
      </c>
      <c r="M492" s="5">
        <f t="shared" si="559"/>
        <v>0</v>
      </c>
      <c r="N492" s="16">
        <f t="shared" si="560"/>
        <v>9999</v>
      </c>
      <c r="O492" s="13"/>
    </row>
    <row r="493" spans="1:15" x14ac:dyDescent="0.2">
      <c r="A493" s="4" t="s">
        <v>26</v>
      </c>
      <c r="B493" s="5">
        <f t="shared" si="552"/>
        <v>0</v>
      </c>
      <c r="C493" s="5">
        <f t="shared" si="553"/>
        <v>0</v>
      </c>
      <c r="D493" s="16">
        <f t="shared" si="554"/>
        <v>9999</v>
      </c>
      <c r="F493" s="4" t="s">
        <v>26</v>
      </c>
      <c r="G493" s="5">
        <f t="shared" si="555"/>
        <v>0</v>
      </c>
      <c r="H493" s="5">
        <f t="shared" si="556"/>
        <v>0</v>
      </c>
      <c r="I493" s="16">
        <f t="shared" si="557"/>
        <v>9999</v>
      </c>
      <c r="K493" s="4" t="s">
        <v>26</v>
      </c>
      <c r="L493" s="5">
        <f t="shared" si="558"/>
        <v>0</v>
      </c>
      <c r="M493" s="5">
        <f t="shared" si="559"/>
        <v>0</v>
      </c>
      <c r="N493" s="16">
        <f t="shared" si="560"/>
        <v>9999</v>
      </c>
      <c r="O493" s="13"/>
    </row>
    <row r="494" spans="1:15" x14ac:dyDescent="0.2">
      <c r="A494" s="4" t="s">
        <v>27</v>
      </c>
      <c r="B494" s="5">
        <f t="shared" si="552"/>
        <v>0</v>
      </c>
      <c r="C494" s="5">
        <f t="shared" si="553"/>
        <v>0</v>
      </c>
      <c r="D494" s="16">
        <f t="shared" si="554"/>
        <v>9999</v>
      </c>
      <c r="F494" s="4" t="s">
        <v>27</v>
      </c>
      <c r="G494" s="5">
        <f t="shared" si="555"/>
        <v>0</v>
      </c>
      <c r="H494" s="5">
        <f t="shared" si="556"/>
        <v>0</v>
      </c>
      <c r="I494" s="16">
        <f t="shared" si="557"/>
        <v>9999</v>
      </c>
      <c r="K494" s="4" t="s">
        <v>27</v>
      </c>
      <c r="L494" s="5">
        <f t="shared" si="558"/>
        <v>0</v>
      </c>
      <c r="M494" s="5">
        <f t="shared" si="559"/>
        <v>0</v>
      </c>
      <c r="N494" s="16">
        <f t="shared" si="560"/>
        <v>9999</v>
      </c>
      <c r="O494" s="13"/>
    </row>
    <row r="495" spans="1:15" x14ac:dyDescent="0.2">
      <c r="A495" s="9" t="s">
        <v>28</v>
      </c>
      <c r="B495" s="5">
        <f t="shared" si="552"/>
        <v>0</v>
      </c>
      <c r="C495" s="5">
        <f t="shared" si="553"/>
        <v>0</v>
      </c>
      <c r="D495" s="16">
        <f t="shared" si="554"/>
        <v>9999</v>
      </c>
      <c r="F495" s="9" t="s">
        <v>28</v>
      </c>
      <c r="G495" s="5">
        <f t="shared" si="555"/>
        <v>0</v>
      </c>
      <c r="H495" s="5">
        <f t="shared" si="556"/>
        <v>0</v>
      </c>
      <c r="I495" s="16">
        <f t="shared" si="557"/>
        <v>9999</v>
      </c>
      <c r="K495" s="9" t="s">
        <v>28</v>
      </c>
      <c r="L495" s="5">
        <f t="shared" si="558"/>
        <v>0</v>
      </c>
      <c r="M495" s="5">
        <f t="shared" si="559"/>
        <v>0</v>
      </c>
      <c r="N495" s="16">
        <f t="shared" si="560"/>
        <v>9999</v>
      </c>
      <c r="O495" s="13"/>
    </row>
    <row r="496" spans="1:15" x14ac:dyDescent="0.2">
      <c r="A496" s="9" t="s">
        <v>29</v>
      </c>
      <c r="B496" s="5">
        <f t="shared" si="552"/>
        <v>0</v>
      </c>
      <c r="C496" s="5">
        <f t="shared" si="553"/>
        <v>0</v>
      </c>
      <c r="D496" s="16">
        <f t="shared" si="554"/>
        <v>9999</v>
      </c>
      <c r="F496" s="9" t="s">
        <v>29</v>
      </c>
      <c r="G496" s="5">
        <f t="shared" si="555"/>
        <v>0</v>
      </c>
      <c r="H496" s="5">
        <f t="shared" si="556"/>
        <v>0</v>
      </c>
      <c r="I496" s="16">
        <f t="shared" si="557"/>
        <v>9999</v>
      </c>
      <c r="K496" s="9" t="s">
        <v>29</v>
      </c>
      <c r="L496" s="5">
        <f t="shared" si="558"/>
        <v>0</v>
      </c>
      <c r="M496" s="5">
        <f t="shared" si="559"/>
        <v>0</v>
      </c>
      <c r="N496" s="16">
        <f t="shared" si="560"/>
        <v>9999</v>
      </c>
      <c r="O496" s="13"/>
    </row>
    <row r="497" spans="1:15" x14ac:dyDescent="0.2">
      <c r="A497" s="9" t="s">
        <v>30</v>
      </c>
      <c r="B497" s="5">
        <f t="shared" si="552"/>
        <v>0</v>
      </c>
      <c r="C497" s="5">
        <f t="shared" si="553"/>
        <v>0</v>
      </c>
      <c r="D497" s="16">
        <f t="shared" si="554"/>
        <v>9999</v>
      </c>
      <c r="F497" s="9" t="s">
        <v>30</v>
      </c>
      <c r="G497" s="5">
        <f t="shared" si="555"/>
        <v>0</v>
      </c>
      <c r="H497" s="5">
        <f t="shared" si="556"/>
        <v>0</v>
      </c>
      <c r="I497" s="16">
        <f t="shared" si="557"/>
        <v>9999</v>
      </c>
      <c r="K497" s="9" t="s">
        <v>30</v>
      </c>
      <c r="L497" s="5">
        <f t="shared" si="558"/>
        <v>0</v>
      </c>
      <c r="M497" s="5">
        <f t="shared" si="559"/>
        <v>0</v>
      </c>
      <c r="N497" s="16">
        <f t="shared" si="560"/>
        <v>9999</v>
      </c>
      <c r="O497" s="13"/>
    </row>
    <row r="498" spans="1:15" x14ac:dyDescent="0.2">
      <c r="A498" s="9" t="s">
        <v>31</v>
      </c>
      <c r="B498" s="5">
        <f t="shared" si="552"/>
        <v>0</v>
      </c>
      <c r="C498" s="5">
        <f t="shared" si="553"/>
        <v>0</v>
      </c>
      <c r="D498" s="16">
        <f t="shared" si="554"/>
        <v>9999</v>
      </c>
      <c r="F498" s="9" t="s">
        <v>31</v>
      </c>
      <c r="G498" s="5">
        <f t="shared" si="555"/>
        <v>0</v>
      </c>
      <c r="H498" s="5">
        <f t="shared" si="556"/>
        <v>0</v>
      </c>
      <c r="I498" s="16">
        <f t="shared" si="557"/>
        <v>9999</v>
      </c>
      <c r="K498" s="9" t="s">
        <v>31</v>
      </c>
      <c r="L498" s="5">
        <f t="shared" si="558"/>
        <v>0</v>
      </c>
      <c r="M498" s="5">
        <f t="shared" si="559"/>
        <v>0</v>
      </c>
      <c r="N498" s="16">
        <f t="shared" si="560"/>
        <v>9999</v>
      </c>
      <c r="O498" s="13"/>
    </row>
    <row r="499" spans="1:15" x14ac:dyDescent="0.2">
      <c r="A499" s="10" t="s">
        <v>32</v>
      </c>
      <c r="B499" s="8">
        <f t="shared" si="552"/>
        <v>0</v>
      </c>
      <c r="C499" s="8">
        <f t="shared" si="553"/>
        <v>0</v>
      </c>
      <c r="D499" s="18">
        <f t="shared" si="554"/>
        <v>9999</v>
      </c>
      <c r="F499" s="10" t="s">
        <v>32</v>
      </c>
      <c r="G499" s="8">
        <f t="shared" si="555"/>
        <v>0</v>
      </c>
      <c r="H499" s="8">
        <f t="shared" si="556"/>
        <v>0</v>
      </c>
      <c r="I499" s="18">
        <f t="shared" si="557"/>
        <v>9999</v>
      </c>
      <c r="K499" s="10" t="s">
        <v>32</v>
      </c>
      <c r="L499" s="8">
        <f t="shared" si="558"/>
        <v>0</v>
      </c>
      <c r="M499" s="8">
        <f t="shared" si="559"/>
        <v>0</v>
      </c>
      <c r="N499" s="18">
        <f t="shared" si="560"/>
        <v>9999</v>
      </c>
      <c r="O499" s="13"/>
    </row>
  </sheetData>
  <protectedRanges>
    <protectedRange password="C8CD" sqref="B17:BD24" name="Bereik1_1" securityDescriptor="O:WDG:WDD:(A;;CC;;;BU)"/>
    <protectedRange sqref="B17:BD24" name="Bereik2_1" securityDescriptor="O:WDG:WDD:(A;;CC;;;BU)"/>
    <protectedRange password="C8CD" sqref="B5:BD16" name="Bereik1_1_1" securityDescriptor="O:WDG:WDD:(A;;CC;;;BU)"/>
    <protectedRange sqref="B5:BD16" name="Bereik2_1_1" securityDescriptor="O:WDG:WDD:(A;;CC;;;BU)"/>
    <protectedRange password="C8CD" sqref="E2 C2" name="Bereik1_2" securityDescriptor="O:WDG:WDD:(A;;CC;;;BU)"/>
    <protectedRange sqref="E2 C2" name="Bereik2_2" securityDescriptor="O:WDG:WDD:(A;;CC;;;BU)"/>
  </protectedRanges>
  <phoneticPr fontId="3" type="noConversion"/>
  <pageMargins left="0.75" right="0.75" top="1" bottom="1" header="0.5" footer="0.5"/>
  <pageSetup paperSize="9" orientation="portrait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locked="0" defaultSize="0" print="0" autoFill="0" autoPict="0" macro="[0]!SaveAs">
                <anchor moveWithCells="1" sizeWithCells="1">
                  <from>
                    <xdr:col>9</xdr:col>
                    <xdr:colOff>609600</xdr:colOff>
                    <xdr:row>0</xdr:row>
                    <xdr:rowOff>66675</xdr:rowOff>
                  </from>
                  <to>
                    <xdr:col>11</xdr:col>
                    <xdr:colOff>466725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TH5"/>
  <sheetViews>
    <sheetView zoomScale="80" zoomScaleNormal="80" workbookViewId="0">
      <pane xSplit="4" ySplit="4" topLeftCell="E5" activePane="bottomRight" state="frozen"/>
      <selection activeCell="H36" sqref="H36"/>
      <selection pane="topRight" activeCell="H36" sqref="H36"/>
      <selection pane="bottomLeft" activeCell="H36" sqref="H36"/>
      <selection pane="bottomRight" activeCell="B4" sqref="B4"/>
    </sheetView>
  </sheetViews>
  <sheetFormatPr defaultColWidth="9" defaultRowHeight="12.75" x14ac:dyDescent="0.2"/>
  <cols>
    <col min="1" max="1" width="0" style="25" hidden="1" customWidth="1"/>
  </cols>
  <sheetData>
    <row r="1" spans="1:1204" s="25" customFormat="1" hidden="1" x14ac:dyDescent="0.2">
      <c r="A1" s="25" t="s">
        <v>1330</v>
      </c>
      <c r="E1" s="25">
        <v>1</v>
      </c>
      <c r="F1" s="25">
        <v>1</v>
      </c>
      <c r="G1" s="25">
        <v>1</v>
      </c>
      <c r="H1" s="25">
        <v>1</v>
      </c>
      <c r="I1" s="25">
        <v>1</v>
      </c>
      <c r="J1" s="25">
        <v>1</v>
      </c>
      <c r="K1" s="25">
        <v>1</v>
      </c>
      <c r="L1" s="25">
        <v>1</v>
      </c>
      <c r="M1" s="25">
        <v>1</v>
      </c>
      <c r="N1" s="25">
        <v>1</v>
      </c>
      <c r="O1" s="25">
        <v>1</v>
      </c>
      <c r="P1" s="25">
        <v>1</v>
      </c>
      <c r="Q1" s="25">
        <v>1</v>
      </c>
      <c r="R1" s="25">
        <v>1</v>
      </c>
      <c r="S1" s="25">
        <v>1</v>
      </c>
      <c r="T1" s="25">
        <v>1</v>
      </c>
      <c r="U1" s="25">
        <v>1</v>
      </c>
      <c r="V1" s="25">
        <v>1</v>
      </c>
      <c r="W1" s="25">
        <v>1</v>
      </c>
      <c r="X1" s="25">
        <v>1</v>
      </c>
      <c r="Y1" s="25">
        <v>1</v>
      </c>
      <c r="Z1" s="25">
        <v>1</v>
      </c>
      <c r="AA1" s="25">
        <v>1</v>
      </c>
      <c r="AB1" s="25">
        <v>1</v>
      </c>
      <c r="AC1" s="25">
        <v>1</v>
      </c>
      <c r="AD1" s="25">
        <v>1</v>
      </c>
      <c r="AE1" s="25">
        <v>1</v>
      </c>
      <c r="AF1" s="25">
        <v>1</v>
      </c>
      <c r="AG1" s="25">
        <v>1</v>
      </c>
      <c r="AH1" s="25">
        <v>1</v>
      </c>
      <c r="AI1" s="25">
        <v>1</v>
      </c>
      <c r="AJ1" s="25">
        <v>1</v>
      </c>
      <c r="AK1" s="25">
        <v>1</v>
      </c>
      <c r="AL1" s="25">
        <v>1</v>
      </c>
      <c r="AM1" s="25">
        <v>1</v>
      </c>
      <c r="AN1" s="25">
        <v>1</v>
      </c>
      <c r="AO1" s="25">
        <v>1</v>
      </c>
      <c r="AP1" s="25">
        <v>1</v>
      </c>
      <c r="AQ1" s="25">
        <v>1</v>
      </c>
      <c r="AR1" s="25">
        <v>1</v>
      </c>
      <c r="AS1" s="25">
        <v>1</v>
      </c>
      <c r="AT1" s="25">
        <v>1</v>
      </c>
      <c r="AU1" s="25">
        <v>1</v>
      </c>
      <c r="AV1" s="25">
        <v>1</v>
      </c>
      <c r="AW1" s="25">
        <v>1</v>
      </c>
      <c r="AX1" s="25">
        <v>1</v>
      </c>
      <c r="AY1" s="25">
        <v>1</v>
      </c>
      <c r="AZ1" s="25">
        <v>1</v>
      </c>
      <c r="BA1" s="25">
        <v>1</v>
      </c>
      <c r="BB1" s="25">
        <v>1</v>
      </c>
      <c r="BC1" s="25">
        <v>2</v>
      </c>
      <c r="BD1" s="25">
        <v>2</v>
      </c>
      <c r="BE1" s="25">
        <v>2</v>
      </c>
      <c r="BF1" s="25">
        <v>2</v>
      </c>
      <c r="BG1" s="25">
        <v>2</v>
      </c>
      <c r="BH1" s="25">
        <v>2</v>
      </c>
      <c r="BI1" s="25">
        <v>2</v>
      </c>
      <c r="BJ1" s="25">
        <v>2</v>
      </c>
      <c r="BK1" s="25">
        <v>2</v>
      </c>
      <c r="BL1" s="25">
        <v>2</v>
      </c>
      <c r="BM1" s="25">
        <v>2</v>
      </c>
      <c r="BN1" s="25">
        <v>2</v>
      </c>
      <c r="BO1" s="25">
        <v>2</v>
      </c>
      <c r="BP1" s="25">
        <v>2</v>
      </c>
      <c r="BQ1" s="25">
        <v>2</v>
      </c>
      <c r="BR1" s="25">
        <v>2</v>
      </c>
      <c r="BS1" s="25">
        <v>2</v>
      </c>
      <c r="BT1" s="25">
        <v>2</v>
      </c>
      <c r="BU1" s="25">
        <v>2</v>
      </c>
      <c r="BV1" s="25">
        <v>2</v>
      </c>
      <c r="BW1" s="25">
        <v>2</v>
      </c>
      <c r="BX1" s="25">
        <v>2</v>
      </c>
      <c r="BY1" s="25">
        <v>2</v>
      </c>
      <c r="BZ1" s="25">
        <v>2</v>
      </c>
      <c r="CA1" s="25">
        <v>2</v>
      </c>
      <c r="CB1" s="25">
        <v>2</v>
      </c>
      <c r="CC1" s="25">
        <v>2</v>
      </c>
      <c r="CD1" s="25">
        <v>2</v>
      </c>
      <c r="CE1" s="25">
        <v>2</v>
      </c>
      <c r="CF1" s="25">
        <v>2</v>
      </c>
      <c r="CG1" s="25">
        <v>2</v>
      </c>
      <c r="CH1" s="25">
        <v>2</v>
      </c>
      <c r="CI1" s="25">
        <v>2</v>
      </c>
      <c r="CJ1" s="25">
        <v>2</v>
      </c>
      <c r="CK1" s="25">
        <v>2</v>
      </c>
      <c r="CL1" s="25">
        <v>2</v>
      </c>
      <c r="CM1" s="25">
        <v>2</v>
      </c>
      <c r="CN1" s="25">
        <v>2</v>
      </c>
      <c r="CO1" s="25">
        <v>2</v>
      </c>
      <c r="CP1" s="25">
        <v>2</v>
      </c>
      <c r="CQ1" s="25">
        <v>2</v>
      </c>
      <c r="CR1" s="25">
        <v>2</v>
      </c>
      <c r="CS1" s="25">
        <v>2</v>
      </c>
      <c r="CT1" s="25">
        <v>2</v>
      </c>
      <c r="CU1" s="25">
        <v>2</v>
      </c>
      <c r="CV1" s="25">
        <v>2</v>
      </c>
      <c r="CW1" s="25">
        <v>2</v>
      </c>
      <c r="CX1" s="25">
        <v>2</v>
      </c>
      <c r="CY1" s="25">
        <v>2</v>
      </c>
      <c r="CZ1" s="25">
        <v>2</v>
      </c>
      <c r="DA1" s="25">
        <v>3</v>
      </c>
      <c r="DB1" s="25">
        <v>3</v>
      </c>
      <c r="DC1" s="25">
        <v>3</v>
      </c>
      <c r="DD1" s="25">
        <v>3</v>
      </c>
      <c r="DE1" s="25">
        <v>3</v>
      </c>
      <c r="DF1" s="25">
        <v>3</v>
      </c>
      <c r="DG1" s="25">
        <v>3</v>
      </c>
      <c r="DH1" s="25">
        <v>3</v>
      </c>
      <c r="DI1" s="25">
        <v>3</v>
      </c>
      <c r="DJ1" s="25">
        <v>3</v>
      </c>
      <c r="DK1" s="25">
        <v>3</v>
      </c>
      <c r="DL1" s="25">
        <v>3</v>
      </c>
      <c r="DM1" s="25">
        <v>3</v>
      </c>
      <c r="DN1" s="25">
        <v>3</v>
      </c>
      <c r="DO1" s="25">
        <v>3</v>
      </c>
      <c r="DP1" s="25">
        <v>3</v>
      </c>
      <c r="DQ1" s="25">
        <v>3</v>
      </c>
      <c r="DR1" s="25">
        <v>3</v>
      </c>
      <c r="DS1" s="25">
        <v>3</v>
      </c>
      <c r="DT1" s="25">
        <v>3</v>
      </c>
      <c r="DU1" s="25">
        <v>3</v>
      </c>
      <c r="DV1" s="25">
        <v>3</v>
      </c>
      <c r="DW1" s="25">
        <v>3</v>
      </c>
      <c r="DX1" s="25">
        <v>3</v>
      </c>
      <c r="DY1" s="25">
        <v>3</v>
      </c>
      <c r="DZ1" s="25">
        <v>3</v>
      </c>
      <c r="EA1" s="25">
        <v>3</v>
      </c>
      <c r="EB1" s="25">
        <v>3</v>
      </c>
      <c r="EC1" s="25">
        <v>3</v>
      </c>
      <c r="ED1" s="25">
        <v>3</v>
      </c>
      <c r="EE1" s="25">
        <v>3</v>
      </c>
      <c r="EF1" s="25">
        <v>3</v>
      </c>
      <c r="EG1" s="25">
        <v>3</v>
      </c>
      <c r="EH1" s="25">
        <v>3</v>
      </c>
      <c r="EI1" s="25">
        <v>3</v>
      </c>
      <c r="EJ1" s="25">
        <v>3</v>
      </c>
      <c r="EK1" s="25">
        <v>3</v>
      </c>
      <c r="EL1" s="25">
        <v>3</v>
      </c>
      <c r="EM1" s="25">
        <v>3</v>
      </c>
      <c r="EN1" s="25">
        <v>3</v>
      </c>
      <c r="EO1" s="25">
        <v>3</v>
      </c>
      <c r="EP1" s="25">
        <v>3</v>
      </c>
      <c r="EQ1" s="25">
        <v>3</v>
      </c>
      <c r="ER1" s="25">
        <v>3</v>
      </c>
      <c r="ES1" s="25">
        <v>3</v>
      </c>
      <c r="ET1" s="25">
        <v>3</v>
      </c>
      <c r="EU1" s="25">
        <v>3</v>
      </c>
      <c r="EV1" s="25">
        <v>3</v>
      </c>
      <c r="EW1" s="25">
        <v>3</v>
      </c>
      <c r="EX1" s="25">
        <v>3</v>
      </c>
      <c r="EY1" s="25">
        <v>4</v>
      </c>
      <c r="EZ1" s="25">
        <v>4</v>
      </c>
      <c r="FA1" s="25">
        <v>4</v>
      </c>
      <c r="FB1" s="25">
        <v>4</v>
      </c>
      <c r="FC1" s="25">
        <v>4</v>
      </c>
      <c r="FD1" s="25">
        <v>4</v>
      </c>
      <c r="FE1" s="25">
        <v>4</v>
      </c>
      <c r="FF1" s="25">
        <v>4</v>
      </c>
      <c r="FG1" s="25">
        <v>4</v>
      </c>
      <c r="FH1" s="25">
        <v>4</v>
      </c>
      <c r="FI1" s="25">
        <v>4</v>
      </c>
      <c r="FJ1" s="25">
        <v>4</v>
      </c>
      <c r="FK1" s="25">
        <v>4</v>
      </c>
      <c r="FL1" s="25">
        <v>4</v>
      </c>
      <c r="FM1" s="25">
        <v>4</v>
      </c>
      <c r="FN1" s="25">
        <v>4</v>
      </c>
      <c r="FO1" s="25">
        <v>4</v>
      </c>
      <c r="FP1" s="25">
        <v>4</v>
      </c>
      <c r="FQ1" s="25">
        <v>4</v>
      </c>
      <c r="FR1" s="25">
        <v>4</v>
      </c>
      <c r="FS1" s="25">
        <v>4</v>
      </c>
      <c r="FT1" s="25">
        <v>4</v>
      </c>
      <c r="FU1" s="25">
        <v>4</v>
      </c>
      <c r="FV1" s="25">
        <v>4</v>
      </c>
      <c r="FW1" s="25">
        <v>4</v>
      </c>
      <c r="FX1" s="25">
        <v>4</v>
      </c>
      <c r="FY1" s="25">
        <v>4</v>
      </c>
      <c r="FZ1" s="25">
        <v>4</v>
      </c>
      <c r="GA1" s="25">
        <v>4</v>
      </c>
      <c r="GB1" s="25">
        <v>4</v>
      </c>
      <c r="GC1" s="25">
        <v>4</v>
      </c>
      <c r="GD1" s="25">
        <v>4</v>
      </c>
      <c r="GE1" s="25">
        <v>4</v>
      </c>
      <c r="GF1" s="25">
        <v>4</v>
      </c>
      <c r="GG1" s="25">
        <v>4</v>
      </c>
      <c r="GH1" s="25">
        <v>4</v>
      </c>
      <c r="GI1" s="25">
        <v>4</v>
      </c>
      <c r="GJ1" s="25">
        <v>4</v>
      </c>
      <c r="GK1" s="25">
        <v>4</v>
      </c>
      <c r="GL1" s="25">
        <v>4</v>
      </c>
      <c r="GM1" s="25">
        <v>4</v>
      </c>
      <c r="GN1" s="25">
        <v>4</v>
      </c>
      <c r="GO1" s="25">
        <v>4</v>
      </c>
      <c r="GP1" s="25">
        <v>4</v>
      </c>
      <c r="GQ1" s="25">
        <v>4</v>
      </c>
      <c r="GR1" s="25">
        <v>4</v>
      </c>
      <c r="GS1" s="25">
        <v>4</v>
      </c>
      <c r="GT1" s="25">
        <v>4</v>
      </c>
      <c r="GU1" s="25">
        <v>4</v>
      </c>
      <c r="GV1" s="25">
        <v>4</v>
      </c>
      <c r="GW1" s="25">
        <v>5</v>
      </c>
      <c r="GX1" s="25">
        <v>5</v>
      </c>
      <c r="GY1" s="25">
        <v>5</v>
      </c>
      <c r="GZ1" s="25">
        <v>5</v>
      </c>
      <c r="HA1" s="25">
        <v>5</v>
      </c>
      <c r="HB1" s="25">
        <v>5</v>
      </c>
      <c r="HC1" s="25">
        <v>5</v>
      </c>
      <c r="HD1" s="25">
        <v>5</v>
      </c>
      <c r="HE1" s="25">
        <v>5</v>
      </c>
      <c r="HF1" s="25">
        <v>5</v>
      </c>
      <c r="HG1" s="25">
        <v>5</v>
      </c>
      <c r="HH1" s="25">
        <v>5</v>
      </c>
      <c r="HI1" s="25">
        <v>5</v>
      </c>
      <c r="HJ1" s="25">
        <v>5</v>
      </c>
      <c r="HK1" s="25">
        <v>5</v>
      </c>
      <c r="HL1" s="25">
        <v>5</v>
      </c>
      <c r="HM1" s="25">
        <v>5</v>
      </c>
      <c r="HN1" s="25">
        <v>5</v>
      </c>
      <c r="HO1" s="25">
        <v>5</v>
      </c>
      <c r="HP1" s="25">
        <v>5</v>
      </c>
      <c r="HQ1" s="25">
        <v>5</v>
      </c>
      <c r="HR1" s="25">
        <v>5</v>
      </c>
      <c r="HS1" s="25">
        <v>5</v>
      </c>
      <c r="HT1" s="25">
        <v>5</v>
      </c>
      <c r="HU1" s="25">
        <v>5</v>
      </c>
      <c r="HV1" s="25">
        <v>5</v>
      </c>
      <c r="HW1" s="25">
        <v>5</v>
      </c>
      <c r="HX1" s="25">
        <v>5</v>
      </c>
      <c r="HY1" s="25">
        <v>5</v>
      </c>
      <c r="HZ1" s="25">
        <v>5</v>
      </c>
      <c r="IA1" s="25">
        <v>5</v>
      </c>
      <c r="IB1" s="25">
        <v>5</v>
      </c>
      <c r="IC1" s="25">
        <v>5</v>
      </c>
      <c r="ID1" s="25">
        <v>5</v>
      </c>
      <c r="IE1" s="25">
        <v>5</v>
      </c>
      <c r="IF1" s="25">
        <v>5</v>
      </c>
      <c r="IG1" s="25">
        <v>5</v>
      </c>
      <c r="IH1" s="25">
        <v>5</v>
      </c>
      <c r="II1" s="25">
        <v>5</v>
      </c>
      <c r="IJ1" s="25">
        <v>5</v>
      </c>
      <c r="IK1" s="25">
        <v>5</v>
      </c>
      <c r="IL1" s="25">
        <v>5</v>
      </c>
      <c r="IM1" s="25">
        <v>5</v>
      </c>
      <c r="IN1" s="25">
        <v>5</v>
      </c>
      <c r="IO1" s="25">
        <v>5</v>
      </c>
      <c r="IP1" s="25">
        <v>5</v>
      </c>
      <c r="IQ1" s="25">
        <v>5</v>
      </c>
      <c r="IR1" s="25">
        <v>5</v>
      </c>
      <c r="IS1" s="25">
        <v>5</v>
      </c>
      <c r="IT1" s="25">
        <v>5</v>
      </c>
      <c r="IU1" s="25">
        <v>6</v>
      </c>
      <c r="IV1" s="25">
        <v>6</v>
      </c>
      <c r="IW1" s="25">
        <v>6</v>
      </c>
      <c r="IX1" s="25">
        <v>6</v>
      </c>
      <c r="IY1" s="25">
        <v>6</v>
      </c>
      <c r="IZ1" s="25">
        <v>6</v>
      </c>
      <c r="JA1" s="25">
        <v>6</v>
      </c>
      <c r="JB1" s="25">
        <v>6</v>
      </c>
      <c r="JC1" s="25">
        <v>6</v>
      </c>
      <c r="JD1" s="25">
        <v>6</v>
      </c>
      <c r="JE1" s="25">
        <v>6</v>
      </c>
      <c r="JF1" s="25">
        <v>6</v>
      </c>
      <c r="JG1" s="25">
        <v>6</v>
      </c>
      <c r="JH1" s="25">
        <v>6</v>
      </c>
      <c r="JI1" s="25">
        <v>6</v>
      </c>
      <c r="JJ1" s="25">
        <v>6</v>
      </c>
      <c r="JK1" s="25">
        <v>6</v>
      </c>
      <c r="JL1" s="25">
        <v>6</v>
      </c>
      <c r="JM1" s="25">
        <v>6</v>
      </c>
      <c r="JN1" s="25">
        <v>6</v>
      </c>
      <c r="JO1" s="25">
        <v>6</v>
      </c>
      <c r="JP1" s="25">
        <v>6</v>
      </c>
      <c r="JQ1" s="25">
        <v>6</v>
      </c>
      <c r="JR1" s="25">
        <v>6</v>
      </c>
      <c r="JS1" s="25">
        <v>6</v>
      </c>
      <c r="JT1" s="25">
        <v>6</v>
      </c>
      <c r="JU1" s="25">
        <v>6</v>
      </c>
      <c r="JV1" s="25">
        <v>6</v>
      </c>
      <c r="JW1" s="25">
        <v>6</v>
      </c>
      <c r="JX1" s="25">
        <v>6</v>
      </c>
      <c r="JY1" s="25">
        <v>6</v>
      </c>
      <c r="JZ1" s="25">
        <v>6</v>
      </c>
      <c r="KA1" s="25">
        <v>6</v>
      </c>
      <c r="KB1" s="25">
        <v>6</v>
      </c>
      <c r="KC1" s="25">
        <v>6</v>
      </c>
      <c r="KD1" s="25">
        <v>6</v>
      </c>
      <c r="KE1" s="25">
        <v>6</v>
      </c>
      <c r="KF1" s="25">
        <v>6</v>
      </c>
      <c r="KG1" s="25">
        <v>6</v>
      </c>
      <c r="KH1" s="25">
        <v>6</v>
      </c>
      <c r="KI1" s="25">
        <v>6</v>
      </c>
      <c r="KJ1" s="25">
        <v>6</v>
      </c>
      <c r="KK1" s="25">
        <v>6</v>
      </c>
      <c r="KL1" s="25">
        <v>6</v>
      </c>
      <c r="KM1" s="25">
        <v>6</v>
      </c>
      <c r="KN1" s="25">
        <v>6</v>
      </c>
      <c r="KO1" s="25">
        <v>6</v>
      </c>
      <c r="KP1" s="25">
        <v>6</v>
      </c>
      <c r="KQ1" s="25">
        <v>6</v>
      </c>
      <c r="KR1" s="25">
        <v>6</v>
      </c>
      <c r="KS1" s="25">
        <v>7</v>
      </c>
      <c r="KT1" s="25">
        <v>7</v>
      </c>
      <c r="KU1" s="25">
        <v>7</v>
      </c>
      <c r="KV1" s="25">
        <v>7</v>
      </c>
      <c r="KW1" s="25">
        <v>7</v>
      </c>
      <c r="KX1" s="25">
        <v>7</v>
      </c>
      <c r="KY1" s="25">
        <v>7</v>
      </c>
      <c r="KZ1" s="25">
        <v>7</v>
      </c>
      <c r="LA1" s="25">
        <v>7</v>
      </c>
      <c r="LB1" s="25">
        <v>7</v>
      </c>
      <c r="LC1" s="25">
        <v>7</v>
      </c>
      <c r="LD1" s="25">
        <v>7</v>
      </c>
      <c r="LE1" s="25">
        <v>7</v>
      </c>
      <c r="LF1" s="25">
        <v>7</v>
      </c>
      <c r="LG1" s="25">
        <v>7</v>
      </c>
      <c r="LH1" s="25">
        <v>7</v>
      </c>
      <c r="LI1" s="25">
        <v>7</v>
      </c>
      <c r="LJ1" s="25">
        <v>7</v>
      </c>
      <c r="LK1" s="25">
        <v>7</v>
      </c>
      <c r="LL1" s="25">
        <v>7</v>
      </c>
      <c r="LM1" s="25">
        <v>7</v>
      </c>
      <c r="LN1" s="25">
        <v>7</v>
      </c>
      <c r="LO1" s="25">
        <v>7</v>
      </c>
      <c r="LP1" s="25">
        <v>7</v>
      </c>
      <c r="LQ1" s="25">
        <v>7</v>
      </c>
      <c r="LR1" s="25">
        <v>7</v>
      </c>
      <c r="LS1" s="25">
        <v>7</v>
      </c>
      <c r="LT1" s="25">
        <v>7</v>
      </c>
      <c r="LU1" s="25">
        <v>7</v>
      </c>
      <c r="LV1" s="25">
        <v>7</v>
      </c>
      <c r="LW1" s="25">
        <v>7</v>
      </c>
      <c r="LX1" s="25">
        <v>7</v>
      </c>
      <c r="LY1" s="25">
        <v>7</v>
      </c>
      <c r="LZ1" s="25">
        <v>7</v>
      </c>
      <c r="MA1" s="25">
        <v>7</v>
      </c>
      <c r="MB1" s="25">
        <v>7</v>
      </c>
      <c r="MC1" s="25">
        <v>7</v>
      </c>
      <c r="MD1" s="25">
        <v>7</v>
      </c>
      <c r="ME1" s="25">
        <v>7</v>
      </c>
      <c r="MF1" s="25">
        <v>7</v>
      </c>
      <c r="MG1" s="25">
        <v>7</v>
      </c>
      <c r="MH1" s="25">
        <v>7</v>
      </c>
      <c r="MI1" s="25">
        <v>7</v>
      </c>
      <c r="MJ1" s="25">
        <v>7</v>
      </c>
      <c r="MK1" s="25">
        <v>7</v>
      </c>
      <c r="ML1" s="25">
        <v>7</v>
      </c>
      <c r="MM1" s="25">
        <v>7</v>
      </c>
      <c r="MN1" s="25">
        <v>7</v>
      </c>
      <c r="MO1" s="25">
        <v>7</v>
      </c>
      <c r="MP1" s="25">
        <v>7</v>
      </c>
      <c r="MQ1" s="25">
        <v>8</v>
      </c>
      <c r="MR1" s="25">
        <v>8</v>
      </c>
      <c r="MS1" s="25">
        <v>8</v>
      </c>
      <c r="MT1" s="25">
        <v>8</v>
      </c>
      <c r="MU1" s="25">
        <v>8</v>
      </c>
      <c r="MV1" s="25">
        <v>8</v>
      </c>
      <c r="MW1" s="25">
        <v>8</v>
      </c>
      <c r="MX1" s="25">
        <v>8</v>
      </c>
      <c r="MY1" s="25">
        <v>8</v>
      </c>
      <c r="MZ1" s="25">
        <v>8</v>
      </c>
      <c r="NA1" s="25">
        <v>8</v>
      </c>
      <c r="NB1" s="25">
        <v>8</v>
      </c>
      <c r="NC1" s="25">
        <v>8</v>
      </c>
      <c r="ND1" s="25">
        <v>8</v>
      </c>
      <c r="NE1" s="25">
        <v>8</v>
      </c>
      <c r="NF1" s="25">
        <v>8</v>
      </c>
      <c r="NG1" s="25">
        <v>8</v>
      </c>
      <c r="NH1" s="25">
        <v>8</v>
      </c>
      <c r="NI1" s="25">
        <v>8</v>
      </c>
      <c r="NJ1" s="25">
        <v>8</v>
      </c>
      <c r="NK1" s="25">
        <v>8</v>
      </c>
      <c r="NL1" s="25">
        <v>8</v>
      </c>
      <c r="NM1" s="25">
        <v>8</v>
      </c>
      <c r="NN1" s="25">
        <v>8</v>
      </c>
      <c r="NO1" s="25">
        <v>8</v>
      </c>
      <c r="NP1" s="25">
        <v>8</v>
      </c>
      <c r="NQ1" s="25">
        <v>8</v>
      </c>
      <c r="NR1" s="25">
        <v>8</v>
      </c>
      <c r="NS1" s="25">
        <v>8</v>
      </c>
      <c r="NT1" s="25">
        <v>8</v>
      </c>
      <c r="NU1" s="25">
        <v>8</v>
      </c>
      <c r="NV1" s="25">
        <v>8</v>
      </c>
      <c r="NW1" s="25">
        <v>8</v>
      </c>
      <c r="NX1" s="25">
        <v>8</v>
      </c>
      <c r="NY1" s="25">
        <v>8</v>
      </c>
      <c r="NZ1" s="25">
        <v>8</v>
      </c>
      <c r="OA1" s="25">
        <v>8</v>
      </c>
      <c r="OB1" s="25">
        <v>8</v>
      </c>
      <c r="OC1" s="25">
        <v>8</v>
      </c>
      <c r="OD1" s="25">
        <v>8</v>
      </c>
      <c r="OE1" s="25">
        <v>8</v>
      </c>
      <c r="OF1" s="25">
        <v>8</v>
      </c>
      <c r="OG1" s="25">
        <v>8</v>
      </c>
      <c r="OH1" s="25">
        <v>8</v>
      </c>
      <c r="OI1" s="25">
        <v>8</v>
      </c>
      <c r="OJ1" s="25">
        <v>8</v>
      </c>
      <c r="OK1" s="25">
        <v>8</v>
      </c>
      <c r="OL1" s="25">
        <v>8</v>
      </c>
      <c r="OM1" s="25">
        <v>8</v>
      </c>
      <c r="ON1" s="25">
        <v>8</v>
      </c>
      <c r="OO1" s="25">
        <v>9</v>
      </c>
      <c r="OP1" s="25">
        <v>9</v>
      </c>
      <c r="OQ1" s="25">
        <v>9</v>
      </c>
      <c r="OR1" s="25">
        <v>9</v>
      </c>
      <c r="OS1" s="25">
        <v>9</v>
      </c>
      <c r="OT1" s="25">
        <v>9</v>
      </c>
      <c r="OU1" s="25">
        <v>9</v>
      </c>
      <c r="OV1" s="25">
        <v>9</v>
      </c>
      <c r="OW1" s="25">
        <v>9</v>
      </c>
      <c r="OX1" s="25">
        <v>9</v>
      </c>
      <c r="OY1" s="25">
        <v>9</v>
      </c>
      <c r="OZ1" s="25">
        <v>9</v>
      </c>
      <c r="PA1" s="25">
        <v>9</v>
      </c>
      <c r="PB1" s="25">
        <v>9</v>
      </c>
      <c r="PC1" s="25">
        <v>9</v>
      </c>
      <c r="PD1" s="25">
        <v>9</v>
      </c>
      <c r="PE1" s="25">
        <v>9</v>
      </c>
      <c r="PF1" s="25">
        <v>9</v>
      </c>
      <c r="PG1" s="25">
        <v>9</v>
      </c>
      <c r="PH1" s="25">
        <v>9</v>
      </c>
      <c r="PI1" s="25">
        <v>9</v>
      </c>
      <c r="PJ1" s="25">
        <v>9</v>
      </c>
      <c r="PK1" s="25">
        <v>9</v>
      </c>
      <c r="PL1" s="25">
        <v>9</v>
      </c>
      <c r="PM1" s="25">
        <v>9</v>
      </c>
      <c r="PN1" s="25">
        <v>9</v>
      </c>
      <c r="PO1" s="25">
        <v>9</v>
      </c>
      <c r="PP1" s="25">
        <v>9</v>
      </c>
      <c r="PQ1" s="25">
        <v>9</v>
      </c>
      <c r="PR1" s="25">
        <v>9</v>
      </c>
      <c r="PS1" s="25">
        <v>9</v>
      </c>
      <c r="PT1" s="25">
        <v>9</v>
      </c>
      <c r="PU1" s="25">
        <v>9</v>
      </c>
      <c r="PV1" s="25">
        <v>9</v>
      </c>
      <c r="PW1" s="25">
        <v>9</v>
      </c>
      <c r="PX1" s="25">
        <v>9</v>
      </c>
      <c r="PY1" s="25">
        <v>9</v>
      </c>
      <c r="PZ1" s="25">
        <v>9</v>
      </c>
      <c r="QA1" s="25">
        <v>9</v>
      </c>
      <c r="QB1" s="25">
        <v>9</v>
      </c>
      <c r="QC1" s="25">
        <v>9</v>
      </c>
      <c r="QD1" s="25">
        <v>9</v>
      </c>
      <c r="QE1" s="25">
        <v>9</v>
      </c>
      <c r="QF1" s="25">
        <v>9</v>
      </c>
      <c r="QG1" s="25">
        <v>9</v>
      </c>
      <c r="QH1" s="25">
        <v>9</v>
      </c>
      <c r="QI1" s="25">
        <v>9</v>
      </c>
      <c r="QJ1" s="25">
        <v>9</v>
      </c>
      <c r="QK1" s="25">
        <v>9</v>
      </c>
      <c r="QL1" s="25">
        <v>9</v>
      </c>
      <c r="QM1" s="25">
        <v>10</v>
      </c>
      <c r="QN1" s="25">
        <v>10</v>
      </c>
      <c r="QO1" s="25">
        <v>10</v>
      </c>
      <c r="QP1" s="25">
        <v>10</v>
      </c>
      <c r="QQ1" s="25">
        <v>10</v>
      </c>
      <c r="QR1" s="25">
        <v>10</v>
      </c>
      <c r="QS1" s="25">
        <v>10</v>
      </c>
      <c r="QT1" s="25">
        <v>10</v>
      </c>
      <c r="QU1" s="25">
        <v>10</v>
      </c>
      <c r="QV1" s="25">
        <v>10</v>
      </c>
      <c r="QW1" s="25">
        <v>10</v>
      </c>
      <c r="QX1" s="25">
        <v>10</v>
      </c>
      <c r="QY1" s="25">
        <v>10</v>
      </c>
      <c r="QZ1" s="25">
        <v>10</v>
      </c>
      <c r="RA1" s="25">
        <v>10</v>
      </c>
      <c r="RB1" s="25">
        <v>10</v>
      </c>
      <c r="RC1" s="25">
        <v>10</v>
      </c>
      <c r="RD1" s="25">
        <v>10</v>
      </c>
      <c r="RE1" s="25">
        <v>10</v>
      </c>
      <c r="RF1" s="25">
        <v>10</v>
      </c>
      <c r="RG1" s="25">
        <v>10</v>
      </c>
      <c r="RH1" s="25">
        <v>10</v>
      </c>
      <c r="RI1" s="25">
        <v>10</v>
      </c>
      <c r="RJ1" s="25">
        <v>10</v>
      </c>
      <c r="RK1" s="25">
        <v>10</v>
      </c>
      <c r="RL1" s="25">
        <v>10</v>
      </c>
      <c r="RM1" s="25">
        <v>10</v>
      </c>
      <c r="RN1" s="25">
        <v>10</v>
      </c>
      <c r="RO1" s="25">
        <v>10</v>
      </c>
      <c r="RP1" s="25">
        <v>10</v>
      </c>
      <c r="RQ1" s="25">
        <v>10</v>
      </c>
      <c r="RR1" s="25">
        <v>10</v>
      </c>
      <c r="RS1" s="25">
        <v>10</v>
      </c>
      <c r="RT1" s="25">
        <v>10</v>
      </c>
      <c r="RU1" s="25">
        <v>10</v>
      </c>
      <c r="RV1" s="25">
        <v>10</v>
      </c>
      <c r="RW1" s="25">
        <v>10</v>
      </c>
      <c r="RX1" s="25">
        <v>10</v>
      </c>
      <c r="RY1" s="25">
        <v>10</v>
      </c>
      <c r="RZ1" s="25">
        <v>10</v>
      </c>
      <c r="SA1" s="25">
        <v>10</v>
      </c>
      <c r="SB1" s="25">
        <v>10</v>
      </c>
      <c r="SC1" s="25">
        <v>10</v>
      </c>
      <c r="SD1" s="25">
        <v>10</v>
      </c>
      <c r="SE1" s="25">
        <v>10</v>
      </c>
      <c r="SF1" s="25">
        <v>10</v>
      </c>
      <c r="SG1" s="25">
        <v>10</v>
      </c>
      <c r="SH1" s="25">
        <v>10</v>
      </c>
      <c r="SI1" s="25">
        <v>10</v>
      </c>
      <c r="SJ1" s="25">
        <v>10</v>
      </c>
      <c r="SK1" s="25">
        <v>11</v>
      </c>
      <c r="SL1" s="25">
        <v>11</v>
      </c>
      <c r="SM1" s="25">
        <v>11</v>
      </c>
      <c r="SN1" s="25">
        <v>11</v>
      </c>
      <c r="SO1" s="25">
        <v>11</v>
      </c>
      <c r="SP1" s="25">
        <v>11</v>
      </c>
      <c r="SQ1" s="25">
        <v>11</v>
      </c>
      <c r="SR1" s="25">
        <v>11</v>
      </c>
      <c r="SS1" s="25">
        <v>11</v>
      </c>
      <c r="ST1" s="25">
        <v>11</v>
      </c>
      <c r="SU1" s="25">
        <v>11</v>
      </c>
      <c r="SV1" s="25">
        <v>11</v>
      </c>
      <c r="SW1" s="25">
        <v>11</v>
      </c>
      <c r="SX1" s="25">
        <v>11</v>
      </c>
      <c r="SY1" s="25">
        <v>11</v>
      </c>
      <c r="SZ1" s="25">
        <v>11</v>
      </c>
      <c r="TA1" s="25">
        <v>11</v>
      </c>
      <c r="TB1" s="25">
        <v>11</v>
      </c>
      <c r="TC1" s="25">
        <v>11</v>
      </c>
      <c r="TD1" s="25">
        <v>11</v>
      </c>
      <c r="TE1" s="25">
        <v>11</v>
      </c>
      <c r="TF1" s="25">
        <v>11</v>
      </c>
      <c r="TG1" s="25">
        <v>11</v>
      </c>
      <c r="TH1" s="25">
        <v>11</v>
      </c>
      <c r="TI1" s="25">
        <v>11</v>
      </c>
      <c r="TJ1" s="25">
        <v>11</v>
      </c>
      <c r="TK1" s="25">
        <v>11</v>
      </c>
      <c r="TL1" s="25">
        <v>11</v>
      </c>
      <c r="TM1" s="25">
        <v>11</v>
      </c>
      <c r="TN1" s="25">
        <v>11</v>
      </c>
      <c r="TO1" s="25">
        <v>11</v>
      </c>
      <c r="TP1" s="25">
        <v>11</v>
      </c>
      <c r="TQ1" s="25">
        <v>11</v>
      </c>
      <c r="TR1" s="25">
        <v>11</v>
      </c>
      <c r="TS1" s="25">
        <v>11</v>
      </c>
      <c r="TT1" s="25">
        <v>11</v>
      </c>
      <c r="TU1" s="25">
        <v>11</v>
      </c>
      <c r="TV1" s="25">
        <v>11</v>
      </c>
      <c r="TW1" s="25">
        <v>11</v>
      </c>
      <c r="TX1" s="25">
        <v>11</v>
      </c>
      <c r="TY1" s="25">
        <v>11</v>
      </c>
      <c r="TZ1" s="25">
        <v>11</v>
      </c>
      <c r="UA1" s="25">
        <v>11</v>
      </c>
      <c r="UB1" s="25">
        <v>11</v>
      </c>
      <c r="UC1" s="25">
        <v>11</v>
      </c>
      <c r="UD1" s="25">
        <v>11</v>
      </c>
      <c r="UE1" s="25">
        <v>11</v>
      </c>
      <c r="UF1" s="25">
        <v>11</v>
      </c>
      <c r="UG1" s="25">
        <v>11</v>
      </c>
      <c r="UH1" s="25">
        <v>11</v>
      </c>
      <c r="UI1" s="25">
        <v>12</v>
      </c>
      <c r="UJ1" s="25">
        <v>12</v>
      </c>
      <c r="UK1" s="25">
        <v>12</v>
      </c>
      <c r="UL1" s="25">
        <v>12</v>
      </c>
      <c r="UM1" s="25">
        <v>12</v>
      </c>
      <c r="UN1" s="25">
        <v>12</v>
      </c>
      <c r="UO1" s="25">
        <v>12</v>
      </c>
      <c r="UP1" s="25">
        <v>12</v>
      </c>
      <c r="UQ1" s="25">
        <v>12</v>
      </c>
      <c r="UR1" s="25">
        <v>12</v>
      </c>
      <c r="US1" s="25">
        <v>12</v>
      </c>
      <c r="UT1" s="25">
        <v>12</v>
      </c>
      <c r="UU1" s="25">
        <v>12</v>
      </c>
      <c r="UV1" s="25">
        <v>12</v>
      </c>
      <c r="UW1" s="25">
        <v>12</v>
      </c>
      <c r="UX1" s="25">
        <v>12</v>
      </c>
      <c r="UY1" s="25">
        <v>12</v>
      </c>
      <c r="UZ1" s="25">
        <v>12</v>
      </c>
      <c r="VA1" s="25">
        <v>12</v>
      </c>
      <c r="VB1" s="25">
        <v>12</v>
      </c>
      <c r="VC1" s="25">
        <v>12</v>
      </c>
      <c r="VD1" s="25">
        <v>12</v>
      </c>
      <c r="VE1" s="25">
        <v>12</v>
      </c>
      <c r="VF1" s="25">
        <v>12</v>
      </c>
      <c r="VG1" s="25">
        <v>12</v>
      </c>
      <c r="VH1" s="25">
        <v>12</v>
      </c>
      <c r="VI1" s="25">
        <v>12</v>
      </c>
      <c r="VJ1" s="25">
        <v>12</v>
      </c>
      <c r="VK1" s="25">
        <v>12</v>
      </c>
      <c r="VL1" s="25">
        <v>12</v>
      </c>
      <c r="VM1" s="25">
        <v>12</v>
      </c>
      <c r="VN1" s="25">
        <v>12</v>
      </c>
      <c r="VO1" s="25">
        <v>12</v>
      </c>
      <c r="VP1" s="25">
        <v>12</v>
      </c>
      <c r="VQ1" s="25">
        <v>12</v>
      </c>
      <c r="VR1" s="25">
        <v>12</v>
      </c>
      <c r="VS1" s="25">
        <v>12</v>
      </c>
      <c r="VT1" s="25">
        <v>12</v>
      </c>
      <c r="VU1" s="25">
        <v>12</v>
      </c>
      <c r="VV1" s="25">
        <v>12</v>
      </c>
      <c r="VW1" s="25">
        <v>12</v>
      </c>
      <c r="VX1" s="25">
        <v>12</v>
      </c>
      <c r="VY1" s="25">
        <v>12</v>
      </c>
      <c r="VZ1" s="25">
        <v>12</v>
      </c>
      <c r="WA1" s="25">
        <v>12</v>
      </c>
      <c r="WB1" s="25">
        <v>12</v>
      </c>
      <c r="WC1" s="25">
        <v>12</v>
      </c>
      <c r="WD1" s="25">
        <v>12</v>
      </c>
      <c r="WE1" s="25">
        <v>12</v>
      </c>
      <c r="WF1" s="25">
        <v>12</v>
      </c>
      <c r="WG1" s="25">
        <v>13</v>
      </c>
      <c r="WH1" s="25">
        <v>13</v>
      </c>
      <c r="WI1" s="25">
        <v>13</v>
      </c>
      <c r="WJ1" s="25">
        <v>13</v>
      </c>
      <c r="WK1" s="25">
        <v>13</v>
      </c>
      <c r="WL1" s="25">
        <v>13</v>
      </c>
      <c r="WM1" s="25">
        <v>13</v>
      </c>
      <c r="WN1" s="25">
        <v>13</v>
      </c>
      <c r="WO1" s="25">
        <v>13</v>
      </c>
      <c r="WP1" s="25">
        <v>13</v>
      </c>
      <c r="WQ1" s="25">
        <v>13</v>
      </c>
      <c r="WR1" s="25">
        <v>13</v>
      </c>
      <c r="WS1" s="25">
        <v>13</v>
      </c>
      <c r="WT1" s="25">
        <v>13</v>
      </c>
      <c r="WU1" s="25">
        <v>13</v>
      </c>
      <c r="WV1" s="25">
        <v>13</v>
      </c>
      <c r="WW1" s="25">
        <v>13</v>
      </c>
      <c r="WX1" s="25">
        <v>13</v>
      </c>
      <c r="WY1" s="25">
        <v>13</v>
      </c>
      <c r="WZ1" s="25">
        <v>13</v>
      </c>
      <c r="XA1" s="25">
        <v>13</v>
      </c>
      <c r="XB1" s="25">
        <v>13</v>
      </c>
      <c r="XC1" s="25">
        <v>13</v>
      </c>
      <c r="XD1" s="25">
        <v>13</v>
      </c>
      <c r="XE1" s="25">
        <v>13</v>
      </c>
      <c r="XF1" s="25">
        <v>13</v>
      </c>
      <c r="XG1" s="25">
        <v>13</v>
      </c>
      <c r="XH1" s="25">
        <v>13</v>
      </c>
      <c r="XI1" s="25">
        <v>13</v>
      </c>
      <c r="XJ1" s="25">
        <v>13</v>
      </c>
      <c r="XK1" s="25">
        <v>13</v>
      </c>
      <c r="XL1" s="25">
        <v>13</v>
      </c>
      <c r="XM1" s="25">
        <v>13</v>
      </c>
      <c r="XN1" s="25">
        <v>13</v>
      </c>
      <c r="XO1" s="25">
        <v>13</v>
      </c>
      <c r="XP1" s="25">
        <v>13</v>
      </c>
      <c r="XQ1" s="25">
        <v>13</v>
      </c>
      <c r="XR1" s="25">
        <v>13</v>
      </c>
      <c r="XS1" s="25">
        <v>13</v>
      </c>
      <c r="XT1" s="25">
        <v>13</v>
      </c>
      <c r="XU1" s="25">
        <v>13</v>
      </c>
      <c r="XV1" s="25">
        <v>13</v>
      </c>
      <c r="XW1" s="25">
        <v>13</v>
      </c>
      <c r="XX1" s="25">
        <v>13</v>
      </c>
      <c r="XY1" s="25">
        <v>13</v>
      </c>
      <c r="XZ1" s="25">
        <v>13</v>
      </c>
      <c r="YA1" s="25">
        <v>13</v>
      </c>
      <c r="YB1" s="25">
        <v>13</v>
      </c>
      <c r="YC1" s="25">
        <v>13</v>
      </c>
      <c r="YD1" s="25">
        <v>13</v>
      </c>
      <c r="YE1" s="25">
        <v>14</v>
      </c>
      <c r="YF1" s="25">
        <v>14</v>
      </c>
      <c r="YG1" s="25">
        <v>14</v>
      </c>
      <c r="YH1" s="25">
        <v>14</v>
      </c>
      <c r="YI1" s="25">
        <v>14</v>
      </c>
      <c r="YJ1" s="25">
        <v>14</v>
      </c>
      <c r="YK1" s="25">
        <v>14</v>
      </c>
      <c r="YL1" s="25">
        <v>14</v>
      </c>
      <c r="YM1" s="25">
        <v>14</v>
      </c>
      <c r="YN1" s="25">
        <v>14</v>
      </c>
      <c r="YO1" s="25">
        <v>14</v>
      </c>
      <c r="YP1" s="25">
        <v>14</v>
      </c>
      <c r="YQ1" s="25">
        <v>14</v>
      </c>
      <c r="YR1" s="25">
        <v>14</v>
      </c>
      <c r="YS1" s="25">
        <v>14</v>
      </c>
      <c r="YT1" s="25">
        <v>14</v>
      </c>
      <c r="YU1" s="25">
        <v>14</v>
      </c>
      <c r="YV1" s="25">
        <v>14</v>
      </c>
      <c r="YW1" s="25">
        <v>14</v>
      </c>
      <c r="YX1" s="25">
        <v>14</v>
      </c>
      <c r="YY1" s="25">
        <v>14</v>
      </c>
      <c r="YZ1" s="25">
        <v>14</v>
      </c>
      <c r="ZA1" s="25">
        <v>14</v>
      </c>
      <c r="ZB1" s="25">
        <v>14</v>
      </c>
      <c r="ZC1" s="25">
        <v>14</v>
      </c>
      <c r="ZD1" s="25">
        <v>14</v>
      </c>
      <c r="ZE1" s="25">
        <v>14</v>
      </c>
      <c r="ZF1" s="25">
        <v>14</v>
      </c>
      <c r="ZG1" s="25">
        <v>14</v>
      </c>
      <c r="ZH1" s="25">
        <v>14</v>
      </c>
      <c r="ZI1" s="25">
        <v>14</v>
      </c>
      <c r="ZJ1" s="25">
        <v>14</v>
      </c>
      <c r="ZK1" s="25">
        <v>14</v>
      </c>
      <c r="ZL1" s="25">
        <v>14</v>
      </c>
      <c r="ZM1" s="25">
        <v>14</v>
      </c>
      <c r="ZN1" s="25">
        <v>14</v>
      </c>
      <c r="ZO1" s="25">
        <v>14</v>
      </c>
      <c r="ZP1" s="25">
        <v>14</v>
      </c>
      <c r="ZQ1" s="25">
        <v>14</v>
      </c>
      <c r="ZR1" s="25">
        <v>14</v>
      </c>
      <c r="ZS1" s="25">
        <v>14</v>
      </c>
      <c r="ZT1" s="25">
        <v>14</v>
      </c>
      <c r="ZU1" s="25">
        <v>14</v>
      </c>
      <c r="ZV1" s="25">
        <v>14</v>
      </c>
      <c r="ZW1" s="25">
        <v>14</v>
      </c>
      <c r="ZX1" s="25">
        <v>14</v>
      </c>
      <c r="ZY1" s="25">
        <v>14</v>
      </c>
      <c r="ZZ1" s="25">
        <v>14</v>
      </c>
      <c r="AAA1" s="25">
        <v>14</v>
      </c>
      <c r="AAB1" s="25">
        <v>14</v>
      </c>
      <c r="AAC1" s="25">
        <v>15</v>
      </c>
      <c r="AAD1" s="25">
        <v>15</v>
      </c>
      <c r="AAE1" s="25">
        <v>15</v>
      </c>
      <c r="AAF1" s="25">
        <v>15</v>
      </c>
      <c r="AAG1" s="25">
        <v>15</v>
      </c>
      <c r="AAH1" s="25">
        <v>15</v>
      </c>
      <c r="AAI1" s="25">
        <v>15</v>
      </c>
      <c r="AAJ1" s="25">
        <v>15</v>
      </c>
      <c r="AAK1" s="25">
        <v>15</v>
      </c>
      <c r="AAL1" s="25">
        <v>15</v>
      </c>
      <c r="AAM1" s="25">
        <v>15</v>
      </c>
      <c r="AAN1" s="25">
        <v>15</v>
      </c>
      <c r="AAO1" s="25">
        <v>15</v>
      </c>
      <c r="AAP1" s="25">
        <v>15</v>
      </c>
      <c r="AAQ1" s="25">
        <v>15</v>
      </c>
      <c r="AAR1" s="25">
        <v>15</v>
      </c>
      <c r="AAS1" s="25">
        <v>15</v>
      </c>
      <c r="AAT1" s="25">
        <v>15</v>
      </c>
      <c r="AAU1" s="25">
        <v>15</v>
      </c>
      <c r="AAV1" s="25">
        <v>15</v>
      </c>
      <c r="AAW1" s="25">
        <v>15</v>
      </c>
      <c r="AAX1" s="25">
        <v>15</v>
      </c>
      <c r="AAY1" s="25">
        <v>15</v>
      </c>
      <c r="AAZ1" s="25">
        <v>15</v>
      </c>
      <c r="ABA1" s="25">
        <v>15</v>
      </c>
      <c r="ABB1" s="25">
        <v>15</v>
      </c>
      <c r="ABC1" s="25">
        <v>15</v>
      </c>
      <c r="ABD1" s="25">
        <v>15</v>
      </c>
      <c r="ABE1" s="25">
        <v>15</v>
      </c>
      <c r="ABF1" s="25">
        <v>15</v>
      </c>
      <c r="ABG1" s="25">
        <v>15</v>
      </c>
      <c r="ABH1" s="25">
        <v>15</v>
      </c>
      <c r="ABI1" s="25">
        <v>15</v>
      </c>
      <c r="ABJ1" s="25">
        <v>15</v>
      </c>
      <c r="ABK1" s="25">
        <v>15</v>
      </c>
      <c r="ABL1" s="25">
        <v>15</v>
      </c>
      <c r="ABM1" s="25">
        <v>15</v>
      </c>
      <c r="ABN1" s="25">
        <v>15</v>
      </c>
      <c r="ABO1" s="25">
        <v>15</v>
      </c>
      <c r="ABP1" s="25">
        <v>15</v>
      </c>
      <c r="ABQ1" s="25">
        <v>15</v>
      </c>
      <c r="ABR1" s="25">
        <v>15</v>
      </c>
      <c r="ABS1" s="25">
        <v>15</v>
      </c>
      <c r="ABT1" s="25">
        <v>15</v>
      </c>
      <c r="ABU1" s="25">
        <v>15</v>
      </c>
      <c r="ABV1" s="25">
        <v>15</v>
      </c>
      <c r="ABW1" s="25">
        <v>15</v>
      </c>
      <c r="ABX1" s="25">
        <v>15</v>
      </c>
      <c r="ABY1" s="25">
        <v>15</v>
      </c>
      <c r="ABZ1" s="25">
        <v>15</v>
      </c>
      <c r="ACA1" s="25">
        <v>16</v>
      </c>
      <c r="ACB1" s="25">
        <v>16</v>
      </c>
      <c r="ACC1" s="25">
        <v>16</v>
      </c>
      <c r="ACD1" s="25">
        <v>16</v>
      </c>
      <c r="ACE1" s="25">
        <v>16</v>
      </c>
      <c r="ACF1" s="25">
        <v>16</v>
      </c>
      <c r="ACG1" s="25">
        <v>16</v>
      </c>
      <c r="ACH1" s="25">
        <v>16</v>
      </c>
      <c r="ACI1" s="25">
        <v>16</v>
      </c>
      <c r="ACJ1" s="25">
        <v>16</v>
      </c>
      <c r="ACK1" s="25">
        <v>16</v>
      </c>
      <c r="ACL1" s="25">
        <v>16</v>
      </c>
      <c r="ACM1" s="25">
        <v>16</v>
      </c>
      <c r="ACN1" s="25">
        <v>16</v>
      </c>
      <c r="ACO1" s="25">
        <v>16</v>
      </c>
      <c r="ACP1" s="25">
        <v>16</v>
      </c>
      <c r="ACQ1" s="25">
        <v>16</v>
      </c>
      <c r="ACR1" s="25">
        <v>16</v>
      </c>
      <c r="ACS1" s="25">
        <v>16</v>
      </c>
      <c r="ACT1" s="25">
        <v>16</v>
      </c>
      <c r="ACU1" s="25">
        <v>16</v>
      </c>
      <c r="ACV1" s="25">
        <v>16</v>
      </c>
      <c r="ACW1" s="25">
        <v>16</v>
      </c>
      <c r="ACX1" s="25">
        <v>16</v>
      </c>
      <c r="ACY1" s="25">
        <v>16</v>
      </c>
      <c r="ACZ1" s="25">
        <v>16</v>
      </c>
      <c r="ADA1" s="25">
        <v>16</v>
      </c>
      <c r="ADB1" s="25">
        <v>16</v>
      </c>
      <c r="ADC1" s="25">
        <v>16</v>
      </c>
      <c r="ADD1" s="25">
        <v>16</v>
      </c>
      <c r="ADE1" s="25">
        <v>16</v>
      </c>
      <c r="ADF1" s="25">
        <v>16</v>
      </c>
      <c r="ADG1" s="25">
        <v>16</v>
      </c>
      <c r="ADH1" s="25">
        <v>16</v>
      </c>
      <c r="ADI1" s="25">
        <v>16</v>
      </c>
      <c r="ADJ1" s="25">
        <v>16</v>
      </c>
      <c r="ADK1" s="25">
        <v>16</v>
      </c>
      <c r="ADL1" s="25">
        <v>16</v>
      </c>
      <c r="ADM1" s="25">
        <v>16</v>
      </c>
      <c r="ADN1" s="25">
        <v>16</v>
      </c>
      <c r="ADO1" s="25">
        <v>16</v>
      </c>
      <c r="ADP1" s="25">
        <v>16</v>
      </c>
      <c r="ADQ1" s="25">
        <v>16</v>
      </c>
      <c r="ADR1" s="25">
        <v>16</v>
      </c>
      <c r="ADS1" s="25">
        <v>16</v>
      </c>
      <c r="ADT1" s="25">
        <v>16</v>
      </c>
      <c r="ADU1" s="25">
        <v>16</v>
      </c>
      <c r="ADV1" s="25">
        <v>16</v>
      </c>
      <c r="ADW1" s="25">
        <v>16</v>
      </c>
      <c r="ADX1" s="25">
        <v>16</v>
      </c>
      <c r="ADY1" s="25">
        <v>17</v>
      </c>
      <c r="ADZ1" s="25">
        <v>17</v>
      </c>
      <c r="AEA1" s="25">
        <v>17</v>
      </c>
      <c r="AEB1" s="25">
        <v>17</v>
      </c>
      <c r="AEC1" s="25">
        <v>17</v>
      </c>
      <c r="AED1" s="25">
        <v>17</v>
      </c>
      <c r="AEE1" s="25">
        <v>17</v>
      </c>
      <c r="AEF1" s="25">
        <v>17</v>
      </c>
      <c r="AEG1" s="25">
        <v>17</v>
      </c>
      <c r="AEH1" s="25">
        <v>17</v>
      </c>
      <c r="AEI1" s="25">
        <v>17</v>
      </c>
      <c r="AEJ1" s="25">
        <v>17</v>
      </c>
      <c r="AEK1" s="25">
        <v>17</v>
      </c>
      <c r="AEL1" s="25">
        <v>17</v>
      </c>
      <c r="AEM1" s="25">
        <v>17</v>
      </c>
      <c r="AEN1" s="25">
        <v>17</v>
      </c>
      <c r="AEO1" s="25">
        <v>17</v>
      </c>
      <c r="AEP1" s="25">
        <v>17</v>
      </c>
      <c r="AEQ1" s="25">
        <v>17</v>
      </c>
      <c r="AER1" s="25">
        <v>17</v>
      </c>
      <c r="AES1" s="25">
        <v>17</v>
      </c>
      <c r="AET1" s="25">
        <v>17</v>
      </c>
      <c r="AEU1" s="25">
        <v>17</v>
      </c>
      <c r="AEV1" s="25">
        <v>17</v>
      </c>
      <c r="AEW1" s="25">
        <v>17</v>
      </c>
      <c r="AEX1" s="25">
        <v>17</v>
      </c>
      <c r="AEY1" s="25">
        <v>17</v>
      </c>
      <c r="AEZ1" s="25">
        <v>17</v>
      </c>
      <c r="AFA1" s="25">
        <v>17</v>
      </c>
      <c r="AFB1" s="25">
        <v>17</v>
      </c>
      <c r="AFC1" s="25">
        <v>17</v>
      </c>
      <c r="AFD1" s="25">
        <v>17</v>
      </c>
      <c r="AFE1" s="25">
        <v>17</v>
      </c>
      <c r="AFF1" s="25">
        <v>17</v>
      </c>
      <c r="AFG1" s="25">
        <v>17</v>
      </c>
      <c r="AFH1" s="25">
        <v>17</v>
      </c>
      <c r="AFI1" s="25">
        <v>17</v>
      </c>
      <c r="AFJ1" s="25">
        <v>17</v>
      </c>
      <c r="AFK1" s="25">
        <v>17</v>
      </c>
      <c r="AFL1" s="25">
        <v>17</v>
      </c>
      <c r="AFM1" s="25">
        <v>17</v>
      </c>
      <c r="AFN1" s="25">
        <v>17</v>
      </c>
      <c r="AFO1" s="25">
        <v>17</v>
      </c>
      <c r="AFP1" s="25">
        <v>17</v>
      </c>
      <c r="AFQ1" s="25">
        <v>17</v>
      </c>
      <c r="AFR1" s="25">
        <v>17</v>
      </c>
      <c r="AFS1" s="25">
        <v>17</v>
      </c>
      <c r="AFT1" s="25">
        <v>17</v>
      </c>
      <c r="AFU1" s="25">
        <v>17</v>
      </c>
      <c r="AFV1" s="25">
        <v>17</v>
      </c>
      <c r="AFW1" s="25">
        <v>18</v>
      </c>
      <c r="AFX1" s="25">
        <v>18</v>
      </c>
      <c r="AFY1" s="25">
        <v>18</v>
      </c>
      <c r="AFZ1" s="25">
        <v>18</v>
      </c>
      <c r="AGA1" s="25">
        <v>18</v>
      </c>
      <c r="AGB1" s="25">
        <v>18</v>
      </c>
      <c r="AGC1" s="25">
        <v>18</v>
      </c>
      <c r="AGD1" s="25">
        <v>18</v>
      </c>
      <c r="AGE1" s="25">
        <v>18</v>
      </c>
      <c r="AGF1" s="25">
        <v>18</v>
      </c>
      <c r="AGG1" s="25">
        <v>18</v>
      </c>
      <c r="AGH1" s="25">
        <v>18</v>
      </c>
      <c r="AGI1" s="25">
        <v>18</v>
      </c>
      <c r="AGJ1" s="25">
        <v>18</v>
      </c>
      <c r="AGK1" s="25">
        <v>18</v>
      </c>
      <c r="AGL1" s="25">
        <v>18</v>
      </c>
      <c r="AGM1" s="25">
        <v>18</v>
      </c>
      <c r="AGN1" s="25">
        <v>18</v>
      </c>
      <c r="AGO1" s="25">
        <v>18</v>
      </c>
      <c r="AGP1" s="25">
        <v>18</v>
      </c>
      <c r="AGQ1" s="25">
        <v>18</v>
      </c>
      <c r="AGR1" s="25">
        <v>18</v>
      </c>
      <c r="AGS1" s="25">
        <v>18</v>
      </c>
      <c r="AGT1" s="25">
        <v>18</v>
      </c>
      <c r="AGU1" s="25">
        <v>18</v>
      </c>
      <c r="AGV1" s="25">
        <v>18</v>
      </c>
      <c r="AGW1" s="25">
        <v>18</v>
      </c>
      <c r="AGX1" s="25">
        <v>18</v>
      </c>
      <c r="AGY1" s="25">
        <v>18</v>
      </c>
      <c r="AGZ1" s="25">
        <v>18</v>
      </c>
      <c r="AHA1" s="25">
        <v>18</v>
      </c>
      <c r="AHB1" s="25">
        <v>18</v>
      </c>
      <c r="AHC1" s="25">
        <v>18</v>
      </c>
      <c r="AHD1" s="25">
        <v>18</v>
      </c>
      <c r="AHE1" s="25">
        <v>18</v>
      </c>
      <c r="AHF1" s="25">
        <v>18</v>
      </c>
      <c r="AHG1" s="25">
        <v>18</v>
      </c>
      <c r="AHH1" s="25">
        <v>18</v>
      </c>
      <c r="AHI1" s="25">
        <v>18</v>
      </c>
      <c r="AHJ1" s="25">
        <v>18</v>
      </c>
      <c r="AHK1" s="25">
        <v>18</v>
      </c>
      <c r="AHL1" s="25">
        <v>18</v>
      </c>
      <c r="AHM1" s="25">
        <v>18</v>
      </c>
      <c r="AHN1" s="25">
        <v>18</v>
      </c>
      <c r="AHO1" s="25">
        <v>18</v>
      </c>
      <c r="AHP1" s="25">
        <v>18</v>
      </c>
      <c r="AHQ1" s="25">
        <v>18</v>
      </c>
      <c r="AHR1" s="25">
        <v>18</v>
      </c>
      <c r="AHS1" s="25">
        <v>18</v>
      </c>
      <c r="AHT1" s="25">
        <v>18</v>
      </c>
      <c r="AHU1" s="25">
        <v>19</v>
      </c>
      <c r="AHV1" s="25">
        <v>19</v>
      </c>
      <c r="AHW1" s="25">
        <v>19</v>
      </c>
      <c r="AHX1" s="25">
        <v>19</v>
      </c>
      <c r="AHY1" s="25">
        <v>19</v>
      </c>
      <c r="AHZ1" s="25">
        <v>19</v>
      </c>
      <c r="AIA1" s="25">
        <v>19</v>
      </c>
      <c r="AIB1" s="25">
        <v>19</v>
      </c>
      <c r="AIC1" s="25">
        <v>19</v>
      </c>
      <c r="AID1" s="25">
        <v>19</v>
      </c>
      <c r="AIE1" s="25">
        <v>19</v>
      </c>
      <c r="AIF1" s="25">
        <v>19</v>
      </c>
      <c r="AIG1" s="25">
        <v>19</v>
      </c>
      <c r="AIH1" s="25">
        <v>19</v>
      </c>
      <c r="AII1" s="25">
        <v>19</v>
      </c>
      <c r="AIJ1" s="25">
        <v>19</v>
      </c>
      <c r="AIK1" s="25">
        <v>19</v>
      </c>
      <c r="AIL1" s="25">
        <v>19</v>
      </c>
      <c r="AIM1" s="25">
        <v>19</v>
      </c>
      <c r="AIN1" s="25">
        <v>19</v>
      </c>
      <c r="AIO1" s="25">
        <v>19</v>
      </c>
      <c r="AIP1" s="25">
        <v>19</v>
      </c>
      <c r="AIQ1" s="25">
        <v>19</v>
      </c>
      <c r="AIR1" s="25">
        <v>19</v>
      </c>
      <c r="AIS1" s="25">
        <v>19</v>
      </c>
      <c r="AIT1" s="25">
        <v>19</v>
      </c>
      <c r="AIU1" s="25">
        <v>19</v>
      </c>
      <c r="AIV1" s="25">
        <v>19</v>
      </c>
      <c r="AIW1" s="25">
        <v>19</v>
      </c>
      <c r="AIX1" s="25">
        <v>19</v>
      </c>
      <c r="AIY1" s="25">
        <v>19</v>
      </c>
      <c r="AIZ1" s="25">
        <v>19</v>
      </c>
      <c r="AJA1" s="25">
        <v>19</v>
      </c>
      <c r="AJB1" s="25">
        <v>19</v>
      </c>
      <c r="AJC1" s="25">
        <v>19</v>
      </c>
      <c r="AJD1" s="25">
        <v>19</v>
      </c>
      <c r="AJE1" s="25">
        <v>19</v>
      </c>
      <c r="AJF1" s="25">
        <v>19</v>
      </c>
      <c r="AJG1" s="25">
        <v>19</v>
      </c>
      <c r="AJH1" s="25">
        <v>19</v>
      </c>
      <c r="AJI1" s="25">
        <v>19</v>
      </c>
      <c r="AJJ1" s="25">
        <v>19</v>
      </c>
      <c r="AJK1" s="25">
        <v>19</v>
      </c>
      <c r="AJL1" s="25">
        <v>19</v>
      </c>
      <c r="AJM1" s="25">
        <v>19</v>
      </c>
      <c r="AJN1" s="25">
        <v>19</v>
      </c>
      <c r="AJO1" s="25">
        <v>19</v>
      </c>
      <c r="AJP1" s="25">
        <v>19</v>
      </c>
      <c r="AJQ1" s="25">
        <v>19</v>
      </c>
      <c r="AJR1" s="25">
        <v>19</v>
      </c>
      <c r="AJS1" s="25">
        <v>20</v>
      </c>
      <c r="AJT1" s="25">
        <v>20</v>
      </c>
      <c r="AJU1" s="25">
        <v>20</v>
      </c>
      <c r="AJV1" s="25">
        <v>20</v>
      </c>
      <c r="AJW1" s="25">
        <v>20</v>
      </c>
      <c r="AJX1" s="25">
        <v>20</v>
      </c>
      <c r="AJY1" s="25">
        <v>20</v>
      </c>
      <c r="AJZ1" s="25">
        <v>20</v>
      </c>
      <c r="AKA1" s="25">
        <v>20</v>
      </c>
      <c r="AKB1" s="25">
        <v>20</v>
      </c>
      <c r="AKC1" s="25">
        <v>20</v>
      </c>
      <c r="AKD1" s="25">
        <v>20</v>
      </c>
      <c r="AKE1" s="25">
        <v>20</v>
      </c>
      <c r="AKF1" s="25">
        <v>20</v>
      </c>
      <c r="AKG1" s="25">
        <v>20</v>
      </c>
      <c r="AKH1" s="25">
        <v>20</v>
      </c>
      <c r="AKI1" s="25">
        <v>20</v>
      </c>
      <c r="AKJ1" s="25">
        <v>20</v>
      </c>
      <c r="AKK1" s="25">
        <v>20</v>
      </c>
      <c r="AKL1" s="25">
        <v>20</v>
      </c>
      <c r="AKM1" s="25">
        <v>20</v>
      </c>
      <c r="AKN1" s="25">
        <v>20</v>
      </c>
      <c r="AKO1" s="25">
        <v>20</v>
      </c>
      <c r="AKP1" s="25">
        <v>20</v>
      </c>
      <c r="AKQ1" s="25">
        <v>20</v>
      </c>
      <c r="AKR1" s="25">
        <v>20</v>
      </c>
      <c r="AKS1" s="25">
        <v>20</v>
      </c>
      <c r="AKT1" s="25">
        <v>20</v>
      </c>
      <c r="AKU1" s="25">
        <v>20</v>
      </c>
      <c r="AKV1" s="25">
        <v>20</v>
      </c>
      <c r="AKW1" s="25">
        <v>20</v>
      </c>
      <c r="AKX1" s="25">
        <v>20</v>
      </c>
      <c r="AKY1" s="25">
        <v>20</v>
      </c>
      <c r="AKZ1" s="25">
        <v>20</v>
      </c>
      <c r="ALA1" s="25">
        <v>20</v>
      </c>
      <c r="ALB1" s="25">
        <v>20</v>
      </c>
      <c r="ALC1" s="25">
        <v>20</v>
      </c>
      <c r="ALD1" s="25">
        <v>20</v>
      </c>
      <c r="ALE1" s="25">
        <v>20</v>
      </c>
      <c r="ALF1" s="25">
        <v>20</v>
      </c>
      <c r="ALG1" s="25">
        <v>20</v>
      </c>
      <c r="ALH1" s="25">
        <v>20</v>
      </c>
      <c r="ALI1" s="25">
        <v>20</v>
      </c>
      <c r="ALJ1" s="25">
        <v>20</v>
      </c>
      <c r="ALK1" s="25">
        <v>20</v>
      </c>
      <c r="ALL1" s="25">
        <v>20</v>
      </c>
      <c r="ALM1" s="25">
        <v>20</v>
      </c>
      <c r="ALN1" s="25">
        <v>20</v>
      </c>
      <c r="ALO1" s="25">
        <v>20</v>
      </c>
      <c r="ALP1" s="25">
        <v>20</v>
      </c>
      <c r="ALQ1" s="25">
        <v>1</v>
      </c>
      <c r="ALR1" s="25">
        <v>2</v>
      </c>
      <c r="ALS1" s="25">
        <v>3</v>
      </c>
      <c r="ALT1" s="25">
        <v>4</v>
      </c>
      <c r="ALU1" s="25">
        <v>5</v>
      </c>
      <c r="ALV1" s="25">
        <v>6</v>
      </c>
      <c r="ALW1" s="25">
        <v>7</v>
      </c>
      <c r="ALX1" s="25">
        <v>8</v>
      </c>
      <c r="ALY1" s="25">
        <v>9</v>
      </c>
      <c r="ALZ1" s="25">
        <v>10</v>
      </c>
      <c r="AMA1" s="25">
        <v>11</v>
      </c>
      <c r="AMB1" s="25">
        <v>12</v>
      </c>
      <c r="AMC1" s="25">
        <v>13</v>
      </c>
      <c r="AMD1" s="25">
        <v>14</v>
      </c>
      <c r="AME1" s="25">
        <v>15</v>
      </c>
      <c r="AMF1" s="25">
        <v>16</v>
      </c>
      <c r="AMG1" s="25">
        <v>17</v>
      </c>
      <c r="AMH1" s="25">
        <v>18</v>
      </c>
      <c r="AMI1" s="25">
        <v>19</v>
      </c>
      <c r="AMJ1" s="25">
        <v>20</v>
      </c>
      <c r="AMK1" s="25">
        <v>1</v>
      </c>
      <c r="AML1" s="25">
        <v>2</v>
      </c>
      <c r="AMM1" s="25">
        <v>3</v>
      </c>
      <c r="AMN1" s="25">
        <v>4</v>
      </c>
      <c r="AMO1" s="25">
        <v>5</v>
      </c>
      <c r="AMP1" s="25">
        <v>6</v>
      </c>
      <c r="AMQ1" s="25">
        <v>7</v>
      </c>
      <c r="AMR1" s="25">
        <v>8</v>
      </c>
      <c r="AMS1" s="25">
        <v>9</v>
      </c>
      <c r="AMT1" s="25">
        <v>10</v>
      </c>
      <c r="AMU1" s="25">
        <v>11</v>
      </c>
      <c r="AMV1" s="25">
        <v>12</v>
      </c>
      <c r="AMW1" s="25">
        <v>13</v>
      </c>
      <c r="AMX1" s="25">
        <v>14</v>
      </c>
      <c r="AMY1" s="25">
        <v>15</v>
      </c>
      <c r="AMZ1" s="25">
        <v>16</v>
      </c>
      <c r="ANA1" s="25">
        <v>17</v>
      </c>
      <c r="ANB1" s="25">
        <v>18</v>
      </c>
      <c r="ANC1" s="25">
        <v>19</v>
      </c>
      <c r="AND1" s="25">
        <v>20</v>
      </c>
      <c r="ANE1" s="25">
        <v>1</v>
      </c>
      <c r="ANF1" s="25">
        <v>2</v>
      </c>
      <c r="ANG1" s="25">
        <v>3</v>
      </c>
      <c r="ANH1" s="25">
        <v>4</v>
      </c>
      <c r="ANI1" s="25">
        <v>5</v>
      </c>
      <c r="ANJ1" s="25">
        <v>6</v>
      </c>
      <c r="ANK1" s="25">
        <v>7</v>
      </c>
      <c r="ANL1" s="25">
        <v>8</v>
      </c>
      <c r="ANM1" s="25">
        <v>9</v>
      </c>
      <c r="ANN1" s="25">
        <v>10</v>
      </c>
      <c r="ANO1" s="25">
        <v>11</v>
      </c>
      <c r="ANP1" s="25">
        <v>12</v>
      </c>
      <c r="ANQ1" s="25">
        <v>13</v>
      </c>
      <c r="ANR1" s="25">
        <v>14</v>
      </c>
      <c r="ANS1" s="25">
        <v>15</v>
      </c>
      <c r="ANT1" s="25">
        <v>16</v>
      </c>
      <c r="ANU1" s="25">
        <v>17</v>
      </c>
      <c r="ANV1" s="25">
        <v>18</v>
      </c>
      <c r="ANW1" s="25">
        <v>19</v>
      </c>
      <c r="ANX1" s="25">
        <v>20</v>
      </c>
      <c r="ANY1" s="25">
        <v>1</v>
      </c>
      <c r="ANZ1" s="25">
        <v>2</v>
      </c>
      <c r="AOA1" s="25">
        <v>3</v>
      </c>
      <c r="AOB1" s="25">
        <v>4</v>
      </c>
      <c r="AOC1" s="25">
        <v>5</v>
      </c>
      <c r="AOD1" s="25">
        <v>6</v>
      </c>
      <c r="AOE1" s="25">
        <v>7</v>
      </c>
      <c r="AOF1" s="25">
        <v>8</v>
      </c>
      <c r="AOG1" s="25">
        <v>9</v>
      </c>
      <c r="AOH1" s="25">
        <v>10</v>
      </c>
      <c r="AOI1" s="25">
        <v>11</v>
      </c>
      <c r="AOJ1" s="25">
        <v>12</v>
      </c>
      <c r="AOK1" s="25">
        <v>13</v>
      </c>
      <c r="AOL1" s="25">
        <v>14</v>
      </c>
      <c r="AOM1" s="25">
        <v>15</v>
      </c>
      <c r="AON1" s="25">
        <v>16</v>
      </c>
      <c r="AOO1" s="25">
        <v>17</v>
      </c>
      <c r="AOP1" s="25">
        <v>18</v>
      </c>
      <c r="AOQ1" s="25">
        <v>19</v>
      </c>
      <c r="AOR1" s="25">
        <v>20</v>
      </c>
      <c r="AOS1" s="25">
        <v>1</v>
      </c>
      <c r="AOT1" s="25">
        <v>2</v>
      </c>
      <c r="AOU1" s="25">
        <v>3</v>
      </c>
      <c r="AOV1" s="25">
        <v>4</v>
      </c>
      <c r="AOW1" s="25">
        <v>5</v>
      </c>
      <c r="AOX1" s="25">
        <v>6</v>
      </c>
      <c r="AOY1" s="25">
        <v>7</v>
      </c>
      <c r="AOZ1" s="25">
        <v>8</v>
      </c>
      <c r="APA1" s="25">
        <v>9</v>
      </c>
      <c r="APB1" s="25">
        <v>10</v>
      </c>
      <c r="APC1" s="25">
        <v>11</v>
      </c>
      <c r="APD1" s="25">
        <v>12</v>
      </c>
      <c r="APE1" s="25">
        <v>13</v>
      </c>
      <c r="APF1" s="25">
        <v>14</v>
      </c>
      <c r="APG1" s="25">
        <v>15</v>
      </c>
      <c r="APH1" s="25">
        <v>16</v>
      </c>
      <c r="API1" s="25">
        <v>17</v>
      </c>
      <c r="APJ1" s="25">
        <v>18</v>
      </c>
      <c r="APK1" s="25">
        <v>19</v>
      </c>
      <c r="APL1" s="25">
        <v>20</v>
      </c>
      <c r="APM1" s="25">
        <v>1</v>
      </c>
      <c r="APN1" s="25">
        <v>2</v>
      </c>
      <c r="APO1" s="25">
        <v>3</v>
      </c>
      <c r="APP1" s="25">
        <v>4</v>
      </c>
      <c r="APQ1" s="25">
        <v>5</v>
      </c>
      <c r="APR1" s="25">
        <v>6</v>
      </c>
      <c r="APS1" s="25">
        <v>7</v>
      </c>
      <c r="APT1" s="25">
        <v>8</v>
      </c>
      <c r="APU1" s="25">
        <v>9</v>
      </c>
      <c r="APV1" s="25">
        <v>10</v>
      </c>
      <c r="APW1" s="25">
        <v>11</v>
      </c>
      <c r="APX1" s="25">
        <v>12</v>
      </c>
      <c r="APY1" s="25">
        <v>13</v>
      </c>
      <c r="APZ1" s="25">
        <v>14</v>
      </c>
      <c r="AQA1" s="25">
        <v>15</v>
      </c>
      <c r="AQB1" s="25">
        <v>16</v>
      </c>
      <c r="AQC1" s="25">
        <v>17</v>
      </c>
      <c r="AQD1" s="25">
        <v>18</v>
      </c>
      <c r="AQE1" s="25">
        <v>19</v>
      </c>
      <c r="AQF1" s="25">
        <v>20</v>
      </c>
      <c r="AQG1" s="25">
        <v>1</v>
      </c>
      <c r="AQH1" s="25">
        <v>2</v>
      </c>
      <c r="AQI1" s="25">
        <v>3</v>
      </c>
      <c r="AQJ1" s="25">
        <v>4</v>
      </c>
      <c r="AQK1" s="25">
        <v>5</v>
      </c>
      <c r="AQL1" s="25">
        <v>6</v>
      </c>
      <c r="AQM1" s="25">
        <v>7</v>
      </c>
      <c r="AQN1" s="25">
        <v>8</v>
      </c>
      <c r="AQO1" s="25">
        <v>9</v>
      </c>
      <c r="AQP1" s="25">
        <v>10</v>
      </c>
      <c r="AQQ1" s="25">
        <v>11</v>
      </c>
      <c r="AQR1" s="25">
        <v>12</v>
      </c>
      <c r="AQS1" s="25">
        <v>13</v>
      </c>
      <c r="AQT1" s="25">
        <v>14</v>
      </c>
      <c r="AQU1" s="25">
        <v>15</v>
      </c>
      <c r="AQV1" s="25">
        <v>16</v>
      </c>
      <c r="AQW1" s="25">
        <v>17</v>
      </c>
      <c r="AQX1" s="25">
        <v>18</v>
      </c>
      <c r="AQY1" s="25">
        <v>19</v>
      </c>
      <c r="AQZ1" s="25">
        <v>20</v>
      </c>
      <c r="ARA1" s="25">
        <v>1</v>
      </c>
      <c r="ARB1" s="25">
        <v>2</v>
      </c>
      <c r="ARC1" s="25">
        <v>3</v>
      </c>
      <c r="ARD1" s="25">
        <v>4</v>
      </c>
      <c r="ARE1" s="25">
        <v>5</v>
      </c>
      <c r="ARF1" s="25">
        <v>6</v>
      </c>
      <c r="ARG1" s="25">
        <v>7</v>
      </c>
      <c r="ARH1" s="25">
        <v>8</v>
      </c>
      <c r="ARI1" s="25">
        <v>9</v>
      </c>
      <c r="ARJ1" s="25">
        <v>10</v>
      </c>
      <c r="ARK1" s="25">
        <v>11</v>
      </c>
      <c r="ARL1" s="25">
        <v>12</v>
      </c>
      <c r="ARM1" s="25">
        <v>13</v>
      </c>
      <c r="ARN1" s="25">
        <v>14</v>
      </c>
      <c r="ARO1" s="25">
        <v>15</v>
      </c>
      <c r="ARP1" s="25">
        <v>16</v>
      </c>
      <c r="ARQ1" s="25">
        <v>17</v>
      </c>
      <c r="ARR1" s="25">
        <v>18</v>
      </c>
      <c r="ARS1" s="25">
        <v>19</v>
      </c>
      <c r="ART1" s="25">
        <v>20</v>
      </c>
      <c r="ARU1" s="25">
        <v>1</v>
      </c>
      <c r="ARV1" s="25">
        <v>2</v>
      </c>
      <c r="ARW1" s="25">
        <v>3</v>
      </c>
      <c r="ARX1" s="25">
        <v>4</v>
      </c>
      <c r="ARY1" s="25">
        <v>5</v>
      </c>
      <c r="ARZ1" s="25">
        <v>6</v>
      </c>
      <c r="ASA1" s="25">
        <v>7</v>
      </c>
      <c r="ASB1" s="25">
        <v>8</v>
      </c>
      <c r="ASC1" s="25">
        <v>9</v>
      </c>
      <c r="ASD1" s="25">
        <v>10</v>
      </c>
      <c r="ASE1" s="25">
        <v>11</v>
      </c>
      <c r="ASF1" s="25">
        <v>12</v>
      </c>
      <c r="ASG1" s="25">
        <v>13</v>
      </c>
      <c r="ASH1" s="25">
        <v>14</v>
      </c>
      <c r="ASI1" s="25">
        <v>15</v>
      </c>
      <c r="ASJ1" s="25">
        <v>16</v>
      </c>
      <c r="ASK1" s="25">
        <v>17</v>
      </c>
      <c r="ASL1" s="25">
        <v>18</v>
      </c>
      <c r="ASM1" s="25">
        <v>19</v>
      </c>
      <c r="ASN1" s="25">
        <v>20</v>
      </c>
      <c r="ASO1" s="25">
        <v>1</v>
      </c>
      <c r="ASP1" s="25">
        <v>2</v>
      </c>
      <c r="ASQ1" s="25">
        <v>3</v>
      </c>
      <c r="ASR1" s="25">
        <v>4</v>
      </c>
      <c r="ASS1" s="25">
        <v>5</v>
      </c>
      <c r="AST1" s="25">
        <v>6</v>
      </c>
      <c r="ASU1" s="25">
        <v>7</v>
      </c>
      <c r="ASV1" s="25">
        <v>8</v>
      </c>
      <c r="ASW1" s="25">
        <v>9</v>
      </c>
      <c r="ASX1" s="25">
        <v>10</v>
      </c>
      <c r="ASY1" s="25">
        <v>11</v>
      </c>
      <c r="ASZ1" s="25">
        <v>12</v>
      </c>
      <c r="ATA1" s="25">
        <v>13</v>
      </c>
      <c r="ATB1" s="25">
        <v>14</v>
      </c>
      <c r="ATC1" s="25">
        <v>15</v>
      </c>
      <c r="ATD1" s="25">
        <v>16</v>
      </c>
      <c r="ATE1" s="25">
        <v>17</v>
      </c>
      <c r="ATF1" s="25">
        <v>18</v>
      </c>
      <c r="ATG1" s="25">
        <v>19</v>
      </c>
      <c r="ATH1" s="25">
        <v>20</v>
      </c>
    </row>
    <row r="2" spans="1:1204" s="33" customFormat="1" hidden="1" x14ac:dyDescent="0.2">
      <c r="A2" s="33" t="s">
        <v>37</v>
      </c>
      <c r="B2" s="33" t="s">
        <v>66</v>
      </c>
      <c r="C2" s="33" t="s">
        <v>38</v>
      </c>
      <c r="D2" s="33" t="s">
        <v>39</v>
      </c>
      <c r="E2" s="33" t="s">
        <v>40</v>
      </c>
      <c r="F2" s="33" t="s">
        <v>41</v>
      </c>
      <c r="G2" s="33" t="s">
        <v>42</v>
      </c>
      <c r="H2" s="33" t="s">
        <v>43</v>
      </c>
      <c r="I2" s="33" t="s">
        <v>67</v>
      </c>
      <c r="J2" s="33" t="s">
        <v>44</v>
      </c>
      <c r="K2" s="33" t="s">
        <v>45</v>
      </c>
      <c r="L2" s="33" t="s">
        <v>46</v>
      </c>
      <c r="M2" s="33" t="s">
        <v>47</v>
      </c>
      <c r="N2" s="33" t="s">
        <v>76</v>
      </c>
      <c r="O2" s="33" t="s">
        <v>48</v>
      </c>
      <c r="P2" s="33" t="s">
        <v>49</v>
      </c>
      <c r="Q2" s="33" t="s">
        <v>50</v>
      </c>
      <c r="R2" s="33" t="s">
        <v>51</v>
      </c>
      <c r="S2" s="33" t="s">
        <v>77</v>
      </c>
      <c r="T2" s="33" t="s">
        <v>52</v>
      </c>
      <c r="U2" s="33" t="s">
        <v>53</v>
      </c>
      <c r="V2" s="33" t="s">
        <v>54</v>
      </c>
      <c r="W2" s="33" t="s">
        <v>55</v>
      </c>
      <c r="X2" s="33" t="s">
        <v>1303</v>
      </c>
      <c r="Y2" s="33" t="s">
        <v>56</v>
      </c>
      <c r="Z2" s="33" t="s">
        <v>57</v>
      </c>
      <c r="AA2" s="33" t="s">
        <v>58</v>
      </c>
      <c r="AB2" s="33" t="s">
        <v>59</v>
      </c>
      <c r="AC2" s="33" t="s">
        <v>1304</v>
      </c>
      <c r="AD2" s="33" t="s">
        <v>1305</v>
      </c>
      <c r="AE2" s="33" t="s">
        <v>1306</v>
      </c>
      <c r="AF2" s="33" t="s">
        <v>1307</v>
      </c>
      <c r="AG2" s="33" t="s">
        <v>1308</v>
      </c>
      <c r="AH2" s="33" t="s">
        <v>1309</v>
      </c>
      <c r="AI2" s="33" t="s">
        <v>1310</v>
      </c>
      <c r="AJ2" s="33" t="s">
        <v>1311</v>
      </c>
      <c r="AK2" s="33" t="s">
        <v>1312</v>
      </c>
      <c r="AL2" s="33" t="s">
        <v>1313</v>
      </c>
      <c r="AM2" s="33" t="s">
        <v>1314</v>
      </c>
      <c r="AN2" s="33" t="s">
        <v>1315</v>
      </c>
      <c r="AO2" s="33" t="s">
        <v>1316</v>
      </c>
      <c r="AP2" s="33" t="s">
        <v>1317</v>
      </c>
      <c r="AQ2" s="33" t="s">
        <v>1318</v>
      </c>
      <c r="AR2" s="33" t="s">
        <v>1319</v>
      </c>
      <c r="AS2" s="33" t="s">
        <v>1320</v>
      </c>
      <c r="AT2" s="33" t="s">
        <v>1321</v>
      </c>
      <c r="AU2" s="33" t="s">
        <v>1322</v>
      </c>
      <c r="AV2" s="33" t="s">
        <v>1323</v>
      </c>
      <c r="AW2" s="33" t="s">
        <v>1324</v>
      </c>
      <c r="AX2" s="33" t="s">
        <v>1325</v>
      </c>
      <c r="AY2" s="33" t="s">
        <v>1326</v>
      </c>
      <c r="AZ2" s="33" t="s">
        <v>1327</v>
      </c>
      <c r="BA2" s="33" t="s">
        <v>1328</v>
      </c>
      <c r="BB2" s="33" t="s">
        <v>1329</v>
      </c>
      <c r="BC2" s="33" t="s">
        <v>40</v>
      </c>
      <c r="BD2" s="33" t="s">
        <v>41</v>
      </c>
      <c r="BE2" s="33" t="s">
        <v>42</v>
      </c>
      <c r="BF2" s="33" t="s">
        <v>43</v>
      </c>
      <c r="BG2" s="33" t="s">
        <v>67</v>
      </c>
      <c r="BH2" s="33" t="s">
        <v>44</v>
      </c>
      <c r="BI2" s="33" t="s">
        <v>45</v>
      </c>
      <c r="BJ2" s="33" t="s">
        <v>46</v>
      </c>
      <c r="BK2" s="33" t="s">
        <v>47</v>
      </c>
      <c r="BL2" s="33" t="s">
        <v>76</v>
      </c>
      <c r="BM2" s="33" t="s">
        <v>48</v>
      </c>
      <c r="BN2" s="33" t="s">
        <v>49</v>
      </c>
      <c r="BO2" s="33" t="s">
        <v>50</v>
      </c>
      <c r="BP2" s="33" t="s">
        <v>51</v>
      </c>
      <c r="BQ2" s="33" t="s">
        <v>77</v>
      </c>
      <c r="BR2" s="33" t="s">
        <v>52</v>
      </c>
      <c r="BS2" s="33" t="s">
        <v>53</v>
      </c>
      <c r="BT2" s="33" t="s">
        <v>54</v>
      </c>
      <c r="BU2" s="33" t="s">
        <v>55</v>
      </c>
      <c r="BV2" s="33" t="s">
        <v>1303</v>
      </c>
      <c r="BW2" s="33" t="s">
        <v>56</v>
      </c>
      <c r="BX2" s="33" t="s">
        <v>57</v>
      </c>
      <c r="BY2" s="33" t="s">
        <v>58</v>
      </c>
      <c r="BZ2" s="33" t="s">
        <v>59</v>
      </c>
      <c r="CA2" s="33" t="s">
        <v>1304</v>
      </c>
      <c r="CB2" s="33" t="s">
        <v>1305</v>
      </c>
      <c r="CC2" s="33" t="s">
        <v>1306</v>
      </c>
      <c r="CD2" s="33" t="s">
        <v>1307</v>
      </c>
      <c r="CE2" s="33" t="s">
        <v>1308</v>
      </c>
      <c r="CF2" s="33" t="s">
        <v>1309</v>
      </c>
      <c r="CG2" s="33" t="s">
        <v>1310</v>
      </c>
      <c r="CH2" s="33" t="s">
        <v>1311</v>
      </c>
      <c r="CI2" s="33" t="s">
        <v>1312</v>
      </c>
      <c r="CJ2" s="33" t="s">
        <v>1313</v>
      </c>
      <c r="CK2" s="33" t="s">
        <v>1314</v>
      </c>
      <c r="CL2" s="33" t="s">
        <v>1315</v>
      </c>
      <c r="CM2" s="33" t="s">
        <v>1316</v>
      </c>
      <c r="CN2" s="33" t="s">
        <v>1317</v>
      </c>
      <c r="CO2" s="33" t="s">
        <v>1318</v>
      </c>
      <c r="CP2" s="33" t="s">
        <v>1319</v>
      </c>
      <c r="CQ2" s="33" t="s">
        <v>1320</v>
      </c>
      <c r="CR2" s="33" t="s">
        <v>1321</v>
      </c>
      <c r="CS2" s="33" t="s">
        <v>1322</v>
      </c>
      <c r="CT2" s="33" t="s">
        <v>1323</v>
      </c>
      <c r="CU2" s="33" t="s">
        <v>1324</v>
      </c>
      <c r="CV2" s="33" t="s">
        <v>1325</v>
      </c>
      <c r="CW2" s="33" t="s">
        <v>1326</v>
      </c>
      <c r="CX2" s="33" t="s">
        <v>1327</v>
      </c>
      <c r="CY2" s="33" t="s">
        <v>1328</v>
      </c>
      <c r="CZ2" s="33" t="s">
        <v>1329</v>
      </c>
      <c r="DA2" s="33" t="s">
        <v>40</v>
      </c>
      <c r="DB2" s="33" t="s">
        <v>41</v>
      </c>
      <c r="DC2" s="33" t="s">
        <v>42</v>
      </c>
      <c r="DD2" s="33" t="s">
        <v>43</v>
      </c>
      <c r="DE2" s="33" t="s">
        <v>67</v>
      </c>
      <c r="DF2" s="33" t="s">
        <v>44</v>
      </c>
      <c r="DG2" s="33" t="s">
        <v>45</v>
      </c>
      <c r="DH2" s="33" t="s">
        <v>46</v>
      </c>
      <c r="DI2" s="33" t="s">
        <v>47</v>
      </c>
      <c r="DJ2" s="33" t="s">
        <v>76</v>
      </c>
      <c r="DK2" s="33" t="s">
        <v>48</v>
      </c>
      <c r="DL2" s="33" t="s">
        <v>49</v>
      </c>
      <c r="DM2" s="33" t="s">
        <v>50</v>
      </c>
      <c r="DN2" s="33" t="s">
        <v>51</v>
      </c>
      <c r="DO2" s="33" t="s">
        <v>77</v>
      </c>
      <c r="DP2" s="33" t="s">
        <v>52</v>
      </c>
      <c r="DQ2" s="33" t="s">
        <v>53</v>
      </c>
      <c r="DR2" s="33" t="s">
        <v>54</v>
      </c>
      <c r="DS2" s="33" t="s">
        <v>55</v>
      </c>
      <c r="DT2" s="33" t="s">
        <v>1303</v>
      </c>
      <c r="DU2" s="33" t="s">
        <v>56</v>
      </c>
      <c r="DV2" s="33" t="s">
        <v>57</v>
      </c>
      <c r="DW2" s="33" t="s">
        <v>58</v>
      </c>
      <c r="DX2" s="33" t="s">
        <v>59</v>
      </c>
      <c r="DY2" s="33" t="s">
        <v>1304</v>
      </c>
      <c r="DZ2" s="33" t="s">
        <v>1305</v>
      </c>
      <c r="EA2" s="33" t="s">
        <v>1306</v>
      </c>
      <c r="EB2" s="33" t="s">
        <v>1307</v>
      </c>
      <c r="EC2" s="33" t="s">
        <v>1308</v>
      </c>
      <c r="ED2" s="33" t="s">
        <v>1309</v>
      </c>
      <c r="EE2" s="33" t="s">
        <v>1310</v>
      </c>
      <c r="EF2" s="33" t="s">
        <v>1311</v>
      </c>
      <c r="EG2" s="33" t="s">
        <v>1312</v>
      </c>
      <c r="EH2" s="33" t="s">
        <v>1313</v>
      </c>
      <c r="EI2" s="33" t="s">
        <v>1314</v>
      </c>
      <c r="EJ2" s="33" t="s">
        <v>1315</v>
      </c>
      <c r="EK2" s="33" t="s">
        <v>1316</v>
      </c>
      <c r="EL2" s="33" t="s">
        <v>1317</v>
      </c>
      <c r="EM2" s="33" t="s">
        <v>1318</v>
      </c>
      <c r="EN2" s="33" t="s">
        <v>1319</v>
      </c>
      <c r="EO2" s="33" t="s">
        <v>1320</v>
      </c>
      <c r="EP2" s="33" t="s">
        <v>1321</v>
      </c>
      <c r="EQ2" s="33" t="s">
        <v>1322</v>
      </c>
      <c r="ER2" s="33" t="s">
        <v>1323</v>
      </c>
      <c r="ES2" s="33" t="s">
        <v>1324</v>
      </c>
      <c r="ET2" s="33" t="s">
        <v>1325</v>
      </c>
      <c r="EU2" s="33" t="s">
        <v>1326</v>
      </c>
      <c r="EV2" s="33" t="s">
        <v>1327</v>
      </c>
      <c r="EW2" s="33" t="s">
        <v>1328</v>
      </c>
      <c r="EX2" s="33" t="s">
        <v>1329</v>
      </c>
      <c r="EY2" s="33" t="s">
        <v>40</v>
      </c>
      <c r="EZ2" s="33" t="s">
        <v>41</v>
      </c>
      <c r="FA2" s="33" t="s">
        <v>42</v>
      </c>
      <c r="FB2" s="33" t="s">
        <v>43</v>
      </c>
      <c r="FC2" s="33" t="s">
        <v>67</v>
      </c>
      <c r="FD2" s="33" t="s">
        <v>44</v>
      </c>
      <c r="FE2" s="33" t="s">
        <v>45</v>
      </c>
      <c r="FF2" s="33" t="s">
        <v>46</v>
      </c>
      <c r="FG2" s="33" t="s">
        <v>47</v>
      </c>
      <c r="FH2" s="33" t="s">
        <v>76</v>
      </c>
      <c r="FI2" s="33" t="s">
        <v>48</v>
      </c>
      <c r="FJ2" s="33" t="s">
        <v>49</v>
      </c>
      <c r="FK2" s="33" t="s">
        <v>50</v>
      </c>
      <c r="FL2" s="33" t="s">
        <v>51</v>
      </c>
      <c r="FM2" s="33" t="s">
        <v>77</v>
      </c>
      <c r="FN2" s="33" t="s">
        <v>52</v>
      </c>
      <c r="FO2" s="33" t="s">
        <v>53</v>
      </c>
      <c r="FP2" s="33" t="s">
        <v>54</v>
      </c>
      <c r="FQ2" s="33" t="s">
        <v>55</v>
      </c>
      <c r="FR2" s="33" t="s">
        <v>1303</v>
      </c>
      <c r="FS2" s="33" t="s">
        <v>56</v>
      </c>
      <c r="FT2" s="33" t="s">
        <v>57</v>
      </c>
      <c r="FU2" s="33" t="s">
        <v>58</v>
      </c>
      <c r="FV2" s="33" t="s">
        <v>59</v>
      </c>
      <c r="FW2" s="33" t="s">
        <v>1304</v>
      </c>
      <c r="FX2" s="33" t="s">
        <v>1305</v>
      </c>
      <c r="FY2" s="33" t="s">
        <v>1306</v>
      </c>
      <c r="FZ2" s="33" t="s">
        <v>1307</v>
      </c>
      <c r="GA2" s="33" t="s">
        <v>1308</v>
      </c>
      <c r="GB2" s="33" t="s">
        <v>1309</v>
      </c>
      <c r="GC2" s="33" t="s">
        <v>1310</v>
      </c>
      <c r="GD2" s="33" t="s">
        <v>1311</v>
      </c>
      <c r="GE2" s="33" t="s">
        <v>1312</v>
      </c>
      <c r="GF2" s="33" t="s">
        <v>1313</v>
      </c>
      <c r="GG2" s="33" t="s">
        <v>1314</v>
      </c>
      <c r="GH2" s="33" t="s">
        <v>1315</v>
      </c>
      <c r="GI2" s="33" t="s">
        <v>1316</v>
      </c>
      <c r="GJ2" s="33" t="s">
        <v>1317</v>
      </c>
      <c r="GK2" s="33" t="s">
        <v>1318</v>
      </c>
      <c r="GL2" s="33" t="s">
        <v>1319</v>
      </c>
      <c r="GM2" s="33" t="s">
        <v>1320</v>
      </c>
      <c r="GN2" s="33" t="s">
        <v>1321</v>
      </c>
      <c r="GO2" s="33" t="s">
        <v>1322</v>
      </c>
      <c r="GP2" s="33" t="s">
        <v>1323</v>
      </c>
      <c r="GQ2" s="33" t="s">
        <v>1324</v>
      </c>
      <c r="GR2" s="33" t="s">
        <v>1325</v>
      </c>
      <c r="GS2" s="33" t="s">
        <v>1326</v>
      </c>
      <c r="GT2" s="33" t="s">
        <v>1327</v>
      </c>
      <c r="GU2" s="33" t="s">
        <v>1328</v>
      </c>
      <c r="GV2" s="33" t="s">
        <v>1329</v>
      </c>
      <c r="GW2" s="33" t="s">
        <v>40</v>
      </c>
      <c r="GX2" s="33" t="s">
        <v>41</v>
      </c>
      <c r="GY2" s="33" t="s">
        <v>42</v>
      </c>
      <c r="GZ2" s="33" t="s">
        <v>43</v>
      </c>
      <c r="HA2" s="33" t="s">
        <v>67</v>
      </c>
      <c r="HB2" s="33" t="s">
        <v>44</v>
      </c>
      <c r="HC2" s="33" t="s">
        <v>45</v>
      </c>
      <c r="HD2" s="33" t="s">
        <v>46</v>
      </c>
      <c r="HE2" s="33" t="s">
        <v>47</v>
      </c>
      <c r="HF2" s="33" t="s">
        <v>76</v>
      </c>
      <c r="HG2" s="33" t="s">
        <v>48</v>
      </c>
      <c r="HH2" s="33" t="s">
        <v>49</v>
      </c>
      <c r="HI2" s="33" t="s">
        <v>50</v>
      </c>
      <c r="HJ2" s="33" t="s">
        <v>51</v>
      </c>
      <c r="HK2" s="33" t="s">
        <v>77</v>
      </c>
      <c r="HL2" s="33" t="s">
        <v>52</v>
      </c>
      <c r="HM2" s="33" t="s">
        <v>53</v>
      </c>
      <c r="HN2" s="33" t="s">
        <v>54</v>
      </c>
      <c r="HO2" s="33" t="s">
        <v>55</v>
      </c>
      <c r="HP2" s="33" t="s">
        <v>1303</v>
      </c>
      <c r="HQ2" s="33" t="s">
        <v>56</v>
      </c>
      <c r="HR2" s="33" t="s">
        <v>57</v>
      </c>
      <c r="HS2" s="33" t="s">
        <v>58</v>
      </c>
      <c r="HT2" s="33" t="s">
        <v>59</v>
      </c>
      <c r="HU2" s="33" t="s">
        <v>1304</v>
      </c>
      <c r="HV2" s="33" t="s">
        <v>1305</v>
      </c>
      <c r="HW2" s="33" t="s">
        <v>1306</v>
      </c>
      <c r="HX2" s="33" t="s">
        <v>1307</v>
      </c>
      <c r="HY2" s="33" t="s">
        <v>1308</v>
      </c>
      <c r="HZ2" s="33" t="s">
        <v>1309</v>
      </c>
      <c r="IA2" s="33" t="s">
        <v>1310</v>
      </c>
      <c r="IB2" s="33" t="s">
        <v>1311</v>
      </c>
      <c r="IC2" s="33" t="s">
        <v>1312</v>
      </c>
      <c r="ID2" s="33" t="s">
        <v>1313</v>
      </c>
      <c r="IE2" s="33" t="s">
        <v>1314</v>
      </c>
      <c r="IF2" s="33" t="s">
        <v>1315</v>
      </c>
      <c r="IG2" s="33" t="s">
        <v>1316</v>
      </c>
      <c r="IH2" s="33" t="s">
        <v>1317</v>
      </c>
      <c r="II2" s="33" t="s">
        <v>1318</v>
      </c>
      <c r="IJ2" s="33" t="s">
        <v>1319</v>
      </c>
      <c r="IK2" s="33" t="s">
        <v>1320</v>
      </c>
      <c r="IL2" s="33" t="s">
        <v>1321</v>
      </c>
      <c r="IM2" s="33" t="s">
        <v>1322</v>
      </c>
      <c r="IN2" s="33" t="s">
        <v>1323</v>
      </c>
      <c r="IO2" s="33" t="s">
        <v>1324</v>
      </c>
      <c r="IP2" s="33" t="s">
        <v>1325</v>
      </c>
      <c r="IQ2" s="33" t="s">
        <v>1326</v>
      </c>
      <c r="IR2" s="33" t="s">
        <v>1327</v>
      </c>
      <c r="IS2" s="33" t="s">
        <v>1328</v>
      </c>
      <c r="IT2" s="33" t="s">
        <v>1329</v>
      </c>
      <c r="IU2" s="33" t="s">
        <v>40</v>
      </c>
      <c r="IV2" s="33" t="s">
        <v>41</v>
      </c>
      <c r="IW2" s="33" t="s">
        <v>42</v>
      </c>
      <c r="IX2" s="33" t="s">
        <v>43</v>
      </c>
      <c r="IY2" s="33" t="s">
        <v>67</v>
      </c>
      <c r="IZ2" s="33" t="s">
        <v>44</v>
      </c>
      <c r="JA2" s="33" t="s">
        <v>45</v>
      </c>
      <c r="JB2" s="33" t="s">
        <v>46</v>
      </c>
      <c r="JC2" s="33" t="s">
        <v>47</v>
      </c>
      <c r="JD2" s="33" t="s">
        <v>76</v>
      </c>
      <c r="JE2" s="33" t="s">
        <v>48</v>
      </c>
      <c r="JF2" s="33" t="s">
        <v>49</v>
      </c>
      <c r="JG2" s="33" t="s">
        <v>50</v>
      </c>
      <c r="JH2" s="33" t="s">
        <v>51</v>
      </c>
      <c r="JI2" s="33" t="s">
        <v>77</v>
      </c>
      <c r="JJ2" s="33" t="s">
        <v>52</v>
      </c>
      <c r="JK2" s="33" t="s">
        <v>53</v>
      </c>
      <c r="JL2" s="33" t="s">
        <v>54</v>
      </c>
      <c r="JM2" s="33" t="s">
        <v>55</v>
      </c>
      <c r="JN2" s="33" t="s">
        <v>1303</v>
      </c>
      <c r="JO2" s="33" t="s">
        <v>56</v>
      </c>
      <c r="JP2" s="33" t="s">
        <v>57</v>
      </c>
      <c r="JQ2" s="33" t="s">
        <v>58</v>
      </c>
      <c r="JR2" s="33" t="s">
        <v>59</v>
      </c>
      <c r="JS2" s="33" t="s">
        <v>1304</v>
      </c>
      <c r="JT2" s="33" t="s">
        <v>1305</v>
      </c>
      <c r="JU2" s="33" t="s">
        <v>1306</v>
      </c>
      <c r="JV2" s="33" t="s">
        <v>1307</v>
      </c>
      <c r="JW2" s="33" t="s">
        <v>1308</v>
      </c>
      <c r="JX2" s="33" t="s">
        <v>1309</v>
      </c>
      <c r="JY2" s="33" t="s">
        <v>1310</v>
      </c>
      <c r="JZ2" s="33" t="s">
        <v>1311</v>
      </c>
      <c r="KA2" s="33" t="s">
        <v>1312</v>
      </c>
      <c r="KB2" s="33" t="s">
        <v>1313</v>
      </c>
      <c r="KC2" s="33" t="s">
        <v>1314</v>
      </c>
      <c r="KD2" s="33" t="s">
        <v>1315</v>
      </c>
      <c r="KE2" s="33" t="s">
        <v>1316</v>
      </c>
      <c r="KF2" s="33" t="s">
        <v>1317</v>
      </c>
      <c r="KG2" s="33" t="s">
        <v>1318</v>
      </c>
      <c r="KH2" s="33" t="s">
        <v>1319</v>
      </c>
      <c r="KI2" s="33" t="s">
        <v>1320</v>
      </c>
      <c r="KJ2" s="33" t="s">
        <v>1321</v>
      </c>
      <c r="KK2" s="33" t="s">
        <v>1322</v>
      </c>
      <c r="KL2" s="33" t="s">
        <v>1323</v>
      </c>
      <c r="KM2" s="33" t="s">
        <v>1324</v>
      </c>
      <c r="KN2" s="33" t="s">
        <v>1325</v>
      </c>
      <c r="KO2" s="33" t="s">
        <v>1326</v>
      </c>
      <c r="KP2" s="33" t="s">
        <v>1327</v>
      </c>
      <c r="KQ2" s="33" t="s">
        <v>1328</v>
      </c>
      <c r="KR2" s="33" t="s">
        <v>1329</v>
      </c>
      <c r="KS2" s="33" t="s">
        <v>40</v>
      </c>
      <c r="KT2" s="33" t="s">
        <v>41</v>
      </c>
      <c r="KU2" s="33" t="s">
        <v>42</v>
      </c>
      <c r="KV2" s="33" t="s">
        <v>43</v>
      </c>
      <c r="KW2" s="33" t="s">
        <v>67</v>
      </c>
      <c r="KX2" s="33" t="s">
        <v>44</v>
      </c>
      <c r="KY2" s="33" t="s">
        <v>45</v>
      </c>
      <c r="KZ2" s="33" t="s">
        <v>46</v>
      </c>
      <c r="LA2" s="33" t="s">
        <v>47</v>
      </c>
      <c r="LB2" s="33" t="s">
        <v>76</v>
      </c>
      <c r="LC2" s="33" t="s">
        <v>48</v>
      </c>
      <c r="LD2" s="33" t="s">
        <v>49</v>
      </c>
      <c r="LE2" s="33" t="s">
        <v>50</v>
      </c>
      <c r="LF2" s="33" t="s">
        <v>51</v>
      </c>
      <c r="LG2" s="33" t="s">
        <v>77</v>
      </c>
      <c r="LH2" s="33" t="s">
        <v>52</v>
      </c>
      <c r="LI2" s="33" t="s">
        <v>53</v>
      </c>
      <c r="LJ2" s="33" t="s">
        <v>54</v>
      </c>
      <c r="LK2" s="33" t="s">
        <v>55</v>
      </c>
      <c r="LL2" s="33" t="s">
        <v>1303</v>
      </c>
      <c r="LM2" s="33" t="s">
        <v>56</v>
      </c>
      <c r="LN2" s="33" t="s">
        <v>57</v>
      </c>
      <c r="LO2" s="33" t="s">
        <v>58</v>
      </c>
      <c r="LP2" s="33" t="s">
        <v>59</v>
      </c>
      <c r="LQ2" s="33" t="s">
        <v>1304</v>
      </c>
      <c r="LR2" s="33" t="s">
        <v>1305</v>
      </c>
      <c r="LS2" s="33" t="s">
        <v>1306</v>
      </c>
      <c r="LT2" s="33" t="s">
        <v>1307</v>
      </c>
      <c r="LU2" s="33" t="s">
        <v>1308</v>
      </c>
      <c r="LV2" s="33" t="s">
        <v>1309</v>
      </c>
      <c r="LW2" s="33" t="s">
        <v>1310</v>
      </c>
      <c r="LX2" s="33" t="s">
        <v>1311</v>
      </c>
      <c r="LY2" s="33" t="s">
        <v>1312</v>
      </c>
      <c r="LZ2" s="33" t="s">
        <v>1313</v>
      </c>
      <c r="MA2" s="33" t="s">
        <v>1314</v>
      </c>
      <c r="MB2" s="33" t="s">
        <v>1315</v>
      </c>
      <c r="MC2" s="33" t="s">
        <v>1316</v>
      </c>
      <c r="MD2" s="33" t="s">
        <v>1317</v>
      </c>
      <c r="ME2" s="33" t="s">
        <v>1318</v>
      </c>
      <c r="MF2" s="33" t="s">
        <v>1319</v>
      </c>
      <c r="MG2" s="33" t="s">
        <v>1320</v>
      </c>
      <c r="MH2" s="33" t="s">
        <v>1321</v>
      </c>
      <c r="MI2" s="33" t="s">
        <v>1322</v>
      </c>
      <c r="MJ2" s="33" t="s">
        <v>1323</v>
      </c>
      <c r="MK2" s="33" t="s">
        <v>1324</v>
      </c>
      <c r="ML2" s="33" t="s">
        <v>1325</v>
      </c>
      <c r="MM2" s="33" t="s">
        <v>1326</v>
      </c>
      <c r="MN2" s="33" t="s">
        <v>1327</v>
      </c>
      <c r="MO2" s="33" t="s">
        <v>1328</v>
      </c>
      <c r="MP2" s="33" t="s">
        <v>1329</v>
      </c>
      <c r="MQ2" s="33" t="s">
        <v>40</v>
      </c>
      <c r="MR2" s="33" t="s">
        <v>41</v>
      </c>
      <c r="MS2" s="33" t="s">
        <v>42</v>
      </c>
      <c r="MT2" s="33" t="s">
        <v>43</v>
      </c>
      <c r="MU2" s="33" t="s">
        <v>67</v>
      </c>
      <c r="MV2" s="33" t="s">
        <v>44</v>
      </c>
      <c r="MW2" s="33" t="s">
        <v>45</v>
      </c>
      <c r="MX2" s="33" t="s">
        <v>46</v>
      </c>
      <c r="MY2" s="33" t="s">
        <v>47</v>
      </c>
      <c r="MZ2" s="33" t="s">
        <v>76</v>
      </c>
      <c r="NA2" s="33" t="s">
        <v>48</v>
      </c>
      <c r="NB2" s="33" t="s">
        <v>49</v>
      </c>
      <c r="NC2" s="33" t="s">
        <v>50</v>
      </c>
      <c r="ND2" s="33" t="s">
        <v>51</v>
      </c>
      <c r="NE2" s="33" t="s">
        <v>77</v>
      </c>
      <c r="NF2" s="33" t="s">
        <v>52</v>
      </c>
      <c r="NG2" s="33" t="s">
        <v>53</v>
      </c>
      <c r="NH2" s="33" t="s">
        <v>54</v>
      </c>
      <c r="NI2" s="33" t="s">
        <v>55</v>
      </c>
      <c r="NJ2" s="33" t="s">
        <v>1303</v>
      </c>
      <c r="NK2" s="33" t="s">
        <v>56</v>
      </c>
      <c r="NL2" s="33" t="s">
        <v>57</v>
      </c>
      <c r="NM2" s="33" t="s">
        <v>58</v>
      </c>
      <c r="NN2" s="33" t="s">
        <v>59</v>
      </c>
      <c r="NO2" s="33" t="s">
        <v>1304</v>
      </c>
      <c r="NP2" s="33" t="s">
        <v>1305</v>
      </c>
      <c r="NQ2" s="33" t="s">
        <v>1306</v>
      </c>
      <c r="NR2" s="33" t="s">
        <v>1307</v>
      </c>
      <c r="NS2" s="33" t="s">
        <v>1308</v>
      </c>
      <c r="NT2" s="33" t="s">
        <v>1309</v>
      </c>
      <c r="NU2" s="33" t="s">
        <v>1310</v>
      </c>
      <c r="NV2" s="33" t="s">
        <v>1311</v>
      </c>
      <c r="NW2" s="33" t="s">
        <v>1312</v>
      </c>
      <c r="NX2" s="33" t="s">
        <v>1313</v>
      </c>
      <c r="NY2" s="33" t="s">
        <v>1314</v>
      </c>
      <c r="NZ2" s="33" t="s">
        <v>1315</v>
      </c>
      <c r="OA2" s="33" t="s">
        <v>1316</v>
      </c>
      <c r="OB2" s="33" t="s">
        <v>1317</v>
      </c>
      <c r="OC2" s="33" t="s">
        <v>1318</v>
      </c>
      <c r="OD2" s="33" t="s">
        <v>1319</v>
      </c>
      <c r="OE2" s="33" t="s">
        <v>1320</v>
      </c>
      <c r="OF2" s="33" t="s">
        <v>1321</v>
      </c>
      <c r="OG2" s="33" t="s">
        <v>1322</v>
      </c>
      <c r="OH2" s="33" t="s">
        <v>1323</v>
      </c>
      <c r="OI2" s="33" t="s">
        <v>1324</v>
      </c>
      <c r="OJ2" s="33" t="s">
        <v>1325</v>
      </c>
      <c r="OK2" s="33" t="s">
        <v>1326</v>
      </c>
      <c r="OL2" s="33" t="s">
        <v>1327</v>
      </c>
      <c r="OM2" s="33" t="s">
        <v>1328</v>
      </c>
      <c r="ON2" s="33" t="s">
        <v>1329</v>
      </c>
      <c r="OO2" s="33" t="s">
        <v>40</v>
      </c>
      <c r="OP2" s="33" t="s">
        <v>41</v>
      </c>
      <c r="OQ2" s="33" t="s">
        <v>42</v>
      </c>
      <c r="OR2" s="33" t="s">
        <v>43</v>
      </c>
      <c r="OS2" s="33" t="s">
        <v>67</v>
      </c>
      <c r="OT2" s="33" t="s">
        <v>44</v>
      </c>
      <c r="OU2" s="33" t="s">
        <v>45</v>
      </c>
      <c r="OV2" s="33" t="s">
        <v>46</v>
      </c>
      <c r="OW2" s="33" t="s">
        <v>47</v>
      </c>
      <c r="OX2" s="33" t="s">
        <v>76</v>
      </c>
      <c r="OY2" s="33" t="s">
        <v>48</v>
      </c>
      <c r="OZ2" s="33" t="s">
        <v>49</v>
      </c>
      <c r="PA2" s="33" t="s">
        <v>50</v>
      </c>
      <c r="PB2" s="33" t="s">
        <v>51</v>
      </c>
      <c r="PC2" s="33" t="s">
        <v>77</v>
      </c>
      <c r="PD2" s="33" t="s">
        <v>52</v>
      </c>
      <c r="PE2" s="33" t="s">
        <v>53</v>
      </c>
      <c r="PF2" s="33" t="s">
        <v>54</v>
      </c>
      <c r="PG2" s="33" t="s">
        <v>55</v>
      </c>
      <c r="PH2" s="33" t="s">
        <v>1303</v>
      </c>
      <c r="PI2" s="33" t="s">
        <v>56</v>
      </c>
      <c r="PJ2" s="33" t="s">
        <v>57</v>
      </c>
      <c r="PK2" s="33" t="s">
        <v>58</v>
      </c>
      <c r="PL2" s="33" t="s">
        <v>59</v>
      </c>
      <c r="PM2" s="33" t="s">
        <v>1304</v>
      </c>
      <c r="PN2" s="33" t="s">
        <v>1305</v>
      </c>
      <c r="PO2" s="33" t="s">
        <v>1306</v>
      </c>
      <c r="PP2" s="33" t="s">
        <v>1307</v>
      </c>
      <c r="PQ2" s="33" t="s">
        <v>1308</v>
      </c>
      <c r="PR2" s="33" t="s">
        <v>1309</v>
      </c>
      <c r="PS2" s="33" t="s">
        <v>1310</v>
      </c>
      <c r="PT2" s="33" t="s">
        <v>1311</v>
      </c>
      <c r="PU2" s="33" t="s">
        <v>1312</v>
      </c>
      <c r="PV2" s="33" t="s">
        <v>1313</v>
      </c>
      <c r="PW2" s="33" t="s">
        <v>1314</v>
      </c>
      <c r="PX2" s="33" t="s">
        <v>1315</v>
      </c>
      <c r="PY2" s="33" t="s">
        <v>1316</v>
      </c>
      <c r="PZ2" s="33" t="s">
        <v>1317</v>
      </c>
      <c r="QA2" s="33" t="s">
        <v>1318</v>
      </c>
      <c r="QB2" s="33" t="s">
        <v>1319</v>
      </c>
      <c r="QC2" s="33" t="s">
        <v>1320</v>
      </c>
      <c r="QD2" s="33" t="s">
        <v>1321</v>
      </c>
      <c r="QE2" s="33" t="s">
        <v>1322</v>
      </c>
      <c r="QF2" s="33" t="s">
        <v>1323</v>
      </c>
      <c r="QG2" s="33" t="s">
        <v>1324</v>
      </c>
      <c r="QH2" s="33" t="s">
        <v>1325</v>
      </c>
      <c r="QI2" s="33" t="s">
        <v>1326</v>
      </c>
      <c r="QJ2" s="33" t="s">
        <v>1327</v>
      </c>
      <c r="QK2" s="33" t="s">
        <v>1328</v>
      </c>
      <c r="QL2" s="33" t="s">
        <v>1329</v>
      </c>
      <c r="QM2" s="33" t="s">
        <v>40</v>
      </c>
      <c r="QN2" s="33" t="s">
        <v>41</v>
      </c>
      <c r="QO2" s="33" t="s">
        <v>42</v>
      </c>
      <c r="QP2" s="33" t="s">
        <v>43</v>
      </c>
      <c r="QQ2" s="33" t="s">
        <v>67</v>
      </c>
      <c r="QR2" s="33" t="s">
        <v>44</v>
      </c>
      <c r="QS2" s="33" t="s">
        <v>45</v>
      </c>
      <c r="QT2" s="33" t="s">
        <v>46</v>
      </c>
      <c r="QU2" s="33" t="s">
        <v>47</v>
      </c>
      <c r="QV2" s="33" t="s">
        <v>76</v>
      </c>
      <c r="QW2" s="33" t="s">
        <v>48</v>
      </c>
      <c r="QX2" s="33" t="s">
        <v>49</v>
      </c>
      <c r="QY2" s="33" t="s">
        <v>50</v>
      </c>
      <c r="QZ2" s="33" t="s">
        <v>51</v>
      </c>
      <c r="RA2" s="33" t="s">
        <v>77</v>
      </c>
      <c r="RB2" s="33" t="s">
        <v>52</v>
      </c>
      <c r="RC2" s="33" t="s">
        <v>53</v>
      </c>
      <c r="RD2" s="33" t="s">
        <v>54</v>
      </c>
      <c r="RE2" s="33" t="s">
        <v>55</v>
      </c>
      <c r="RF2" s="33" t="s">
        <v>1303</v>
      </c>
      <c r="RG2" s="33" t="s">
        <v>56</v>
      </c>
      <c r="RH2" s="33" t="s">
        <v>57</v>
      </c>
      <c r="RI2" s="33" t="s">
        <v>58</v>
      </c>
      <c r="RJ2" s="33" t="s">
        <v>59</v>
      </c>
      <c r="RK2" s="33" t="s">
        <v>1304</v>
      </c>
      <c r="RL2" s="33" t="s">
        <v>1305</v>
      </c>
      <c r="RM2" s="33" t="s">
        <v>1306</v>
      </c>
      <c r="RN2" s="33" t="s">
        <v>1307</v>
      </c>
      <c r="RO2" s="33" t="s">
        <v>1308</v>
      </c>
      <c r="RP2" s="33" t="s">
        <v>1309</v>
      </c>
      <c r="RQ2" s="33" t="s">
        <v>1310</v>
      </c>
      <c r="RR2" s="33" t="s">
        <v>1311</v>
      </c>
      <c r="RS2" s="33" t="s">
        <v>1312</v>
      </c>
      <c r="RT2" s="33" t="s">
        <v>1313</v>
      </c>
      <c r="RU2" s="33" t="s">
        <v>1314</v>
      </c>
      <c r="RV2" s="33" t="s">
        <v>1315</v>
      </c>
      <c r="RW2" s="33" t="s">
        <v>1316</v>
      </c>
      <c r="RX2" s="33" t="s">
        <v>1317</v>
      </c>
      <c r="RY2" s="33" t="s">
        <v>1318</v>
      </c>
      <c r="RZ2" s="33" t="s">
        <v>1319</v>
      </c>
      <c r="SA2" s="33" t="s">
        <v>1320</v>
      </c>
      <c r="SB2" s="33" t="s">
        <v>1321</v>
      </c>
      <c r="SC2" s="33" t="s">
        <v>1322</v>
      </c>
      <c r="SD2" s="33" t="s">
        <v>1323</v>
      </c>
      <c r="SE2" s="33" t="s">
        <v>1324</v>
      </c>
      <c r="SF2" s="33" t="s">
        <v>1325</v>
      </c>
      <c r="SG2" s="33" t="s">
        <v>1326</v>
      </c>
      <c r="SH2" s="33" t="s">
        <v>1327</v>
      </c>
      <c r="SI2" s="33" t="s">
        <v>1328</v>
      </c>
      <c r="SJ2" s="33" t="s">
        <v>1329</v>
      </c>
      <c r="SK2" s="33" t="s">
        <v>40</v>
      </c>
      <c r="SL2" s="33" t="s">
        <v>41</v>
      </c>
      <c r="SM2" s="33" t="s">
        <v>42</v>
      </c>
      <c r="SN2" s="33" t="s">
        <v>43</v>
      </c>
      <c r="SO2" s="33" t="s">
        <v>67</v>
      </c>
      <c r="SP2" s="33" t="s">
        <v>44</v>
      </c>
      <c r="SQ2" s="33" t="s">
        <v>45</v>
      </c>
      <c r="SR2" s="33" t="s">
        <v>46</v>
      </c>
      <c r="SS2" s="33" t="s">
        <v>47</v>
      </c>
      <c r="ST2" s="33" t="s">
        <v>76</v>
      </c>
      <c r="SU2" s="33" t="s">
        <v>48</v>
      </c>
      <c r="SV2" s="33" t="s">
        <v>49</v>
      </c>
      <c r="SW2" s="33" t="s">
        <v>50</v>
      </c>
      <c r="SX2" s="33" t="s">
        <v>51</v>
      </c>
      <c r="SY2" s="33" t="s">
        <v>77</v>
      </c>
      <c r="SZ2" s="33" t="s">
        <v>52</v>
      </c>
      <c r="TA2" s="33" t="s">
        <v>53</v>
      </c>
      <c r="TB2" s="33" t="s">
        <v>54</v>
      </c>
      <c r="TC2" s="33" t="s">
        <v>55</v>
      </c>
      <c r="TD2" s="33" t="s">
        <v>1303</v>
      </c>
      <c r="TE2" s="33" t="s">
        <v>56</v>
      </c>
      <c r="TF2" s="33" t="s">
        <v>57</v>
      </c>
      <c r="TG2" s="33" t="s">
        <v>58</v>
      </c>
      <c r="TH2" s="33" t="s">
        <v>59</v>
      </c>
      <c r="TI2" s="33" t="s">
        <v>1304</v>
      </c>
      <c r="TJ2" s="33" t="s">
        <v>1305</v>
      </c>
      <c r="TK2" s="33" t="s">
        <v>1306</v>
      </c>
      <c r="TL2" s="33" t="s">
        <v>1307</v>
      </c>
      <c r="TM2" s="33" t="s">
        <v>1308</v>
      </c>
      <c r="TN2" s="33" t="s">
        <v>1309</v>
      </c>
      <c r="TO2" s="33" t="s">
        <v>1310</v>
      </c>
      <c r="TP2" s="33" t="s">
        <v>1311</v>
      </c>
      <c r="TQ2" s="33" t="s">
        <v>1312</v>
      </c>
      <c r="TR2" s="33" t="s">
        <v>1313</v>
      </c>
      <c r="TS2" s="33" t="s">
        <v>1314</v>
      </c>
      <c r="TT2" s="33" t="s">
        <v>1315</v>
      </c>
      <c r="TU2" s="33" t="s">
        <v>1316</v>
      </c>
      <c r="TV2" s="33" t="s">
        <v>1317</v>
      </c>
      <c r="TW2" s="33" t="s">
        <v>1318</v>
      </c>
      <c r="TX2" s="33" t="s">
        <v>1319</v>
      </c>
      <c r="TY2" s="33" t="s">
        <v>1320</v>
      </c>
      <c r="TZ2" s="33" t="s">
        <v>1321</v>
      </c>
      <c r="UA2" s="33" t="s">
        <v>1322</v>
      </c>
      <c r="UB2" s="33" t="s">
        <v>1323</v>
      </c>
      <c r="UC2" s="33" t="s">
        <v>1324</v>
      </c>
      <c r="UD2" s="33" t="s">
        <v>1325</v>
      </c>
      <c r="UE2" s="33" t="s">
        <v>1326</v>
      </c>
      <c r="UF2" s="33" t="s">
        <v>1327</v>
      </c>
      <c r="UG2" s="33" t="s">
        <v>1328</v>
      </c>
      <c r="UH2" s="33" t="s">
        <v>1329</v>
      </c>
      <c r="UI2" s="33" t="s">
        <v>40</v>
      </c>
      <c r="UJ2" s="33" t="s">
        <v>41</v>
      </c>
      <c r="UK2" s="33" t="s">
        <v>42</v>
      </c>
      <c r="UL2" s="33" t="s">
        <v>43</v>
      </c>
      <c r="UM2" s="33" t="s">
        <v>67</v>
      </c>
      <c r="UN2" s="33" t="s">
        <v>44</v>
      </c>
      <c r="UO2" s="33" t="s">
        <v>45</v>
      </c>
      <c r="UP2" s="33" t="s">
        <v>46</v>
      </c>
      <c r="UQ2" s="33" t="s">
        <v>47</v>
      </c>
      <c r="UR2" s="33" t="s">
        <v>76</v>
      </c>
      <c r="US2" s="33" t="s">
        <v>48</v>
      </c>
      <c r="UT2" s="33" t="s">
        <v>49</v>
      </c>
      <c r="UU2" s="33" t="s">
        <v>50</v>
      </c>
      <c r="UV2" s="33" t="s">
        <v>51</v>
      </c>
      <c r="UW2" s="33" t="s">
        <v>77</v>
      </c>
      <c r="UX2" s="33" t="s">
        <v>52</v>
      </c>
      <c r="UY2" s="33" t="s">
        <v>53</v>
      </c>
      <c r="UZ2" s="33" t="s">
        <v>54</v>
      </c>
      <c r="VA2" s="33" t="s">
        <v>55</v>
      </c>
      <c r="VB2" s="33" t="s">
        <v>1303</v>
      </c>
      <c r="VC2" s="33" t="s">
        <v>56</v>
      </c>
      <c r="VD2" s="33" t="s">
        <v>57</v>
      </c>
      <c r="VE2" s="33" t="s">
        <v>58</v>
      </c>
      <c r="VF2" s="33" t="s">
        <v>59</v>
      </c>
      <c r="VG2" s="33" t="s">
        <v>1304</v>
      </c>
      <c r="VH2" s="33" t="s">
        <v>1305</v>
      </c>
      <c r="VI2" s="33" t="s">
        <v>1306</v>
      </c>
      <c r="VJ2" s="33" t="s">
        <v>1307</v>
      </c>
      <c r="VK2" s="33" t="s">
        <v>1308</v>
      </c>
      <c r="VL2" s="33" t="s">
        <v>1309</v>
      </c>
      <c r="VM2" s="33" t="s">
        <v>1310</v>
      </c>
      <c r="VN2" s="33" t="s">
        <v>1311</v>
      </c>
      <c r="VO2" s="33" t="s">
        <v>1312</v>
      </c>
      <c r="VP2" s="33" t="s">
        <v>1313</v>
      </c>
      <c r="VQ2" s="33" t="s">
        <v>1314</v>
      </c>
      <c r="VR2" s="33" t="s">
        <v>1315</v>
      </c>
      <c r="VS2" s="33" t="s">
        <v>1316</v>
      </c>
      <c r="VT2" s="33" t="s">
        <v>1317</v>
      </c>
      <c r="VU2" s="33" t="s">
        <v>1318</v>
      </c>
      <c r="VV2" s="33" t="s">
        <v>1319</v>
      </c>
      <c r="VW2" s="33" t="s">
        <v>1320</v>
      </c>
      <c r="VX2" s="33" t="s">
        <v>1321</v>
      </c>
      <c r="VY2" s="33" t="s">
        <v>1322</v>
      </c>
      <c r="VZ2" s="33" t="s">
        <v>1323</v>
      </c>
      <c r="WA2" s="33" t="s">
        <v>1324</v>
      </c>
      <c r="WB2" s="33" t="s">
        <v>1325</v>
      </c>
      <c r="WC2" s="33" t="s">
        <v>1326</v>
      </c>
      <c r="WD2" s="33" t="s">
        <v>1327</v>
      </c>
      <c r="WE2" s="33" t="s">
        <v>1328</v>
      </c>
      <c r="WF2" s="33" t="s">
        <v>1329</v>
      </c>
      <c r="WG2" s="33" t="s">
        <v>40</v>
      </c>
      <c r="WH2" s="33" t="s">
        <v>41</v>
      </c>
      <c r="WI2" s="33" t="s">
        <v>42</v>
      </c>
      <c r="WJ2" s="33" t="s">
        <v>43</v>
      </c>
      <c r="WK2" s="33" t="s">
        <v>67</v>
      </c>
      <c r="WL2" s="33" t="s">
        <v>44</v>
      </c>
      <c r="WM2" s="33" t="s">
        <v>45</v>
      </c>
      <c r="WN2" s="33" t="s">
        <v>46</v>
      </c>
      <c r="WO2" s="33" t="s">
        <v>47</v>
      </c>
      <c r="WP2" s="33" t="s">
        <v>76</v>
      </c>
      <c r="WQ2" s="33" t="s">
        <v>48</v>
      </c>
      <c r="WR2" s="33" t="s">
        <v>49</v>
      </c>
      <c r="WS2" s="33" t="s">
        <v>50</v>
      </c>
      <c r="WT2" s="33" t="s">
        <v>51</v>
      </c>
      <c r="WU2" s="33" t="s">
        <v>77</v>
      </c>
      <c r="WV2" s="33" t="s">
        <v>52</v>
      </c>
      <c r="WW2" s="33" t="s">
        <v>53</v>
      </c>
      <c r="WX2" s="33" t="s">
        <v>54</v>
      </c>
      <c r="WY2" s="33" t="s">
        <v>55</v>
      </c>
      <c r="WZ2" s="33" t="s">
        <v>1303</v>
      </c>
      <c r="XA2" s="33" t="s">
        <v>56</v>
      </c>
      <c r="XB2" s="33" t="s">
        <v>57</v>
      </c>
      <c r="XC2" s="33" t="s">
        <v>58</v>
      </c>
      <c r="XD2" s="33" t="s">
        <v>59</v>
      </c>
      <c r="XE2" s="33" t="s">
        <v>1304</v>
      </c>
      <c r="XF2" s="33" t="s">
        <v>1305</v>
      </c>
      <c r="XG2" s="33" t="s">
        <v>1306</v>
      </c>
      <c r="XH2" s="33" t="s">
        <v>1307</v>
      </c>
      <c r="XI2" s="33" t="s">
        <v>1308</v>
      </c>
      <c r="XJ2" s="33" t="s">
        <v>1309</v>
      </c>
      <c r="XK2" s="33" t="s">
        <v>1310</v>
      </c>
      <c r="XL2" s="33" t="s">
        <v>1311</v>
      </c>
      <c r="XM2" s="33" t="s">
        <v>1312</v>
      </c>
      <c r="XN2" s="33" t="s">
        <v>1313</v>
      </c>
      <c r="XO2" s="33" t="s">
        <v>1314</v>
      </c>
      <c r="XP2" s="33" t="s">
        <v>1315</v>
      </c>
      <c r="XQ2" s="33" t="s">
        <v>1316</v>
      </c>
      <c r="XR2" s="33" t="s">
        <v>1317</v>
      </c>
      <c r="XS2" s="33" t="s">
        <v>1318</v>
      </c>
      <c r="XT2" s="33" t="s">
        <v>1319</v>
      </c>
      <c r="XU2" s="33" t="s">
        <v>1320</v>
      </c>
      <c r="XV2" s="33" t="s">
        <v>1321</v>
      </c>
      <c r="XW2" s="33" t="s">
        <v>1322</v>
      </c>
      <c r="XX2" s="33" t="s">
        <v>1323</v>
      </c>
      <c r="XY2" s="33" t="s">
        <v>1324</v>
      </c>
      <c r="XZ2" s="33" t="s">
        <v>1325</v>
      </c>
      <c r="YA2" s="33" t="s">
        <v>1326</v>
      </c>
      <c r="YB2" s="33" t="s">
        <v>1327</v>
      </c>
      <c r="YC2" s="33" t="s">
        <v>1328</v>
      </c>
      <c r="YD2" s="33" t="s">
        <v>1329</v>
      </c>
      <c r="YE2" s="33" t="s">
        <v>40</v>
      </c>
      <c r="YF2" s="33" t="s">
        <v>41</v>
      </c>
      <c r="YG2" s="33" t="s">
        <v>42</v>
      </c>
      <c r="YH2" s="33" t="s">
        <v>43</v>
      </c>
      <c r="YI2" s="33" t="s">
        <v>67</v>
      </c>
      <c r="YJ2" s="33" t="s">
        <v>44</v>
      </c>
      <c r="YK2" s="33" t="s">
        <v>45</v>
      </c>
      <c r="YL2" s="33" t="s">
        <v>46</v>
      </c>
      <c r="YM2" s="33" t="s">
        <v>47</v>
      </c>
      <c r="YN2" s="33" t="s">
        <v>76</v>
      </c>
      <c r="YO2" s="33" t="s">
        <v>48</v>
      </c>
      <c r="YP2" s="33" t="s">
        <v>49</v>
      </c>
      <c r="YQ2" s="33" t="s">
        <v>50</v>
      </c>
      <c r="YR2" s="33" t="s">
        <v>51</v>
      </c>
      <c r="YS2" s="33" t="s">
        <v>77</v>
      </c>
      <c r="YT2" s="33" t="s">
        <v>52</v>
      </c>
      <c r="YU2" s="33" t="s">
        <v>53</v>
      </c>
      <c r="YV2" s="33" t="s">
        <v>54</v>
      </c>
      <c r="YW2" s="33" t="s">
        <v>55</v>
      </c>
      <c r="YX2" s="33" t="s">
        <v>1303</v>
      </c>
      <c r="YY2" s="33" t="s">
        <v>56</v>
      </c>
      <c r="YZ2" s="33" t="s">
        <v>57</v>
      </c>
      <c r="ZA2" s="33" t="s">
        <v>58</v>
      </c>
      <c r="ZB2" s="33" t="s">
        <v>59</v>
      </c>
      <c r="ZC2" s="33" t="s">
        <v>1304</v>
      </c>
      <c r="ZD2" s="33" t="s">
        <v>1305</v>
      </c>
      <c r="ZE2" s="33" t="s">
        <v>1306</v>
      </c>
      <c r="ZF2" s="33" t="s">
        <v>1307</v>
      </c>
      <c r="ZG2" s="33" t="s">
        <v>1308</v>
      </c>
      <c r="ZH2" s="33" t="s">
        <v>1309</v>
      </c>
      <c r="ZI2" s="33" t="s">
        <v>1310</v>
      </c>
      <c r="ZJ2" s="33" t="s">
        <v>1311</v>
      </c>
      <c r="ZK2" s="33" t="s">
        <v>1312</v>
      </c>
      <c r="ZL2" s="33" t="s">
        <v>1313</v>
      </c>
      <c r="ZM2" s="33" t="s">
        <v>1314</v>
      </c>
      <c r="ZN2" s="33" t="s">
        <v>1315</v>
      </c>
      <c r="ZO2" s="33" t="s">
        <v>1316</v>
      </c>
      <c r="ZP2" s="33" t="s">
        <v>1317</v>
      </c>
      <c r="ZQ2" s="33" t="s">
        <v>1318</v>
      </c>
      <c r="ZR2" s="33" t="s">
        <v>1319</v>
      </c>
      <c r="ZS2" s="33" t="s">
        <v>1320</v>
      </c>
      <c r="ZT2" s="33" t="s">
        <v>1321</v>
      </c>
      <c r="ZU2" s="33" t="s">
        <v>1322</v>
      </c>
      <c r="ZV2" s="33" t="s">
        <v>1323</v>
      </c>
      <c r="ZW2" s="33" t="s">
        <v>1324</v>
      </c>
      <c r="ZX2" s="33" t="s">
        <v>1325</v>
      </c>
      <c r="ZY2" s="33" t="s">
        <v>1326</v>
      </c>
      <c r="ZZ2" s="33" t="s">
        <v>1327</v>
      </c>
      <c r="AAA2" s="33" t="s">
        <v>1328</v>
      </c>
      <c r="AAB2" s="33" t="s">
        <v>1329</v>
      </c>
      <c r="AAC2" s="33" t="s">
        <v>40</v>
      </c>
      <c r="AAD2" s="33" t="s">
        <v>41</v>
      </c>
      <c r="AAE2" s="33" t="s">
        <v>42</v>
      </c>
      <c r="AAF2" s="33" t="s">
        <v>43</v>
      </c>
      <c r="AAG2" s="33" t="s">
        <v>67</v>
      </c>
      <c r="AAH2" s="33" t="s">
        <v>44</v>
      </c>
      <c r="AAI2" s="33" t="s">
        <v>45</v>
      </c>
      <c r="AAJ2" s="33" t="s">
        <v>46</v>
      </c>
      <c r="AAK2" s="33" t="s">
        <v>47</v>
      </c>
      <c r="AAL2" s="33" t="s">
        <v>76</v>
      </c>
      <c r="AAM2" s="33" t="s">
        <v>48</v>
      </c>
      <c r="AAN2" s="33" t="s">
        <v>49</v>
      </c>
      <c r="AAO2" s="33" t="s">
        <v>50</v>
      </c>
      <c r="AAP2" s="33" t="s">
        <v>51</v>
      </c>
      <c r="AAQ2" s="33" t="s">
        <v>77</v>
      </c>
      <c r="AAR2" s="33" t="s">
        <v>52</v>
      </c>
      <c r="AAS2" s="33" t="s">
        <v>53</v>
      </c>
      <c r="AAT2" s="33" t="s">
        <v>54</v>
      </c>
      <c r="AAU2" s="33" t="s">
        <v>55</v>
      </c>
      <c r="AAV2" s="33" t="s">
        <v>1303</v>
      </c>
      <c r="AAW2" s="33" t="s">
        <v>56</v>
      </c>
      <c r="AAX2" s="33" t="s">
        <v>57</v>
      </c>
      <c r="AAY2" s="33" t="s">
        <v>58</v>
      </c>
      <c r="AAZ2" s="33" t="s">
        <v>59</v>
      </c>
      <c r="ABA2" s="33" t="s">
        <v>1304</v>
      </c>
      <c r="ABB2" s="33" t="s">
        <v>1305</v>
      </c>
      <c r="ABC2" s="33" t="s">
        <v>1306</v>
      </c>
      <c r="ABD2" s="33" t="s">
        <v>1307</v>
      </c>
      <c r="ABE2" s="33" t="s">
        <v>1308</v>
      </c>
      <c r="ABF2" s="33" t="s">
        <v>1309</v>
      </c>
      <c r="ABG2" s="33" t="s">
        <v>1310</v>
      </c>
      <c r="ABH2" s="33" t="s">
        <v>1311</v>
      </c>
      <c r="ABI2" s="33" t="s">
        <v>1312</v>
      </c>
      <c r="ABJ2" s="33" t="s">
        <v>1313</v>
      </c>
      <c r="ABK2" s="33" t="s">
        <v>1314</v>
      </c>
      <c r="ABL2" s="33" t="s">
        <v>1315</v>
      </c>
      <c r="ABM2" s="33" t="s">
        <v>1316</v>
      </c>
      <c r="ABN2" s="33" t="s">
        <v>1317</v>
      </c>
      <c r="ABO2" s="33" t="s">
        <v>1318</v>
      </c>
      <c r="ABP2" s="33" t="s">
        <v>1319</v>
      </c>
      <c r="ABQ2" s="33" t="s">
        <v>1320</v>
      </c>
      <c r="ABR2" s="33" t="s">
        <v>1321</v>
      </c>
      <c r="ABS2" s="33" t="s">
        <v>1322</v>
      </c>
      <c r="ABT2" s="33" t="s">
        <v>1323</v>
      </c>
      <c r="ABU2" s="33" t="s">
        <v>1324</v>
      </c>
      <c r="ABV2" s="33" t="s">
        <v>1325</v>
      </c>
      <c r="ABW2" s="33" t="s">
        <v>1326</v>
      </c>
      <c r="ABX2" s="33" t="s">
        <v>1327</v>
      </c>
      <c r="ABY2" s="33" t="s">
        <v>1328</v>
      </c>
      <c r="ABZ2" s="33" t="s">
        <v>1329</v>
      </c>
      <c r="ACA2" s="33" t="s">
        <v>40</v>
      </c>
      <c r="ACB2" s="33" t="s">
        <v>41</v>
      </c>
      <c r="ACC2" s="33" t="s">
        <v>42</v>
      </c>
      <c r="ACD2" s="33" t="s">
        <v>43</v>
      </c>
      <c r="ACE2" s="33" t="s">
        <v>67</v>
      </c>
      <c r="ACF2" s="33" t="s">
        <v>44</v>
      </c>
      <c r="ACG2" s="33" t="s">
        <v>45</v>
      </c>
      <c r="ACH2" s="33" t="s">
        <v>46</v>
      </c>
      <c r="ACI2" s="33" t="s">
        <v>47</v>
      </c>
      <c r="ACJ2" s="33" t="s">
        <v>76</v>
      </c>
      <c r="ACK2" s="33" t="s">
        <v>48</v>
      </c>
      <c r="ACL2" s="33" t="s">
        <v>49</v>
      </c>
      <c r="ACM2" s="33" t="s">
        <v>50</v>
      </c>
      <c r="ACN2" s="33" t="s">
        <v>51</v>
      </c>
      <c r="ACO2" s="33" t="s">
        <v>77</v>
      </c>
      <c r="ACP2" s="33" t="s">
        <v>52</v>
      </c>
      <c r="ACQ2" s="33" t="s">
        <v>53</v>
      </c>
      <c r="ACR2" s="33" t="s">
        <v>54</v>
      </c>
      <c r="ACS2" s="33" t="s">
        <v>55</v>
      </c>
      <c r="ACT2" s="33" t="s">
        <v>1303</v>
      </c>
      <c r="ACU2" s="33" t="s">
        <v>56</v>
      </c>
      <c r="ACV2" s="33" t="s">
        <v>57</v>
      </c>
      <c r="ACW2" s="33" t="s">
        <v>58</v>
      </c>
      <c r="ACX2" s="33" t="s">
        <v>59</v>
      </c>
      <c r="ACY2" s="33" t="s">
        <v>1304</v>
      </c>
      <c r="ACZ2" s="33" t="s">
        <v>1305</v>
      </c>
      <c r="ADA2" s="33" t="s">
        <v>1306</v>
      </c>
      <c r="ADB2" s="33" t="s">
        <v>1307</v>
      </c>
      <c r="ADC2" s="33" t="s">
        <v>1308</v>
      </c>
      <c r="ADD2" s="33" t="s">
        <v>1309</v>
      </c>
      <c r="ADE2" s="33" t="s">
        <v>1310</v>
      </c>
      <c r="ADF2" s="33" t="s">
        <v>1311</v>
      </c>
      <c r="ADG2" s="33" t="s">
        <v>1312</v>
      </c>
      <c r="ADH2" s="33" t="s">
        <v>1313</v>
      </c>
      <c r="ADI2" s="33" t="s">
        <v>1314</v>
      </c>
      <c r="ADJ2" s="33" t="s">
        <v>1315</v>
      </c>
      <c r="ADK2" s="33" t="s">
        <v>1316</v>
      </c>
      <c r="ADL2" s="33" t="s">
        <v>1317</v>
      </c>
      <c r="ADM2" s="33" t="s">
        <v>1318</v>
      </c>
      <c r="ADN2" s="33" t="s">
        <v>1319</v>
      </c>
      <c r="ADO2" s="33" t="s">
        <v>1320</v>
      </c>
      <c r="ADP2" s="33" t="s">
        <v>1321</v>
      </c>
      <c r="ADQ2" s="33" t="s">
        <v>1322</v>
      </c>
      <c r="ADR2" s="33" t="s">
        <v>1323</v>
      </c>
      <c r="ADS2" s="33" t="s">
        <v>1324</v>
      </c>
      <c r="ADT2" s="33" t="s">
        <v>1325</v>
      </c>
      <c r="ADU2" s="33" t="s">
        <v>1326</v>
      </c>
      <c r="ADV2" s="33" t="s">
        <v>1327</v>
      </c>
      <c r="ADW2" s="33" t="s">
        <v>1328</v>
      </c>
      <c r="ADX2" s="33" t="s">
        <v>1329</v>
      </c>
      <c r="ADY2" s="33" t="s">
        <v>40</v>
      </c>
      <c r="ADZ2" s="33" t="s">
        <v>41</v>
      </c>
      <c r="AEA2" s="33" t="s">
        <v>42</v>
      </c>
      <c r="AEB2" s="33" t="s">
        <v>43</v>
      </c>
      <c r="AEC2" s="33" t="s">
        <v>67</v>
      </c>
      <c r="AED2" s="33" t="s">
        <v>44</v>
      </c>
      <c r="AEE2" s="33" t="s">
        <v>45</v>
      </c>
      <c r="AEF2" s="33" t="s">
        <v>46</v>
      </c>
      <c r="AEG2" s="33" t="s">
        <v>47</v>
      </c>
      <c r="AEH2" s="33" t="s">
        <v>76</v>
      </c>
      <c r="AEI2" s="33" t="s">
        <v>48</v>
      </c>
      <c r="AEJ2" s="33" t="s">
        <v>49</v>
      </c>
      <c r="AEK2" s="33" t="s">
        <v>50</v>
      </c>
      <c r="AEL2" s="33" t="s">
        <v>51</v>
      </c>
      <c r="AEM2" s="33" t="s">
        <v>77</v>
      </c>
      <c r="AEN2" s="33" t="s">
        <v>52</v>
      </c>
      <c r="AEO2" s="33" t="s">
        <v>53</v>
      </c>
      <c r="AEP2" s="33" t="s">
        <v>54</v>
      </c>
      <c r="AEQ2" s="33" t="s">
        <v>55</v>
      </c>
      <c r="AER2" s="33" t="s">
        <v>1303</v>
      </c>
      <c r="AES2" s="33" t="s">
        <v>56</v>
      </c>
      <c r="AET2" s="33" t="s">
        <v>57</v>
      </c>
      <c r="AEU2" s="33" t="s">
        <v>58</v>
      </c>
      <c r="AEV2" s="33" t="s">
        <v>59</v>
      </c>
      <c r="AEW2" s="33" t="s">
        <v>1304</v>
      </c>
      <c r="AEX2" s="33" t="s">
        <v>1305</v>
      </c>
      <c r="AEY2" s="33" t="s">
        <v>1306</v>
      </c>
      <c r="AEZ2" s="33" t="s">
        <v>1307</v>
      </c>
      <c r="AFA2" s="33" t="s">
        <v>1308</v>
      </c>
      <c r="AFB2" s="33" t="s">
        <v>1309</v>
      </c>
      <c r="AFC2" s="33" t="s">
        <v>1310</v>
      </c>
      <c r="AFD2" s="33" t="s">
        <v>1311</v>
      </c>
      <c r="AFE2" s="33" t="s">
        <v>1312</v>
      </c>
      <c r="AFF2" s="33" t="s">
        <v>1313</v>
      </c>
      <c r="AFG2" s="33" t="s">
        <v>1314</v>
      </c>
      <c r="AFH2" s="33" t="s">
        <v>1315</v>
      </c>
      <c r="AFI2" s="33" t="s">
        <v>1316</v>
      </c>
      <c r="AFJ2" s="33" t="s">
        <v>1317</v>
      </c>
      <c r="AFK2" s="33" t="s">
        <v>1318</v>
      </c>
      <c r="AFL2" s="33" t="s">
        <v>1319</v>
      </c>
      <c r="AFM2" s="33" t="s">
        <v>1320</v>
      </c>
      <c r="AFN2" s="33" t="s">
        <v>1321</v>
      </c>
      <c r="AFO2" s="33" t="s">
        <v>1322</v>
      </c>
      <c r="AFP2" s="33" t="s">
        <v>1323</v>
      </c>
      <c r="AFQ2" s="33" t="s">
        <v>1324</v>
      </c>
      <c r="AFR2" s="33" t="s">
        <v>1325</v>
      </c>
      <c r="AFS2" s="33" t="s">
        <v>1326</v>
      </c>
      <c r="AFT2" s="33" t="s">
        <v>1327</v>
      </c>
      <c r="AFU2" s="33" t="s">
        <v>1328</v>
      </c>
      <c r="AFV2" s="33" t="s">
        <v>1329</v>
      </c>
      <c r="AFW2" s="33" t="s">
        <v>40</v>
      </c>
      <c r="AFX2" s="33" t="s">
        <v>41</v>
      </c>
      <c r="AFY2" s="33" t="s">
        <v>42</v>
      </c>
      <c r="AFZ2" s="33" t="s">
        <v>43</v>
      </c>
      <c r="AGA2" s="33" t="s">
        <v>67</v>
      </c>
      <c r="AGB2" s="33" t="s">
        <v>44</v>
      </c>
      <c r="AGC2" s="33" t="s">
        <v>45</v>
      </c>
      <c r="AGD2" s="33" t="s">
        <v>46</v>
      </c>
      <c r="AGE2" s="33" t="s">
        <v>47</v>
      </c>
      <c r="AGF2" s="33" t="s">
        <v>76</v>
      </c>
      <c r="AGG2" s="33" t="s">
        <v>48</v>
      </c>
      <c r="AGH2" s="33" t="s">
        <v>49</v>
      </c>
      <c r="AGI2" s="33" t="s">
        <v>50</v>
      </c>
      <c r="AGJ2" s="33" t="s">
        <v>51</v>
      </c>
      <c r="AGK2" s="33" t="s">
        <v>77</v>
      </c>
      <c r="AGL2" s="33" t="s">
        <v>52</v>
      </c>
      <c r="AGM2" s="33" t="s">
        <v>53</v>
      </c>
      <c r="AGN2" s="33" t="s">
        <v>54</v>
      </c>
      <c r="AGO2" s="33" t="s">
        <v>55</v>
      </c>
      <c r="AGP2" s="33" t="s">
        <v>1303</v>
      </c>
      <c r="AGQ2" s="33" t="s">
        <v>56</v>
      </c>
      <c r="AGR2" s="33" t="s">
        <v>57</v>
      </c>
      <c r="AGS2" s="33" t="s">
        <v>58</v>
      </c>
      <c r="AGT2" s="33" t="s">
        <v>59</v>
      </c>
      <c r="AGU2" s="33" t="s">
        <v>1304</v>
      </c>
      <c r="AGV2" s="33" t="s">
        <v>1305</v>
      </c>
      <c r="AGW2" s="33" t="s">
        <v>1306</v>
      </c>
      <c r="AGX2" s="33" t="s">
        <v>1307</v>
      </c>
      <c r="AGY2" s="33" t="s">
        <v>1308</v>
      </c>
      <c r="AGZ2" s="33" t="s">
        <v>1309</v>
      </c>
      <c r="AHA2" s="33" t="s">
        <v>1310</v>
      </c>
      <c r="AHB2" s="33" t="s">
        <v>1311</v>
      </c>
      <c r="AHC2" s="33" t="s">
        <v>1312</v>
      </c>
      <c r="AHD2" s="33" t="s">
        <v>1313</v>
      </c>
      <c r="AHE2" s="33" t="s">
        <v>1314</v>
      </c>
      <c r="AHF2" s="33" t="s">
        <v>1315</v>
      </c>
      <c r="AHG2" s="33" t="s">
        <v>1316</v>
      </c>
      <c r="AHH2" s="33" t="s">
        <v>1317</v>
      </c>
      <c r="AHI2" s="33" t="s">
        <v>1318</v>
      </c>
      <c r="AHJ2" s="33" t="s">
        <v>1319</v>
      </c>
      <c r="AHK2" s="33" t="s">
        <v>1320</v>
      </c>
      <c r="AHL2" s="33" t="s">
        <v>1321</v>
      </c>
      <c r="AHM2" s="33" t="s">
        <v>1322</v>
      </c>
      <c r="AHN2" s="33" t="s">
        <v>1323</v>
      </c>
      <c r="AHO2" s="33" t="s">
        <v>1324</v>
      </c>
      <c r="AHP2" s="33" t="s">
        <v>1325</v>
      </c>
      <c r="AHQ2" s="33" t="s">
        <v>1326</v>
      </c>
      <c r="AHR2" s="33" t="s">
        <v>1327</v>
      </c>
      <c r="AHS2" s="33" t="s">
        <v>1328</v>
      </c>
      <c r="AHT2" s="33" t="s">
        <v>1329</v>
      </c>
      <c r="AHU2" s="33" t="s">
        <v>40</v>
      </c>
      <c r="AHV2" s="33" t="s">
        <v>41</v>
      </c>
      <c r="AHW2" s="33" t="s">
        <v>42</v>
      </c>
      <c r="AHX2" s="33" t="s">
        <v>43</v>
      </c>
      <c r="AHY2" s="33" t="s">
        <v>67</v>
      </c>
      <c r="AHZ2" s="33" t="s">
        <v>44</v>
      </c>
      <c r="AIA2" s="33" t="s">
        <v>45</v>
      </c>
      <c r="AIB2" s="33" t="s">
        <v>46</v>
      </c>
      <c r="AIC2" s="33" t="s">
        <v>47</v>
      </c>
      <c r="AID2" s="33" t="s">
        <v>76</v>
      </c>
      <c r="AIE2" s="33" t="s">
        <v>48</v>
      </c>
      <c r="AIF2" s="33" t="s">
        <v>49</v>
      </c>
      <c r="AIG2" s="33" t="s">
        <v>50</v>
      </c>
      <c r="AIH2" s="33" t="s">
        <v>51</v>
      </c>
      <c r="AII2" s="33" t="s">
        <v>77</v>
      </c>
      <c r="AIJ2" s="33" t="s">
        <v>52</v>
      </c>
      <c r="AIK2" s="33" t="s">
        <v>53</v>
      </c>
      <c r="AIL2" s="33" t="s">
        <v>54</v>
      </c>
      <c r="AIM2" s="33" t="s">
        <v>55</v>
      </c>
      <c r="AIN2" s="33" t="s">
        <v>1303</v>
      </c>
      <c r="AIO2" s="33" t="s">
        <v>56</v>
      </c>
      <c r="AIP2" s="33" t="s">
        <v>57</v>
      </c>
      <c r="AIQ2" s="33" t="s">
        <v>58</v>
      </c>
      <c r="AIR2" s="33" t="s">
        <v>59</v>
      </c>
      <c r="AIS2" s="33" t="s">
        <v>1304</v>
      </c>
      <c r="AIT2" s="33" t="s">
        <v>1305</v>
      </c>
      <c r="AIU2" s="33" t="s">
        <v>1306</v>
      </c>
      <c r="AIV2" s="33" t="s">
        <v>1307</v>
      </c>
      <c r="AIW2" s="33" t="s">
        <v>1308</v>
      </c>
      <c r="AIX2" s="33" t="s">
        <v>1309</v>
      </c>
      <c r="AIY2" s="33" t="s">
        <v>1310</v>
      </c>
      <c r="AIZ2" s="33" t="s">
        <v>1311</v>
      </c>
      <c r="AJA2" s="33" t="s">
        <v>1312</v>
      </c>
      <c r="AJB2" s="33" t="s">
        <v>1313</v>
      </c>
      <c r="AJC2" s="33" t="s">
        <v>1314</v>
      </c>
      <c r="AJD2" s="33" t="s">
        <v>1315</v>
      </c>
      <c r="AJE2" s="33" t="s">
        <v>1316</v>
      </c>
      <c r="AJF2" s="33" t="s">
        <v>1317</v>
      </c>
      <c r="AJG2" s="33" t="s">
        <v>1318</v>
      </c>
      <c r="AJH2" s="33" t="s">
        <v>1319</v>
      </c>
      <c r="AJI2" s="33" t="s">
        <v>1320</v>
      </c>
      <c r="AJJ2" s="33" t="s">
        <v>1321</v>
      </c>
      <c r="AJK2" s="33" t="s">
        <v>1322</v>
      </c>
      <c r="AJL2" s="33" t="s">
        <v>1323</v>
      </c>
      <c r="AJM2" s="33" t="s">
        <v>1324</v>
      </c>
      <c r="AJN2" s="33" t="s">
        <v>1325</v>
      </c>
      <c r="AJO2" s="33" t="s">
        <v>1326</v>
      </c>
      <c r="AJP2" s="33" t="s">
        <v>1327</v>
      </c>
      <c r="AJQ2" s="33" t="s">
        <v>1328</v>
      </c>
      <c r="AJR2" s="33" t="s">
        <v>1329</v>
      </c>
      <c r="AJS2" s="33" t="s">
        <v>40</v>
      </c>
      <c r="AJT2" s="33" t="s">
        <v>41</v>
      </c>
      <c r="AJU2" s="33" t="s">
        <v>42</v>
      </c>
      <c r="AJV2" s="33" t="s">
        <v>43</v>
      </c>
      <c r="AJW2" s="33" t="s">
        <v>67</v>
      </c>
      <c r="AJX2" s="33" t="s">
        <v>44</v>
      </c>
      <c r="AJY2" s="33" t="s">
        <v>45</v>
      </c>
      <c r="AJZ2" s="33" t="s">
        <v>46</v>
      </c>
      <c r="AKA2" s="33" t="s">
        <v>47</v>
      </c>
      <c r="AKB2" s="33" t="s">
        <v>76</v>
      </c>
      <c r="AKC2" s="33" t="s">
        <v>48</v>
      </c>
      <c r="AKD2" s="33" t="s">
        <v>49</v>
      </c>
      <c r="AKE2" s="33" t="s">
        <v>50</v>
      </c>
      <c r="AKF2" s="33" t="s">
        <v>51</v>
      </c>
      <c r="AKG2" s="33" t="s">
        <v>77</v>
      </c>
      <c r="AKH2" s="33" t="s">
        <v>52</v>
      </c>
      <c r="AKI2" s="33" t="s">
        <v>53</v>
      </c>
      <c r="AKJ2" s="33" t="s">
        <v>54</v>
      </c>
      <c r="AKK2" s="33" t="s">
        <v>55</v>
      </c>
      <c r="AKL2" s="33" t="s">
        <v>1303</v>
      </c>
      <c r="AKM2" s="33" t="s">
        <v>56</v>
      </c>
      <c r="AKN2" s="33" t="s">
        <v>57</v>
      </c>
      <c r="AKO2" s="33" t="s">
        <v>58</v>
      </c>
      <c r="AKP2" s="33" t="s">
        <v>59</v>
      </c>
      <c r="AKQ2" s="33" t="s">
        <v>1304</v>
      </c>
      <c r="AKR2" s="33" t="s">
        <v>1305</v>
      </c>
      <c r="AKS2" s="33" t="s">
        <v>1306</v>
      </c>
      <c r="AKT2" s="33" t="s">
        <v>1307</v>
      </c>
      <c r="AKU2" s="33" t="s">
        <v>1308</v>
      </c>
      <c r="AKV2" s="33" t="s">
        <v>1309</v>
      </c>
      <c r="AKW2" s="33" t="s">
        <v>1310</v>
      </c>
      <c r="AKX2" s="33" t="s">
        <v>1311</v>
      </c>
      <c r="AKY2" s="33" t="s">
        <v>1312</v>
      </c>
      <c r="AKZ2" s="33" t="s">
        <v>1313</v>
      </c>
      <c r="ALA2" s="33" t="s">
        <v>1314</v>
      </c>
      <c r="ALB2" s="33" t="s">
        <v>1315</v>
      </c>
      <c r="ALC2" s="33" t="s">
        <v>1316</v>
      </c>
      <c r="ALD2" s="33" t="s">
        <v>1317</v>
      </c>
      <c r="ALE2" s="33" t="s">
        <v>1318</v>
      </c>
      <c r="ALF2" s="33" t="s">
        <v>1319</v>
      </c>
      <c r="ALG2" s="33" t="s">
        <v>1320</v>
      </c>
      <c r="ALH2" s="33" t="s">
        <v>1321</v>
      </c>
      <c r="ALI2" s="33" t="s">
        <v>1322</v>
      </c>
      <c r="ALJ2" s="33" t="s">
        <v>1323</v>
      </c>
      <c r="ALK2" s="33" t="s">
        <v>1324</v>
      </c>
      <c r="ALL2" s="33" t="s">
        <v>1325</v>
      </c>
      <c r="ALM2" s="33" t="s">
        <v>1326</v>
      </c>
      <c r="ALN2" s="33" t="s">
        <v>1327</v>
      </c>
      <c r="ALO2" s="33" t="s">
        <v>1328</v>
      </c>
      <c r="ALP2" s="33" t="s">
        <v>1329</v>
      </c>
      <c r="ALQ2" s="33" t="s">
        <v>382</v>
      </c>
      <c r="ALR2" s="33" t="s">
        <v>382</v>
      </c>
      <c r="ALS2" s="33" t="s">
        <v>382</v>
      </c>
      <c r="ALT2" s="33" t="s">
        <v>382</v>
      </c>
      <c r="ALU2" s="33" t="s">
        <v>382</v>
      </c>
      <c r="ALV2" s="33" t="s">
        <v>382</v>
      </c>
      <c r="ALW2" s="33" t="s">
        <v>382</v>
      </c>
      <c r="ALX2" s="33" t="s">
        <v>382</v>
      </c>
      <c r="ALY2" s="33" t="s">
        <v>382</v>
      </c>
      <c r="ALZ2" s="33" t="s">
        <v>382</v>
      </c>
      <c r="AMA2" s="33" t="s">
        <v>382</v>
      </c>
      <c r="AMB2" s="33" t="s">
        <v>382</v>
      </c>
      <c r="AMC2" s="33" t="s">
        <v>382</v>
      </c>
      <c r="AMD2" s="33" t="s">
        <v>382</v>
      </c>
      <c r="AME2" s="33" t="s">
        <v>382</v>
      </c>
      <c r="AMF2" s="33" t="s">
        <v>382</v>
      </c>
      <c r="AMG2" s="33" t="s">
        <v>382</v>
      </c>
      <c r="AMH2" s="33" t="s">
        <v>382</v>
      </c>
      <c r="AMI2" s="33" t="s">
        <v>382</v>
      </c>
      <c r="AMJ2" s="33" t="s">
        <v>382</v>
      </c>
      <c r="AMK2" s="33" t="s">
        <v>382</v>
      </c>
      <c r="AML2" s="33" t="s">
        <v>382</v>
      </c>
      <c r="AMM2" s="33" t="s">
        <v>382</v>
      </c>
      <c r="AMN2" s="33" t="s">
        <v>382</v>
      </c>
      <c r="AMO2" s="33" t="s">
        <v>382</v>
      </c>
      <c r="AMP2" s="33" t="s">
        <v>382</v>
      </c>
      <c r="AMQ2" s="33" t="s">
        <v>382</v>
      </c>
      <c r="AMR2" s="33" t="s">
        <v>382</v>
      </c>
      <c r="AMS2" s="33" t="s">
        <v>382</v>
      </c>
      <c r="AMT2" s="33" t="s">
        <v>382</v>
      </c>
      <c r="AMU2" s="33" t="s">
        <v>382</v>
      </c>
      <c r="AMV2" s="33" t="s">
        <v>382</v>
      </c>
      <c r="AMW2" s="33" t="s">
        <v>382</v>
      </c>
      <c r="AMX2" s="33" t="s">
        <v>382</v>
      </c>
      <c r="AMY2" s="33" t="s">
        <v>382</v>
      </c>
      <c r="AMZ2" s="33" t="s">
        <v>382</v>
      </c>
      <c r="ANA2" s="33" t="s">
        <v>382</v>
      </c>
      <c r="ANB2" s="33" t="s">
        <v>382</v>
      </c>
      <c r="ANC2" s="33" t="s">
        <v>382</v>
      </c>
      <c r="AND2" s="33" t="s">
        <v>382</v>
      </c>
      <c r="ANE2" s="33" t="s">
        <v>382</v>
      </c>
      <c r="ANF2" s="33" t="s">
        <v>382</v>
      </c>
      <c r="ANG2" s="33" t="s">
        <v>382</v>
      </c>
      <c r="ANH2" s="33" t="s">
        <v>382</v>
      </c>
      <c r="ANI2" s="33" t="s">
        <v>382</v>
      </c>
      <c r="ANJ2" s="33" t="s">
        <v>382</v>
      </c>
      <c r="ANK2" s="33" t="s">
        <v>382</v>
      </c>
      <c r="ANL2" s="33" t="s">
        <v>382</v>
      </c>
      <c r="ANM2" s="33" t="s">
        <v>382</v>
      </c>
      <c r="ANN2" s="33" t="s">
        <v>382</v>
      </c>
      <c r="ANO2" s="33" t="s">
        <v>382</v>
      </c>
      <c r="ANP2" s="33" t="s">
        <v>382</v>
      </c>
      <c r="ANQ2" s="33" t="s">
        <v>382</v>
      </c>
      <c r="ANR2" s="33" t="s">
        <v>382</v>
      </c>
      <c r="ANS2" s="33" t="s">
        <v>382</v>
      </c>
      <c r="ANT2" s="33" t="s">
        <v>382</v>
      </c>
      <c r="ANU2" s="33" t="s">
        <v>382</v>
      </c>
      <c r="ANV2" s="33" t="s">
        <v>382</v>
      </c>
      <c r="ANW2" s="33" t="s">
        <v>382</v>
      </c>
      <c r="ANX2" s="33" t="s">
        <v>382</v>
      </c>
      <c r="ANY2" s="33" t="s">
        <v>382</v>
      </c>
      <c r="ANZ2" s="33" t="s">
        <v>382</v>
      </c>
      <c r="AOA2" s="33" t="s">
        <v>382</v>
      </c>
      <c r="AOB2" s="33" t="s">
        <v>382</v>
      </c>
      <c r="AOC2" s="33" t="s">
        <v>382</v>
      </c>
      <c r="AOD2" s="33" t="s">
        <v>382</v>
      </c>
      <c r="AOE2" s="33" t="s">
        <v>382</v>
      </c>
      <c r="AOF2" s="33" t="s">
        <v>382</v>
      </c>
      <c r="AOG2" s="33" t="s">
        <v>382</v>
      </c>
      <c r="AOH2" s="33" t="s">
        <v>382</v>
      </c>
      <c r="AOI2" s="33" t="s">
        <v>382</v>
      </c>
      <c r="AOJ2" s="33" t="s">
        <v>382</v>
      </c>
      <c r="AOK2" s="33" t="s">
        <v>382</v>
      </c>
      <c r="AOL2" s="33" t="s">
        <v>382</v>
      </c>
      <c r="AOM2" s="33" t="s">
        <v>382</v>
      </c>
      <c r="AON2" s="33" t="s">
        <v>382</v>
      </c>
      <c r="AOO2" s="33" t="s">
        <v>382</v>
      </c>
      <c r="AOP2" s="33" t="s">
        <v>382</v>
      </c>
      <c r="AOQ2" s="33" t="s">
        <v>382</v>
      </c>
      <c r="AOR2" s="33" t="s">
        <v>382</v>
      </c>
      <c r="AOS2" s="33" t="s">
        <v>382</v>
      </c>
      <c r="AOT2" s="33" t="s">
        <v>382</v>
      </c>
      <c r="AOU2" s="33" t="s">
        <v>382</v>
      </c>
      <c r="AOV2" s="33" t="s">
        <v>382</v>
      </c>
      <c r="AOW2" s="33" t="s">
        <v>382</v>
      </c>
      <c r="AOX2" s="33" t="s">
        <v>382</v>
      </c>
      <c r="AOY2" s="33" t="s">
        <v>382</v>
      </c>
      <c r="AOZ2" s="33" t="s">
        <v>382</v>
      </c>
      <c r="APA2" s="33" t="s">
        <v>382</v>
      </c>
      <c r="APB2" s="33" t="s">
        <v>382</v>
      </c>
      <c r="APC2" s="33" t="s">
        <v>382</v>
      </c>
      <c r="APD2" s="33" t="s">
        <v>382</v>
      </c>
      <c r="APE2" s="33" t="s">
        <v>382</v>
      </c>
      <c r="APF2" s="33" t="s">
        <v>382</v>
      </c>
      <c r="APG2" s="33" t="s">
        <v>382</v>
      </c>
      <c r="APH2" s="33" t="s">
        <v>382</v>
      </c>
      <c r="API2" s="33" t="s">
        <v>382</v>
      </c>
      <c r="APJ2" s="33" t="s">
        <v>382</v>
      </c>
      <c r="APK2" s="33" t="s">
        <v>382</v>
      </c>
      <c r="APL2" s="33" t="s">
        <v>382</v>
      </c>
      <c r="APM2" s="33" t="s">
        <v>382</v>
      </c>
      <c r="APN2" s="33" t="s">
        <v>382</v>
      </c>
      <c r="APO2" s="33" t="s">
        <v>382</v>
      </c>
      <c r="APP2" s="33" t="s">
        <v>382</v>
      </c>
      <c r="APQ2" s="33" t="s">
        <v>382</v>
      </c>
      <c r="APR2" s="33" t="s">
        <v>382</v>
      </c>
      <c r="APS2" s="33" t="s">
        <v>382</v>
      </c>
      <c r="APT2" s="33" t="s">
        <v>382</v>
      </c>
      <c r="APU2" s="33" t="s">
        <v>382</v>
      </c>
      <c r="APV2" s="33" t="s">
        <v>382</v>
      </c>
      <c r="APW2" s="33" t="s">
        <v>382</v>
      </c>
      <c r="APX2" s="33" t="s">
        <v>382</v>
      </c>
      <c r="APY2" s="33" t="s">
        <v>382</v>
      </c>
      <c r="APZ2" s="33" t="s">
        <v>382</v>
      </c>
      <c r="AQA2" s="33" t="s">
        <v>382</v>
      </c>
      <c r="AQB2" s="33" t="s">
        <v>382</v>
      </c>
      <c r="AQC2" s="33" t="s">
        <v>382</v>
      </c>
      <c r="AQD2" s="33" t="s">
        <v>382</v>
      </c>
      <c r="AQE2" s="33" t="s">
        <v>382</v>
      </c>
      <c r="AQF2" s="33" t="s">
        <v>382</v>
      </c>
      <c r="AQG2" s="33" t="s">
        <v>382</v>
      </c>
      <c r="AQH2" s="33" t="s">
        <v>382</v>
      </c>
      <c r="AQI2" s="33" t="s">
        <v>382</v>
      </c>
      <c r="AQJ2" s="33" t="s">
        <v>382</v>
      </c>
      <c r="AQK2" s="33" t="s">
        <v>382</v>
      </c>
      <c r="AQL2" s="33" t="s">
        <v>382</v>
      </c>
      <c r="AQM2" s="33" t="s">
        <v>382</v>
      </c>
      <c r="AQN2" s="33" t="s">
        <v>382</v>
      </c>
      <c r="AQO2" s="33" t="s">
        <v>382</v>
      </c>
      <c r="AQP2" s="33" t="s">
        <v>382</v>
      </c>
      <c r="AQQ2" s="33" t="s">
        <v>382</v>
      </c>
      <c r="AQR2" s="33" t="s">
        <v>382</v>
      </c>
      <c r="AQS2" s="33" t="s">
        <v>382</v>
      </c>
      <c r="AQT2" s="33" t="s">
        <v>382</v>
      </c>
      <c r="AQU2" s="33" t="s">
        <v>382</v>
      </c>
      <c r="AQV2" s="33" t="s">
        <v>382</v>
      </c>
      <c r="AQW2" s="33" t="s">
        <v>382</v>
      </c>
      <c r="AQX2" s="33" t="s">
        <v>382</v>
      </c>
      <c r="AQY2" s="33" t="s">
        <v>382</v>
      </c>
      <c r="AQZ2" s="33" t="s">
        <v>382</v>
      </c>
      <c r="ARA2" s="33" t="s">
        <v>382</v>
      </c>
      <c r="ARB2" s="33" t="s">
        <v>382</v>
      </c>
      <c r="ARC2" s="33" t="s">
        <v>382</v>
      </c>
      <c r="ARD2" s="33" t="s">
        <v>382</v>
      </c>
      <c r="ARE2" s="33" t="s">
        <v>382</v>
      </c>
      <c r="ARF2" s="33" t="s">
        <v>382</v>
      </c>
      <c r="ARG2" s="33" t="s">
        <v>382</v>
      </c>
      <c r="ARH2" s="33" t="s">
        <v>382</v>
      </c>
      <c r="ARI2" s="33" t="s">
        <v>382</v>
      </c>
      <c r="ARJ2" s="33" t="s">
        <v>382</v>
      </c>
      <c r="ARK2" s="33" t="s">
        <v>382</v>
      </c>
      <c r="ARL2" s="33" t="s">
        <v>382</v>
      </c>
      <c r="ARM2" s="33" t="s">
        <v>382</v>
      </c>
      <c r="ARN2" s="33" t="s">
        <v>382</v>
      </c>
      <c r="ARO2" s="33" t="s">
        <v>382</v>
      </c>
      <c r="ARP2" s="33" t="s">
        <v>382</v>
      </c>
      <c r="ARQ2" s="33" t="s">
        <v>382</v>
      </c>
      <c r="ARR2" s="33" t="s">
        <v>382</v>
      </c>
      <c r="ARS2" s="33" t="s">
        <v>382</v>
      </c>
      <c r="ART2" s="33" t="s">
        <v>382</v>
      </c>
      <c r="ARU2" s="33" t="s">
        <v>382</v>
      </c>
      <c r="ARV2" s="33" t="s">
        <v>382</v>
      </c>
      <c r="ARW2" s="33" t="s">
        <v>382</v>
      </c>
      <c r="ARX2" s="33" t="s">
        <v>382</v>
      </c>
      <c r="ARY2" s="33" t="s">
        <v>382</v>
      </c>
      <c r="ARZ2" s="33" t="s">
        <v>382</v>
      </c>
      <c r="ASA2" s="33" t="s">
        <v>382</v>
      </c>
      <c r="ASB2" s="33" t="s">
        <v>382</v>
      </c>
      <c r="ASC2" s="33" t="s">
        <v>382</v>
      </c>
      <c r="ASD2" s="33" t="s">
        <v>382</v>
      </c>
      <c r="ASE2" s="33" t="s">
        <v>382</v>
      </c>
      <c r="ASF2" s="33" t="s">
        <v>382</v>
      </c>
      <c r="ASG2" s="33" t="s">
        <v>382</v>
      </c>
      <c r="ASH2" s="33" t="s">
        <v>382</v>
      </c>
      <c r="ASI2" s="33" t="s">
        <v>382</v>
      </c>
      <c r="ASJ2" s="33" t="s">
        <v>382</v>
      </c>
      <c r="ASK2" s="33" t="s">
        <v>382</v>
      </c>
      <c r="ASL2" s="33" t="s">
        <v>382</v>
      </c>
      <c r="ASM2" s="33" t="s">
        <v>382</v>
      </c>
      <c r="ASN2" s="33" t="s">
        <v>382</v>
      </c>
      <c r="ASO2" s="33" t="s">
        <v>382</v>
      </c>
      <c r="ASP2" s="33" t="s">
        <v>382</v>
      </c>
      <c r="ASQ2" s="33" t="s">
        <v>382</v>
      </c>
      <c r="ASR2" s="33" t="s">
        <v>382</v>
      </c>
      <c r="ASS2" s="33" t="s">
        <v>382</v>
      </c>
      <c r="AST2" s="33" t="s">
        <v>382</v>
      </c>
      <c r="ASU2" s="33" t="s">
        <v>382</v>
      </c>
      <c r="ASV2" s="33" t="s">
        <v>382</v>
      </c>
      <c r="ASW2" s="33" t="s">
        <v>382</v>
      </c>
      <c r="ASX2" s="33" t="s">
        <v>382</v>
      </c>
      <c r="ASY2" s="33" t="s">
        <v>382</v>
      </c>
      <c r="ASZ2" s="33" t="s">
        <v>382</v>
      </c>
      <c r="ATA2" s="33" t="s">
        <v>382</v>
      </c>
      <c r="ATB2" s="33" t="s">
        <v>382</v>
      </c>
      <c r="ATC2" s="33" t="s">
        <v>382</v>
      </c>
      <c r="ATD2" s="33" t="s">
        <v>382</v>
      </c>
      <c r="ATE2" s="33" t="s">
        <v>382</v>
      </c>
      <c r="ATF2" s="33" t="s">
        <v>382</v>
      </c>
      <c r="ATG2" s="33" t="s">
        <v>382</v>
      </c>
      <c r="ATH2" s="33" t="s">
        <v>382</v>
      </c>
    </row>
    <row r="3" spans="1:1204" s="26" customFormat="1" ht="51" hidden="1" x14ac:dyDescent="0.2">
      <c r="C3" s="44" t="s">
        <v>34</v>
      </c>
      <c r="D3" s="44" t="s">
        <v>35</v>
      </c>
      <c r="E3" s="46" t="s">
        <v>403</v>
      </c>
      <c r="F3" s="46" t="s">
        <v>258</v>
      </c>
      <c r="G3" s="46" t="s">
        <v>78</v>
      </c>
      <c r="H3" s="46" t="s">
        <v>79</v>
      </c>
      <c r="I3" s="46" t="s">
        <v>80</v>
      </c>
      <c r="J3" s="46" t="s">
        <v>404</v>
      </c>
      <c r="K3" s="46" t="s">
        <v>259</v>
      </c>
      <c r="L3" s="46" t="s">
        <v>81</v>
      </c>
      <c r="M3" s="46" t="s">
        <v>82</v>
      </c>
      <c r="N3" s="46" t="s">
        <v>83</v>
      </c>
      <c r="O3" s="46" t="s">
        <v>405</v>
      </c>
      <c r="P3" s="46" t="s">
        <v>260</v>
      </c>
      <c r="Q3" s="46" t="s">
        <v>84</v>
      </c>
      <c r="R3" s="46" t="s">
        <v>85</v>
      </c>
      <c r="S3" s="46" t="s">
        <v>86</v>
      </c>
      <c r="T3" s="46" t="s">
        <v>406</v>
      </c>
      <c r="U3" s="46" t="s">
        <v>407</v>
      </c>
      <c r="V3" s="46" t="s">
        <v>408</v>
      </c>
      <c r="W3" s="46" t="s">
        <v>409</v>
      </c>
      <c r="X3" s="46" t="s">
        <v>410</v>
      </c>
      <c r="Y3" s="46" t="s">
        <v>411</v>
      </c>
      <c r="Z3" s="46" t="s">
        <v>412</v>
      </c>
      <c r="AA3" s="46" t="s">
        <v>413</v>
      </c>
      <c r="AB3" s="46" t="s">
        <v>414</v>
      </c>
      <c r="AC3" s="46" t="s">
        <v>415</v>
      </c>
      <c r="AD3" s="46" t="s">
        <v>416</v>
      </c>
      <c r="AE3" s="46" t="s">
        <v>417</v>
      </c>
      <c r="AF3" s="46" t="s">
        <v>418</v>
      </c>
      <c r="AG3" s="46" t="s">
        <v>419</v>
      </c>
      <c r="AH3" s="46" t="s">
        <v>420</v>
      </c>
      <c r="AI3" s="46" t="s">
        <v>421</v>
      </c>
      <c r="AJ3" s="46" t="s">
        <v>422</v>
      </c>
      <c r="AK3" s="46" t="s">
        <v>423</v>
      </c>
      <c r="AL3" s="46" t="s">
        <v>424</v>
      </c>
      <c r="AM3" s="46" t="s">
        <v>425</v>
      </c>
      <c r="AN3" s="46" t="s">
        <v>426</v>
      </c>
      <c r="AO3" s="46" t="s">
        <v>427</v>
      </c>
      <c r="AP3" s="46" t="s">
        <v>428</v>
      </c>
      <c r="AQ3" s="46" t="s">
        <v>429</v>
      </c>
      <c r="AR3" s="46" t="s">
        <v>430</v>
      </c>
      <c r="AS3" s="46" t="s">
        <v>431</v>
      </c>
      <c r="AT3" s="46" t="s">
        <v>432</v>
      </c>
      <c r="AU3" s="46" t="s">
        <v>433</v>
      </c>
      <c r="AV3" s="46" t="s">
        <v>434</v>
      </c>
      <c r="AW3" s="46" t="s">
        <v>435</v>
      </c>
      <c r="AX3" s="46" t="s">
        <v>436</v>
      </c>
      <c r="AY3" s="46" t="s">
        <v>437</v>
      </c>
      <c r="AZ3" s="46" t="s">
        <v>438</v>
      </c>
      <c r="BA3" s="46" t="s">
        <v>439</v>
      </c>
      <c r="BB3" s="46" t="s">
        <v>440</v>
      </c>
      <c r="BC3" s="46" t="s">
        <v>441</v>
      </c>
      <c r="BD3" s="46" t="s">
        <v>261</v>
      </c>
      <c r="BE3" s="46" t="s">
        <v>87</v>
      </c>
      <c r="BF3" s="46" t="s">
        <v>88</v>
      </c>
      <c r="BG3" s="46" t="s">
        <v>89</v>
      </c>
      <c r="BH3" s="46" t="s">
        <v>442</v>
      </c>
      <c r="BI3" s="46" t="s">
        <v>262</v>
      </c>
      <c r="BJ3" s="46" t="s">
        <v>90</v>
      </c>
      <c r="BK3" s="46" t="s">
        <v>91</v>
      </c>
      <c r="BL3" s="46" t="s">
        <v>92</v>
      </c>
      <c r="BM3" s="46" t="s">
        <v>443</v>
      </c>
      <c r="BN3" s="46" t="s">
        <v>263</v>
      </c>
      <c r="BO3" s="46" t="s">
        <v>93</v>
      </c>
      <c r="BP3" s="46" t="s">
        <v>94</v>
      </c>
      <c r="BQ3" s="46" t="s">
        <v>95</v>
      </c>
      <c r="BR3" s="46" t="s">
        <v>444</v>
      </c>
      <c r="BS3" s="46" t="s">
        <v>445</v>
      </c>
      <c r="BT3" s="46" t="s">
        <v>446</v>
      </c>
      <c r="BU3" s="46" t="s">
        <v>447</v>
      </c>
      <c r="BV3" s="46" t="s">
        <v>448</v>
      </c>
      <c r="BW3" s="46" t="s">
        <v>449</v>
      </c>
      <c r="BX3" s="46" t="s">
        <v>450</v>
      </c>
      <c r="BY3" s="46" t="s">
        <v>451</v>
      </c>
      <c r="BZ3" s="46" t="s">
        <v>452</v>
      </c>
      <c r="CA3" s="46" t="s">
        <v>453</v>
      </c>
      <c r="CB3" s="46" t="s">
        <v>454</v>
      </c>
      <c r="CC3" s="46" t="s">
        <v>455</v>
      </c>
      <c r="CD3" s="46" t="s">
        <v>456</v>
      </c>
      <c r="CE3" s="46" t="s">
        <v>457</v>
      </c>
      <c r="CF3" s="46" t="s">
        <v>458</v>
      </c>
      <c r="CG3" s="46" t="s">
        <v>459</v>
      </c>
      <c r="CH3" s="46" t="s">
        <v>460</v>
      </c>
      <c r="CI3" s="46" t="s">
        <v>461</v>
      </c>
      <c r="CJ3" s="46" t="s">
        <v>462</v>
      </c>
      <c r="CK3" s="46" t="s">
        <v>463</v>
      </c>
      <c r="CL3" s="46" t="s">
        <v>464</v>
      </c>
      <c r="CM3" s="46" t="s">
        <v>465</v>
      </c>
      <c r="CN3" s="46" t="s">
        <v>466</v>
      </c>
      <c r="CO3" s="46" t="s">
        <v>467</v>
      </c>
      <c r="CP3" s="46" t="s">
        <v>468</v>
      </c>
      <c r="CQ3" s="46" t="s">
        <v>469</v>
      </c>
      <c r="CR3" s="46" t="s">
        <v>470</v>
      </c>
      <c r="CS3" s="46" t="s">
        <v>471</v>
      </c>
      <c r="CT3" s="46" t="s">
        <v>472</v>
      </c>
      <c r="CU3" s="46" t="s">
        <v>473</v>
      </c>
      <c r="CV3" s="46" t="s">
        <v>474</v>
      </c>
      <c r="CW3" s="46" t="s">
        <v>475</v>
      </c>
      <c r="CX3" s="46" t="s">
        <v>476</v>
      </c>
      <c r="CY3" s="46" t="s">
        <v>477</v>
      </c>
      <c r="CZ3" s="46" t="s">
        <v>478</v>
      </c>
      <c r="DA3" s="46" t="s">
        <v>479</v>
      </c>
      <c r="DB3" s="46" t="s">
        <v>264</v>
      </c>
      <c r="DC3" s="46" t="s">
        <v>96</v>
      </c>
      <c r="DD3" s="46" t="s">
        <v>97</v>
      </c>
      <c r="DE3" s="46" t="s">
        <v>98</v>
      </c>
      <c r="DF3" s="46" t="s">
        <v>480</v>
      </c>
      <c r="DG3" s="46" t="s">
        <v>265</v>
      </c>
      <c r="DH3" s="46" t="s">
        <v>99</v>
      </c>
      <c r="DI3" s="46" t="s">
        <v>100</v>
      </c>
      <c r="DJ3" s="46" t="s">
        <v>101</v>
      </c>
      <c r="DK3" s="46" t="s">
        <v>481</v>
      </c>
      <c r="DL3" s="46" t="s">
        <v>266</v>
      </c>
      <c r="DM3" s="46" t="s">
        <v>102</v>
      </c>
      <c r="DN3" s="46" t="s">
        <v>103</v>
      </c>
      <c r="DO3" s="46" t="s">
        <v>104</v>
      </c>
      <c r="DP3" s="46" t="s">
        <v>482</v>
      </c>
      <c r="DQ3" s="46" t="s">
        <v>483</v>
      </c>
      <c r="DR3" s="46" t="s">
        <v>484</v>
      </c>
      <c r="DS3" s="46" t="s">
        <v>485</v>
      </c>
      <c r="DT3" s="46" t="s">
        <v>486</v>
      </c>
      <c r="DU3" s="46" t="s">
        <v>487</v>
      </c>
      <c r="DV3" s="46" t="s">
        <v>488</v>
      </c>
      <c r="DW3" s="46" t="s">
        <v>489</v>
      </c>
      <c r="DX3" s="46" t="s">
        <v>490</v>
      </c>
      <c r="DY3" s="46" t="s">
        <v>491</v>
      </c>
      <c r="DZ3" s="46" t="s">
        <v>492</v>
      </c>
      <c r="EA3" s="46" t="s">
        <v>493</v>
      </c>
      <c r="EB3" s="46" t="s">
        <v>494</v>
      </c>
      <c r="EC3" s="46" t="s">
        <v>495</v>
      </c>
      <c r="ED3" s="46" t="s">
        <v>496</v>
      </c>
      <c r="EE3" s="46" t="s">
        <v>497</v>
      </c>
      <c r="EF3" s="46" t="s">
        <v>498</v>
      </c>
      <c r="EG3" s="46" t="s">
        <v>499</v>
      </c>
      <c r="EH3" s="46" t="s">
        <v>500</v>
      </c>
      <c r="EI3" s="46" t="s">
        <v>501</v>
      </c>
      <c r="EJ3" s="46" t="s">
        <v>502</v>
      </c>
      <c r="EK3" s="46" t="s">
        <v>503</v>
      </c>
      <c r="EL3" s="46" t="s">
        <v>504</v>
      </c>
      <c r="EM3" s="46" t="s">
        <v>505</v>
      </c>
      <c r="EN3" s="46" t="s">
        <v>506</v>
      </c>
      <c r="EO3" s="46" t="s">
        <v>507</v>
      </c>
      <c r="EP3" s="46" t="s">
        <v>508</v>
      </c>
      <c r="EQ3" s="46" t="s">
        <v>509</v>
      </c>
      <c r="ER3" s="46" t="s">
        <v>510</v>
      </c>
      <c r="ES3" s="46" t="s">
        <v>511</v>
      </c>
      <c r="ET3" s="46" t="s">
        <v>512</v>
      </c>
      <c r="EU3" s="46" t="s">
        <v>513</v>
      </c>
      <c r="EV3" s="46" t="s">
        <v>514</v>
      </c>
      <c r="EW3" s="46" t="s">
        <v>515</v>
      </c>
      <c r="EX3" s="46" t="s">
        <v>516</v>
      </c>
      <c r="EY3" s="46" t="s">
        <v>517</v>
      </c>
      <c r="EZ3" s="46" t="s">
        <v>267</v>
      </c>
      <c r="FA3" s="46" t="s">
        <v>105</v>
      </c>
      <c r="FB3" s="46" t="s">
        <v>106</v>
      </c>
      <c r="FC3" s="46" t="s">
        <v>107</v>
      </c>
      <c r="FD3" s="46" t="s">
        <v>518</v>
      </c>
      <c r="FE3" s="46" t="s">
        <v>268</v>
      </c>
      <c r="FF3" s="46" t="s">
        <v>108</v>
      </c>
      <c r="FG3" s="46" t="s">
        <v>109</v>
      </c>
      <c r="FH3" s="46" t="s">
        <v>110</v>
      </c>
      <c r="FI3" s="46" t="s">
        <v>519</v>
      </c>
      <c r="FJ3" s="46" t="s">
        <v>269</v>
      </c>
      <c r="FK3" s="46" t="s">
        <v>111</v>
      </c>
      <c r="FL3" s="46" t="s">
        <v>112</v>
      </c>
      <c r="FM3" s="46" t="s">
        <v>113</v>
      </c>
      <c r="FN3" s="46" t="s">
        <v>520</v>
      </c>
      <c r="FO3" s="46" t="s">
        <v>521</v>
      </c>
      <c r="FP3" s="46" t="s">
        <v>522</v>
      </c>
      <c r="FQ3" s="46" t="s">
        <v>523</v>
      </c>
      <c r="FR3" s="46" t="s">
        <v>524</v>
      </c>
      <c r="FS3" s="46" t="s">
        <v>525</v>
      </c>
      <c r="FT3" s="46" t="s">
        <v>526</v>
      </c>
      <c r="FU3" s="46" t="s">
        <v>527</v>
      </c>
      <c r="FV3" s="46" t="s">
        <v>528</v>
      </c>
      <c r="FW3" s="46" t="s">
        <v>529</v>
      </c>
      <c r="FX3" s="46" t="s">
        <v>530</v>
      </c>
      <c r="FY3" s="46" t="s">
        <v>531</v>
      </c>
      <c r="FZ3" s="46" t="s">
        <v>532</v>
      </c>
      <c r="GA3" s="46" t="s">
        <v>533</v>
      </c>
      <c r="GB3" s="46" t="s">
        <v>534</v>
      </c>
      <c r="GC3" s="46" t="s">
        <v>535</v>
      </c>
      <c r="GD3" s="46" t="s">
        <v>536</v>
      </c>
      <c r="GE3" s="46" t="s">
        <v>537</v>
      </c>
      <c r="GF3" s="46" t="s">
        <v>538</v>
      </c>
      <c r="GG3" s="46" t="s">
        <v>539</v>
      </c>
      <c r="GH3" s="46" t="s">
        <v>540</v>
      </c>
      <c r="GI3" s="46" t="s">
        <v>541</v>
      </c>
      <c r="GJ3" s="46" t="s">
        <v>542</v>
      </c>
      <c r="GK3" s="46" t="s">
        <v>543</v>
      </c>
      <c r="GL3" s="46" t="s">
        <v>544</v>
      </c>
      <c r="GM3" s="46" t="s">
        <v>545</v>
      </c>
      <c r="GN3" s="46" t="s">
        <v>546</v>
      </c>
      <c r="GO3" s="46" t="s">
        <v>547</v>
      </c>
      <c r="GP3" s="46" t="s">
        <v>548</v>
      </c>
      <c r="GQ3" s="46" t="s">
        <v>549</v>
      </c>
      <c r="GR3" s="46" t="s">
        <v>550</v>
      </c>
      <c r="GS3" s="46" t="s">
        <v>551</v>
      </c>
      <c r="GT3" s="46" t="s">
        <v>552</v>
      </c>
      <c r="GU3" s="46" t="s">
        <v>553</v>
      </c>
      <c r="GV3" s="46" t="s">
        <v>554</v>
      </c>
      <c r="GW3" s="46" t="s">
        <v>555</v>
      </c>
      <c r="GX3" s="46" t="s">
        <v>270</v>
      </c>
      <c r="GY3" s="46" t="s">
        <v>114</v>
      </c>
      <c r="GZ3" s="46" t="s">
        <v>115</v>
      </c>
      <c r="HA3" s="46" t="s">
        <v>116</v>
      </c>
      <c r="HB3" s="46" t="s">
        <v>556</v>
      </c>
      <c r="HC3" s="46" t="s">
        <v>271</v>
      </c>
      <c r="HD3" s="46" t="s">
        <v>117</v>
      </c>
      <c r="HE3" s="46" t="s">
        <v>118</v>
      </c>
      <c r="HF3" s="46" t="s">
        <v>119</v>
      </c>
      <c r="HG3" s="46" t="s">
        <v>557</v>
      </c>
      <c r="HH3" s="46" t="s">
        <v>272</v>
      </c>
      <c r="HI3" s="46" t="s">
        <v>120</v>
      </c>
      <c r="HJ3" s="46" t="s">
        <v>121</v>
      </c>
      <c r="HK3" s="46" t="s">
        <v>122</v>
      </c>
      <c r="HL3" s="46" t="s">
        <v>558</v>
      </c>
      <c r="HM3" s="46" t="s">
        <v>559</v>
      </c>
      <c r="HN3" s="46" t="s">
        <v>560</v>
      </c>
      <c r="HO3" s="46" t="s">
        <v>561</v>
      </c>
      <c r="HP3" s="46" t="s">
        <v>562</v>
      </c>
      <c r="HQ3" s="46" t="s">
        <v>563</v>
      </c>
      <c r="HR3" s="46" t="s">
        <v>564</v>
      </c>
      <c r="HS3" s="46" t="s">
        <v>565</v>
      </c>
      <c r="HT3" s="46" t="s">
        <v>566</v>
      </c>
      <c r="HU3" s="46" t="s">
        <v>567</v>
      </c>
      <c r="HV3" s="46" t="s">
        <v>568</v>
      </c>
      <c r="HW3" s="46" t="s">
        <v>569</v>
      </c>
      <c r="HX3" s="46" t="s">
        <v>570</v>
      </c>
      <c r="HY3" s="46" t="s">
        <v>571</v>
      </c>
      <c r="HZ3" s="46" t="s">
        <v>572</v>
      </c>
      <c r="IA3" s="46" t="s">
        <v>573</v>
      </c>
      <c r="IB3" s="46" t="s">
        <v>574</v>
      </c>
      <c r="IC3" s="46" t="s">
        <v>575</v>
      </c>
      <c r="ID3" s="46" t="s">
        <v>576</v>
      </c>
      <c r="IE3" s="46" t="s">
        <v>577</v>
      </c>
      <c r="IF3" s="46" t="s">
        <v>578</v>
      </c>
      <c r="IG3" s="46" t="s">
        <v>579</v>
      </c>
      <c r="IH3" s="46" t="s">
        <v>580</v>
      </c>
      <c r="II3" s="46" t="s">
        <v>581</v>
      </c>
      <c r="IJ3" s="46" t="s">
        <v>582</v>
      </c>
      <c r="IK3" s="46" t="s">
        <v>583</v>
      </c>
      <c r="IL3" s="46" t="s">
        <v>584</v>
      </c>
      <c r="IM3" s="46" t="s">
        <v>585</v>
      </c>
      <c r="IN3" s="46" t="s">
        <v>586</v>
      </c>
      <c r="IO3" s="46" t="s">
        <v>587</v>
      </c>
      <c r="IP3" s="46" t="s">
        <v>588</v>
      </c>
      <c r="IQ3" s="46" t="s">
        <v>589</v>
      </c>
      <c r="IR3" s="46" t="s">
        <v>590</v>
      </c>
      <c r="IS3" s="46" t="s">
        <v>591</v>
      </c>
      <c r="IT3" s="46" t="s">
        <v>592</v>
      </c>
      <c r="IU3" s="46" t="s">
        <v>593</v>
      </c>
      <c r="IV3" s="46" t="s">
        <v>273</v>
      </c>
      <c r="IW3" s="46" t="s">
        <v>123</v>
      </c>
      <c r="IX3" s="46" t="s">
        <v>124</v>
      </c>
      <c r="IY3" s="46" t="s">
        <v>125</v>
      </c>
      <c r="IZ3" s="46" t="s">
        <v>594</v>
      </c>
      <c r="JA3" s="46" t="s">
        <v>274</v>
      </c>
      <c r="JB3" s="46" t="s">
        <v>126</v>
      </c>
      <c r="JC3" s="46" t="s">
        <v>127</v>
      </c>
      <c r="JD3" s="46" t="s">
        <v>128</v>
      </c>
      <c r="JE3" s="46" t="s">
        <v>595</v>
      </c>
      <c r="JF3" s="46" t="s">
        <v>275</v>
      </c>
      <c r="JG3" s="46" t="s">
        <v>129</v>
      </c>
      <c r="JH3" s="46" t="s">
        <v>130</v>
      </c>
      <c r="JI3" s="46" t="s">
        <v>131</v>
      </c>
      <c r="JJ3" s="46" t="s">
        <v>596</v>
      </c>
      <c r="JK3" s="46" t="s">
        <v>597</v>
      </c>
      <c r="JL3" s="46" t="s">
        <v>598</v>
      </c>
      <c r="JM3" s="46" t="s">
        <v>599</v>
      </c>
      <c r="JN3" s="46" t="s">
        <v>600</v>
      </c>
      <c r="JO3" s="46" t="s">
        <v>601</v>
      </c>
      <c r="JP3" s="46" t="s">
        <v>602</v>
      </c>
      <c r="JQ3" s="46" t="s">
        <v>603</v>
      </c>
      <c r="JR3" s="46" t="s">
        <v>604</v>
      </c>
      <c r="JS3" s="46" t="s">
        <v>605</v>
      </c>
      <c r="JT3" s="46" t="s">
        <v>606</v>
      </c>
      <c r="JU3" s="46" t="s">
        <v>607</v>
      </c>
      <c r="JV3" s="46" t="s">
        <v>608</v>
      </c>
      <c r="JW3" s="46" t="s">
        <v>609</v>
      </c>
      <c r="JX3" s="46" t="s">
        <v>610</v>
      </c>
      <c r="JY3" s="46" t="s">
        <v>611</v>
      </c>
      <c r="JZ3" s="46" t="s">
        <v>612</v>
      </c>
      <c r="KA3" s="46" t="s">
        <v>613</v>
      </c>
      <c r="KB3" s="46" t="s">
        <v>614</v>
      </c>
      <c r="KC3" s="46" t="s">
        <v>615</v>
      </c>
      <c r="KD3" s="46" t="s">
        <v>616</v>
      </c>
      <c r="KE3" s="46" t="s">
        <v>617</v>
      </c>
      <c r="KF3" s="46" t="s">
        <v>618</v>
      </c>
      <c r="KG3" s="46" t="s">
        <v>619</v>
      </c>
      <c r="KH3" s="46" t="s">
        <v>620</v>
      </c>
      <c r="KI3" s="46" t="s">
        <v>621</v>
      </c>
      <c r="KJ3" s="46" t="s">
        <v>622</v>
      </c>
      <c r="KK3" s="46" t="s">
        <v>623</v>
      </c>
      <c r="KL3" s="46" t="s">
        <v>624</v>
      </c>
      <c r="KM3" s="46" t="s">
        <v>625</v>
      </c>
      <c r="KN3" s="46" t="s">
        <v>626</v>
      </c>
      <c r="KO3" s="46" t="s">
        <v>627</v>
      </c>
      <c r="KP3" s="46" t="s">
        <v>628</v>
      </c>
      <c r="KQ3" s="46" t="s">
        <v>629</v>
      </c>
      <c r="KR3" s="46" t="s">
        <v>630</v>
      </c>
      <c r="KS3" s="46" t="s">
        <v>631</v>
      </c>
      <c r="KT3" s="46" t="s">
        <v>276</v>
      </c>
      <c r="KU3" s="46" t="s">
        <v>132</v>
      </c>
      <c r="KV3" s="46" t="s">
        <v>133</v>
      </c>
      <c r="KW3" s="46" t="s">
        <v>134</v>
      </c>
      <c r="KX3" s="46" t="s">
        <v>632</v>
      </c>
      <c r="KY3" s="46" t="s">
        <v>277</v>
      </c>
      <c r="KZ3" s="46" t="s">
        <v>135</v>
      </c>
      <c r="LA3" s="46" t="s">
        <v>136</v>
      </c>
      <c r="LB3" s="46" t="s">
        <v>137</v>
      </c>
      <c r="LC3" s="46" t="s">
        <v>633</v>
      </c>
      <c r="LD3" s="46" t="s">
        <v>278</v>
      </c>
      <c r="LE3" s="46" t="s">
        <v>138</v>
      </c>
      <c r="LF3" s="46" t="s">
        <v>139</v>
      </c>
      <c r="LG3" s="46" t="s">
        <v>140</v>
      </c>
      <c r="LH3" s="46" t="s">
        <v>634</v>
      </c>
      <c r="LI3" s="46" t="s">
        <v>635</v>
      </c>
      <c r="LJ3" s="46" t="s">
        <v>636</v>
      </c>
      <c r="LK3" s="46" t="s">
        <v>637</v>
      </c>
      <c r="LL3" s="46" t="s">
        <v>638</v>
      </c>
      <c r="LM3" s="46" t="s">
        <v>639</v>
      </c>
      <c r="LN3" s="46" t="s">
        <v>640</v>
      </c>
      <c r="LO3" s="46" t="s">
        <v>641</v>
      </c>
      <c r="LP3" s="46" t="s">
        <v>642</v>
      </c>
      <c r="LQ3" s="46" t="s">
        <v>643</v>
      </c>
      <c r="LR3" s="46" t="s">
        <v>644</v>
      </c>
      <c r="LS3" s="46" t="s">
        <v>645</v>
      </c>
      <c r="LT3" s="46" t="s">
        <v>646</v>
      </c>
      <c r="LU3" s="46" t="s">
        <v>647</v>
      </c>
      <c r="LV3" s="46" t="s">
        <v>648</v>
      </c>
      <c r="LW3" s="46" t="s">
        <v>649</v>
      </c>
      <c r="LX3" s="46" t="s">
        <v>650</v>
      </c>
      <c r="LY3" s="46" t="s">
        <v>651</v>
      </c>
      <c r="LZ3" s="46" t="s">
        <v>652</v>
      </c>
      <c r="MA3" s="46" t="s">
        <v>653</v>
      </c>
      <c r="MB3" s="46" t="s">
        <v>654</v>
      </c>
      <c r="MC3" s="46" t="s">
        <v>655</v>
      </c>
      <c r="MD3" s="46" t="s">
        <v>656</v>
      </c>
      <c r="ME3" s="46" t="s">
        <v>657</v>
      </c>
      <c r="MF3" s="46" t="s">
        <v>658</v>
      </c>
      <c r="MG3" s="46" t="s">
        <v>659</v>
      </c>
      <c r="MH3" s="46" t="s">
        <v>660</v>
      </c>
      <c r="MI3" s="46" t="s">
        <v>661</v>
      </c>
      <c r="MJ3" s="46" t="s">
        <v>662</v>
      </c>
      <c r="MK3" s="46" t="s">
        <v>663</v>
      </c>
      <c r="ML3" s="46" t="s">
        <v>664</v>
      </c>
      <c r="MM3" s="46" t="s">
        <v>665</v>
      </c>
      <c r="MN3" s="46" t="s">
        <v>666</v>
      </c>
      <c r="MO3" s="46" t="s">
        <v>667</v>
      </c>
      <c r="MP3" s="46" t="s">
        <v>668</v>
      </c>
      <c r="MQ3" s="46" t="s">
        <v>669</v>
      </c>
      <c r="MR3" s="46" t="s">
        <v>279</v>
      </c>
      <c r="MS3" s="46" t="s">
        <v>141</v>
      </c>
      <c r="MT3" s="46" t="s">
        <v>142</v>
      </c>
      <c r="MU3" s="46" t="s">
        <v>143</v>
      </c>
      <c r="MV3" s="46" t="s">
        <v>670</v>
      </c>
      <c r="MW3" s="46" t="s">
        <v>280</v>
      </c>
      <c r="MX3" s="46" t="s">
        <v>144</v>
      </c>
      <c r="MY3" s="46" t="s">
        <v>145</v>
      </c>
      <c r="MZ3" s="46" t="s">
        <v>146</v>
      </c>
      <c r="NA3" s="46" t="s">
        <v>671</v>
      </c>
      <c r="NB3" s="46" t="s">
        <v>281</v>
      </c>
      <c r="NC3" s="46" t="s">
        <v>147</v>
      </c>
      <c r="ND3" s="46" t="s">
        <v>148</v>
      </c>
      <c r="NE3" s="46" t="s">
        <v>149</v>
      </c>
      <c r="NF3" s="46" t="s">
        <v>672</v>
      </c>
      <c r="NG3" s="46" t="s">
        <v>673</v>
      </c>
      <c r="NH3" s="46" t="s">
        <v>674</v>
      </c>
      <c r="NI3" s="46" t="s">
        <v>675</v>
      </c>
      <c r="NJ3" s="46" t="s">
        <v>676</v>
      </c>
      <c r="NK3" s="46" t="s">
        <v>677</v>
      </c>
      <c r="NL3" s="46" t="s">
        <v>678</v>
      </c>
      <c r="NM3" s="46" t="s">
        <v>679</v>
      </c>
      <c r="NN3" s="46" t="s">
        <v>680</v>
      </c>
      <c r="NO3" s="46" t="s">
        <v>681</v>
      </c>
      <c r="NP3" s="46" t="s">
        <v>682</v>
      </c>
      <c r="NQ3" s="46" t="s">
        <v>683</v>
      </c>
      <c r="NR3" s="46" t="s">
        <v>684</v>
      </c>
      <c r="NS3" s="46" t="s">
        <v>685</v>
      </c>
      <c r="NT3" s="46" t="s">
        <v>686</v>
      </c>
      <c r="NU3" s="46" t="s">
        <v>687</v>
      </c>
      <c r="NV3" s="46" t="s">
        <v>688</v>
      </c>
      <c r="NW3" s="46" t="s">
        <v>689</v>
      </c>
      <c r="NX3" s="46" t="s">
        <v>690</v>
      </c>
      <c r="NY3" s="46" t="s">
        <v>691</v>
      </c>
      <c r="NZ3" s="46" t="s">
        <v>692</v>
      </c>
      <c r="OA3" s="46" t="s">
        <v>693</v>
      </c>
      <c r="OB3" s="46" t="s">
        <v>694</v>
      </c>
      <c r="OC3" s="46" t="s">
        <v>695</v>
      </c>
      <c r="OD3" s="46" t="s">
        <v>696</v>
      </c>
      <c r="OE3" s="46" t="s">
        <v>697</v>
      </c>
      <c r="OF3" s="46" t="s">
        <v>698</v>
      </c>
      <c r="OG3" s="46" t="s">
        <v>699</v>
      </c>
      <c r="OH3" s="46" t="s">
        <v>700</v>
      </c>
      <c r="OI3" s="46" t="s">
        <v>701</v>
      </c>
      <c r="OJ3" s="46" t="s">
        <v>702</v>
      </c>
      <c r="OK3" s="46" t="s">
        <v>703</v>
      </c>
      <c r="OL3" s="46" t="s">
        <v>704</v>
      </c>
      <c r="OM3" s="46" t="s">
        <v>705</v>
      </c>
      <c r="ON3" s="46" t="s">
        <v>706</v>
      </c>
      <c r="OO3" s="46" t="s">
        <v>707</v>
      </c>
      <c r="OP3" s="46" t="s">
        <v>282</v>
      </c>
      <c r="OQ3" s="46" t="s">
        <v>150</v>
      </c>
      <c r="OR3" s="46" t="s">
        <v>151</v>
      </c>
      <c r="OS3" s="46" t="s">
        <v>152</v>
      </c>
      <c r="OT3" s="46" t="s">
        <v>708</v>
      </c>
      <c r="OU3" s="46" t="s">
        <v>283</v>
      </c>
      <c r="OV3" s="46" t="s">
        <v>153</v>
      </c>
      <c r="OW3" s="46" t="s">
        <v>154</v>
      </c>
      <c r="OX3" s="46" t="s">
        <v>155</v>
      </c>
      <c r="OY3" s="46" t="s">
        <v>709</v>
      </c>
      <c r="OZ3" s="46" t="s">
        <v>284</v>
      </c>
      <c r="PA3" s="46" t="s">
        <v>156</v>
      </c>
      <c r="PB3" s="46" t="s">
        <v>157</v>
      </c>
      <c r="PC3" s="46" t="s">
        <v>158</v>
      </c>
      <c r="PD3" s="46" t="s">
        <v>710</v>
      </c>
      <c r="PE3" s="46" t="s">
        <v>711</v>
      </c>
      <c r="PF3" s="46" t="s">
        <v>712</v>
      </c>
      <c r="PG3" s="46" t="s">
        <v>713</v>
      </c>
      <c r="PH3" s="46" t="s">
        <v>714</v>
      </c>
      <c r="PI3" s="46" t="s">
        <v>715</v>
      </c>
      <c r="PJ3" s="46" t="s">
        <v>716</v>
      </c>
      <c r="PK3" s="46" t="s">
        <v>717</v>
      </c>
      <c r="PL3" s="46" t="s">
        <v>718</v>
      </c>
      <c r="PM3" s="46" t="s">
        <v>719</v>
      </c>
      <c r="PN3" s="46" t="s">
        <v>720</v>
      </c>
      <c r="PO3" s="46" t="s">
        <v>721</v>
      </c>
      <c r="PP3" s="46" t="s">
        <v>722</v>
      </c>
      <c r="PQ3" s="46" t="s">
        <v>723</v>
      </c>
      <c r="PR3" s="46" t="s">
        <v>724</v>
      </c>
      <c r="PS3" s="46" t="s">
        <v>725</v>
      </c>
      <c r="PT3" s="46" t="s">
        <v>726</v>
      </c>
      <c r="PU3" s="46" t="s">
        <v>727</v>
      </c>
      <c r="PV3" s="46" t="s">
        <v>728</v>
      </c>
      <c r="PW3" s="46" t="s">
        <v>729</v>
      </c>
      <c r="PX3" s="46" t="s">
        <v>730</v>
      </c>
      <c r="PY3" s="46" t="s">
        <v>731</v>
      </c>
      <c r="PZ3" s="46" t="s">
        <v>732</v>
      </c>
      <c r="QA3" s="46" t="s">
        <v>733</v>
      </c>
      <c r="QB3" s="46" t="s">
        <v>734</v>
      </c>
      <c r="QC3" s="46" t="s">
        <v>735</v>
      </c>
      <c r="QD3" s="46" t="s">
        <v>736</v>
      </c>
      <c r="QE3" s="46" t="s">
        <v>737</v>
      </c>
      <c r="QF3" s="46" t="s">
        <v>738</v>
      </c>
      <c r="QG3" s="46" t="s">
        <v>739</v>
      </c>
      <c r="QH3" s="46" t="s">
        <v>740</v>
      </c>
      <c r="QI3" s="46" t="s">
        <v>741</v>
      </c>
      <c r="QJ3" s="46" t="s">
        <v>742</v>
      </c>
      <c r="QK3" s="46" t="s">
        <v>743</v>
      </c>
      <c r="QL3" s="46" t="s">
        <v>744</v>
      </c>
      <c r="QM3" s="46" t="s">
        <v>745</v>
      </c>
      <c r="QN3" s="46" t="s">
        <v>285</v>
      </c>
      <c r="QO3" s="46" t="s">
        <v>159</v>
      </c>
      <c r="QP3" s="46" t="s">
        <v>160</v>
      </c>
      <c r="QQ3" s="46" t="s">
        <v>161</v>
      </c>
      <c r="QR3" s="46" t="s">
        <v>746</v>
      </c>
      <c r="QS3" s="46" t="s">
        <v>286</v>
      </c>
      <c r="QT3" s="46" t="s">
        <v>162</v>
      </c>
      <c r="QU3" s="46" t="s">
        <v>163</v>
      </c>
      <c r="QV3" s="46" t="s">
        <v>164</v>
      </c>
      <c r="QW3" s="46" t="s">
        <v>747</v>
      </c>
      <c r="QX3" s="46" t="s">
        <v>287</v>
      </c>
      <c r="QY3" s="46" t="s">
        <v>165</v>
      </c>
      <c r="QZ3" s="46" t="s">
        <v>166</v>
      </c>
      <c r="RA3" s="46" t="s">
        <v>167</v>
      </c>
      <c r="RB3" s="46" t="s">
        <v>748</v>
      </c>
      <c r="RC3" s="46" t="s">
        <v>749</v>
      </c>
      <c r="RD3" s="46" t="s">
        <v>750</v>
      </c>
      <c r="RE3" s="46" t="s">
        <v>751</v>
      </c>
      <c r="RF3" s="46" t="s">
        <v>752</v>
      </c>
      <c r="RG3" s="46" t="s">
        <v>753</v>
      </c>
      <c r="RH3" s="46" t="s">
        <v>754</v>
      </c>
      <c r="RI3" s="46" t="s">
        <v>755</v>
      </c>
      <c r="RJ3" s="46" t="s">
        <v>756</v>
      </c>
      <c r="RK3" s="46" t="s">
        <v>757</v>
      </c>
      <c r="RL3" s="46" t="s">
        <v>758</v>
      </c>
      <c r="RM3" s="46" t="s">
        <v>759</v>
      </c>
      <c r="RN3" s="46" t="s">
        <v>760</v>
      </c>
      <c r="RO3" s="46" t="s">
        <v>761</v>
      </c>
      <c r="RP3" s="46" t="s">
        <v>762</v>
      </c>
      <c r="RQ3" s="46" t="s">
        <v>763</v>
      </c>
      <c r="RR3" s="46" t="s">
        <v>764</v>
      </c>
      <c r="RS3" s="46" t="s">
        <v>765</v>
      </c>
      <c r="RT3" s="46" t="s">
        <v>766</v>
      </c>
      <c r="RU3" s="46" t="s">
        <v>767</v>
      </c>
      <c r="RV3" s="46" t="s">
        <v>768</v>
      </c>
      <c r="RW3" s="46" t="s">
        <v>769</v>
      </c>
      <c r="RX3" s="46" t="s">
        <v>770</v>
      </c>
      <c r="RY3" s="46" t="s">
        <v>771</v>
      </c>
      <c r="RZ3" s="46" t="s">
        <v>772</v>
      </c>
      <c r="SA3" s="46" t="s">
        <v>773</v>
      </c>
      <c r="SB3" s="46" t="s">
        <v>774</v>
      </c>
      <c r="SC3" s="46" t="s">
        <v>775</v>
      </c>
      <c r="SD3" s="46" t="s">
        <v>776</v>
      </c>
      <c r="SE3" s="46" t="s">
        <v>777</v>
      </c>
      <c r="SF3" s="46" t="s">
        <v>778</v>
      </c>
      <c r="SG3" s="46" t="s">
        <v>779</v>
      </c>
      <c r="SH3" s="46" t="s">
        <v>780</v>
      </c>
      <c r="SI3" s="46" t="s">
        <v>781</v>
      </c>
      <c r="SJ3" s="46" t="s">
        <v>782</v>
      </c>
      <c r="SK3" s="46" t="s">
        <v>783</v>
      </c>
      <c r="SL3" s="46" t="s">
        <v>288</v>
      </c>
      <c r="SM3" s="46" t="s">
        <v>168</v>
      </c>
      <c r="SN3" s="46" t="s">
        <v>169</v>
      </c>
      <c r="SO3" s="46" t="s">
        <v>170</v>
      </c>
      <c r="SP3" s="46" t="s">
        <v>784</v>
      </c>
      <c r="SQ3" s="46" t="s">
        <v>289</v>
      </c>
      <c r="SR3" s="46" t="s">
        <v>171</v>
      </c>
      <c r="SS3" s="46" t="s">
        <v>172</v>
      </c>
      <c r="ST3" s="46" t="s">
        <v>173</v>
      </c>
      <c r="SU3" s="46" t="s">
        <v>785</v>
      </c>
      <c r="SV3" s="46" t="s">
        <v>290</v>
      </c>
      <c r="SW3" s="46" t="s">
        <v>174</v>
      </c>
      <c r="SX3" s="46" t="s">
        <v>175</v>
      </c>
      <c r="SY3" s="46" t="s">
        <v>176</v>
      </c>
      <c r="SZ3" s="46" t="s">
        <v>786</v>
      </c>
      <c r="TA3" s="46" t="s">
        <v>787</v>
      </c>
      <c r="TB3" s="46" t="s">
        <v>788</v>
      </c>
      <c r="TC3" s="46" t="s">
        <v>789</v>
      </c>
      <c r="TD3" s="46" t="s">
        <v>790</v>
      </c>
      <c r="TE3" s="26" t="s">
        <v>791</v>
      </c>
      <c r="TF3" s="26" t="s">
        <v>792</v>
      </c>
      <c r="TG3" s="26" t="s">
        <v>793</v>
      </c>
      <c r="TH3" s="26" t="s">
        <v>794</v>
      </c>
      <c r="TI3" s="26" t="s">
        <v>795</v>
      </c>
      <c r="TJ3" s="26" t="s">
        <v>796</v>
      </c>
      <c r="TK3" s="26" t="s">
        <v>797</v>
      </c>
      <c r="TL3" s="26" t="s">
        <v>798</v>
      </c>
      <c r="TM3" s="26" t="s">
        <v>799</v>
      </c>
      <c r="TN3" s="26" t="s">
        <v>800</v>
      </c>
      <c r="TO3" s="26" t="s">
        <v>801</v>
      </c>
      <c r="TP3" s="26" t="s">
        <v>802</v>
      </c>
      <c r="TQ3" s="26" t="s">
        <v>803</v>
      </c>
      <c r="TR3" s="26" t="s">
        <v>804</v>
      </c>
      <c r="TS3" s="26" t="s">
        <v>805</v>
      </c>
      <c r="TT3" s="26" t="s">
        <v>806</v>
      </c>
      <c r="TU3" s="26" t="s">
        <v>807</v>
      </c>
      <c r="TV3" s="26" t="s">
        <v>808</v>
      </c>
      <c r="TW3" s="26" t="s">
        <v>809</v>
      </c>
      <c r="TX3" s="26" t="s">
        <v>810</v>
      </c>
      <c r="TY3" s="26" t="s">
        <v>811</v>
      </c>
      <c r="TZ3" s="26" t="s">
        <v>812</v>
      </c>
      <c r="UA3" s="26" t="s">
        <v>813</v>
      </c>
      <c r="UB3" s="26" t="s">
        <v>814</v>
      </c>
      <c r="UC3" s="26" t="s">
        <v>815</v>
      </c>
      <c r="UD3" s="26" t="s">
        <v>816</v>
      </c>
      <c r="UE3" s="26" t="s">
        <v>817</v>
      </c>
      <c r="UF3" s="26" t="s">
        <v>818</v>
      </c>
      <c r="UG3" s="26" t="s">
        <v>819</v>
      </c>
      <c r="UH3" s="26" t="s">
        <v>820</v>
      </c>
      <c r="UI3" s="26" t="s">
        <v>821</v>
      </c>
      <c r="UJ3" s="26" t="s">
        <v>291</v>
      </c>
      <c r="UK3" s="26" t="s">
        <v>177</v>
      </c>
      <c r="UL3" s="26" t="s">
        <v>178</v>
      </c>
      <c r="UM3" s="26" t="s">
        <v>179</v>
      </c>
      <c r="UN3" s="26" t="s">
        <v>822</v>
      </c>
      <c r="UO3" s="26" t="s">
        <v>292</v>
      </c>
      <c r="UP3" s="26" t="s">
        <v>180</v>
      </c>
      <c r="UQ3" s="26" t="s">
        <v>181</v>
      </c>
      <c r="UR3" s="26" t="s">
        <v>182</v>
      </c>
      <c r="US3" s="26" t="s">
        <v>823</v>
      </c>
      <c r="UT3" s="26" t="s">
        <v>293</v>
      </c>
      <c r="UU3" s="26" t="s">
        <v>183</v>
      </c>
      <c r="UV3" s="26" t="s">
        <v>184</v>
      </c>
      <c r="UW3" s="26" t="s">
        <v>185</v>
      </c>
      <c r="UX3" s="26" t="s">
        <v>824</v>
      </c>
      <c r="UY3" s="26" t="s">
        <v>825</v>
      </c>
      <c r="UZ3" s="26" t="s">
        <v>826</v>
      </c>
      <c r="VA3" s="26" t="s">
        <v>827</v>
      </c>
      <c r="VB3" s="26" t="s">
        <v>828</v>
      </c>
      <c r="VC3" s="26" t="s">
        <v>829</v>
      </c>
      <c r="VD3" s="26" t="s">
        <v>830</v>
      </c>
      <c r="VE3" s="26" t="s">
        <v>831</v>
      </c>
      <c r="VF3" s="26" t="s">
        <v>832</v>
      </c>
      <c r="VG3" s="26" t="s">
        <v>833</v>
      </c>
      <c r="VH3" s="26" t="s">
        <v>834</v>
      </c>
      <c r="VI3" s="26" t="s">
        <v>835</v>
      </c>
      <c r="VJ3" s="26" t="s">
        <v>836</v>
      </c>
      <c r="VK3" s="26" t="s">
        <v>837</v>
      </c>
      <c r="VL3" s="26" t="s">
        <v>838</v>
      </c>
      <c r="VM3" s="26" t="s">
        <v>839</v>
      </c>
      <c r="VN3" s="26" t="s">
        <v>840</v>
      </c>
      <c r="VO3" s="26" t="s">
        <v>841</v>
      </c>
      <c r="VP3" s="26" t="s">
        <v>842</v>
      </c>
      <c r="VQ3" s="26" t="s">
        <v>843</v>
      </c>
      <c r="VR3" s="26" t="s">
        <v>844</v>
      </c>
      <c r="VS3" s="26" t="s">
        <v>845</v>
      </c>
      <c r="VT3" s="26" t="s">
        <v>846</v>
      </c>
      <c r="VU3" s="26" t="s">
        <v>847</v>
      </c>
      <c r="VV3" s="26" t="s">
        <v>848</v>
      </c>
      <c r="VW3" s="26" t="s">
        <v>849</v>
      </c>
      <c r="VX3" s="26" t="s">
        <v>850</v>
      </c>
      <c r="VY3" s="26" t="s">
        <v>851</v>
      </c>
      <c r="VZ3" s="26" t="s">
        <v>852</v>
      </c>
      <c r="WA3" s="26" t="s">
        <v>853</v>
      </c>
      <c r="WB3" s="26" t="s">
        <v>854</v>
      </c>
      <c r="WC3" s="26" t="s">
        <v>855</v>
      </c>
      <c r="WD3" s="26" t="s">
        <v>856</v>
      </c>
      <c r="WE3" s="26" t="s">
        <v>857</v>
      </c>
      <c r="WF3" s="26" t="s">
        <v>858</v>
      </c>
      <c r="WG3" s="26" t="s">
        <v>859</v>
      </c>
      <c r="WH3" s="26" t="s">
        <v>294</v>
      </c>
      <c r="WI3" s="26" t="s">
        <v>186</v>
      </c>
      <c r="WJ3" s="26" t="s">
        <v>187</v>
      </c>
      <c r="WK3" s="26" t="s">
        <v>188</v>
      </c>
      <c r="WL3" s="26" t="s">
        <v>860</v>
      </c>
      <c r="WM3" s="26" t="s">
        <v>295</v>
      </c>
      <c r="WN3" s="26" t="s">
        <v>189</v>
      </c>
      <c r="WO3" s="26" t="s">
        <v>190</v>
      </c>
      <c r="WP3" s="26" t="s">
        <v>191</v>
      </c>
      <c r="WQ3" s="26" t="s">
        <v>861</v>
      </c>
      <c r="WR3" s="26" t="s">
        <v>296</v>
      </c>
      <c r="WS3" s="26" t="s">
        <v>192</v>
      </c>
      <c r="WT3" s="26" t="s">
        <v>193</v>
      </c>
      <c r="WU3" s="26" t="s">
        <v>194</v>
      </c>
      <c r="WV3" s="26" t="s">
        <v>862</v>
      </c>
      <c r="WW3" s="26" t="s">
        <v>863</v>
      </c>
      <c r="WX3" s="26" t="s">
        <v>864</v>
      </c>
      <c r="WY3" s="26" t="s">
        <v>865</v>
      </c>
      <c r="WZ3" s="26" t="s">
        <v>866</v>
      </c>
      <c r="XA3" s="26" t="s">
        <v>867</v>
      </c>
      <c r="XB3" s="26" t="s">
        <v>868</v>
      </c>
      <c r="XC3" s="26" t="s">
        <v>869</v>
      </c>
      <c r="XD3" s="26" t="s">
        <v>870</v>
      </c>
      <c r="XE3" s="26" t="s">
        <v>871</v>
      </c>
      <c r="XF3" s="26" t="s">
        <v>872</v>
      </c>
      <c r="XG3" s="26" t="s">
        <v>873</v>
      </c>
      <c r="XH3" s="26" t="s">
        <v>874</v>
      </c>
      <c r="XI3" s="26" t="s">
        <v>875</v>
      </c>
      <c r="XJ3" s="26" t="s">
        <v>876</v>
      </c>
      <c r="XK3" s="26" t="s">
        <v>877</v>
      </c>
      <c r="XL3" s="26" t="s">
        <v>878</v>
      </c>
      <c r="XM3" s="26" t="s">
        <v>879</v>
      </c>
      <c r="XN3" s="26" t="s">
        <v>880</v>
      </c>
      <c r="XO3" s="26" t="s">
        <v>881</v>
      </c>
      <c r="XP3" s="26" t="s">
        <v>882</v>
      </c>
      <c r="XQ3" s="26" t="s">
        <v>883</v>
      </c>
      <c r="XR3" s="26" t="s">
        <v>884</v>
      </c>
      <c r="XS3" s="26" t="s">
        <v>885</v>
      </c>
      <c r="XT3" s="26" t="s">
        <v>886</v>
      </c>
      <c r="XU3" s="26" t="s">
        <v>887</v>
      </c>
      <c r="XV3" s="26" t="s">
        <v>888</v>
      </c>
      <c r="XW3" s="26" t="s">
        <v>889</v>
      </c>
      <c r="XX3" s="26" t="s">
        <v>890</v>
      </c>
      <c r="XY3" s="26" t="s">
        <v>891</v>
      </c>
      <c r="XZ3" s="26" t="s">
        <v>892</v>
      </c>
      <c r="YA3" s="26" t="s">
        <v>893</v>
      </c>
      <c r="YB3" s="26" t="s">
        <v>894</v>
      </c>
      <c r="YC3" s="26" t="s">
        <v>895</v>
      </c>
      <c r="YD3" s="26" t="s">
        <v>896</v>
      </c>
      <c r="YE3" s="26" t="s">
        <v>897</v>
      </c>
      <c r="YF3" s="26" t="s">
        <v>297</v>
      </c>
      <c r="YG3" s="26" t="s">
        <v>195</v>
      </c>
      <c r="YH3" s="26" t="s">
        <v>196</v>
      </c>
      <c r="YI3" s="26" t="s">
        <v>197</v>
      </c>
      <c r="YJ3" s="26" t="s">
        <v>898</v>
      </c>
      <c r="YK3" s="26" t="s">
        <v>298</v>
      </c>
      <c r="YL3" s="26" t="s">
        <v>198</v>
      </c>
      <c r="YM3" s="26" t="s">
        <v>199</v>
      </c>
      <c r="YN3" s="26" t="s">
        <v>200</v>
      </c>
      <c r="YO3" s="26" t="s">
        <v>899</v>
      </c>
      <c r="YP3" s="26" t="s">
        <v>299</v>
      </c>
      <c r="YQ3" s="26" t="s">
        <v>201</v>
      </c>
      <c r="YR3" s="26" t="s">
        <v>202</v>
      </c>
      <c r="YS3" s="26" t="s">
        <v>203</v>
      </c>
      <c r="YT3" s="26" t="s">
        <v>900</v>
      </c>
      <c r="YU3" s="26" t="s">
        <v>901</v>
      </c>
      <c r="YV3" s="26" t="s">
        <v>902</v>
      </c>
      <c r="YW3" s="26" t="s">
        <v>903</v>
      </c>
      <c r="YX3" s="26" t="s">
        <v>904</v>
      </c>
      <c r="YY3" s="26" t="s">
        <v>905</v>
      </c>
      <c r="YZ3" s="26" t="s">
        <v>906</v>
      </c>
      <c r="ZA3" s="26" t="s">
        <v>907</v>
      </c>
      <c r="ZB3" s="26" t="s">
        <v>908</v>
      </c>
      <c r="ZC3" s="26" t="s">
        <v>909</v>
      </c>
      <c r="ZD3" s="26" t="s">
        <v>910</v>
      </c>
      <c r="ZE3" s="26" t="s">
        <v>911</v>
      </c>
      <c r="ZF3" s="26" t="s">
        <v>912</v>
      </c>
      <c r="ZG3" s="26" t="s">
        <v>913</v>
      </c>
      <c r="ZH3" s="26" t="s">
        <v>914</v>
      </c>
      <c r="ZI3" s="26" t="s">
        <v>915</v>
      </c>
      <c r="ZJ3" s="26" t="s">
        <v>916</v>
      </c>
      <c r="ZK3" s="26" t="s">
        <v>917</v>
      </c>
      <c r="ZL3" s="26" t="s">
        <v>918</v>
      </c>
      <c r="ZM3" s="26" t="s">
        <v>919</v>
      </c>
      <c r="ZN3" s="26" t="s">
        <v>920</v>
      </c>
      <c r="ZO3" s="26" t="s">
        <v>921</v>
      </c>
      <c r="ZP3" s="26" t="s">
        <v>922</v>
      </c>
      <c r="ZQ3" s="26" t="s">
        <v>923</v>
      </c>
      <c r="ZR3" s="26" t="s">
        <v>924</v>
      </c>
      <c r="ZS3" s="26" t="s">
        <v>925</v>
      </c>
      <c r="ZT3" s="26" t="s">
        <v>926</v>
      </c>
      <c r="ZU3" s="26" t="s">
        <v>927</v>
      </c>
      <c r="ZV3" s="26" t="s">
        <v>928</v>
      </c>
      <c r="ZW3" s="26" t="s">
        <v>929</v>
      </c>
      <c r="ZX3" s="26" t="s">
        <v>930</v>
      </c>
      <c r="ZY3" s="26" t="s">
        <v>931</v>
      </c>
      <c r="ZZ3" s="26" t="s">
        <v>932</v>
      </c>
      <c r="AAA3" s="26" t="s">
        <v>933</v>
      </c>
      <c r="AAB3" s="26" t="s">
        <v>934</v>
      </c>
      <c r="AAC3" s="26" t="s">
        <v>935</v>
      </c>
      <c r="AAD3" s="26" t="s">
        <v>300</v>
      </c>
      <c r="AAE3" s="26" t="s">
        <v>204</v>
      </c>
      <c r="AAF3" s="26" t="s">
        <v>205</v>
      </c>
      <c r="AAG3" s="26" t="s">
        <v>206</v>
      </c>
      <c r="AAH3" s="26" t="s">
        <v>936</v>
      </c>
      <c r="AAI3" s="26" t="s">
        <v>301</v>
      </c>
      <c r="AAJ3" s="26" t="s">
        <v>207</v>
      </c>
      <c r="AAK3" s="26" t="s">
        <v>208</v>
      </c>
      <c r="AAL3" s="26" t="s">
        <v>209</v>
      </c>
      <c r="AAM3" s="26" t="s">
        <v>937</v>
      </c>
      <c r="AAN3" s="26" t="s">
        <v>302</v>
      </c>
      <c r="AAO3" s="26" t="s">
        <v>210</v>
      </c>
      <c r="AAP3" s="26" t="s">
        <v>211</v>
      </c>
      <c r="AAQ3" s="26" t="s">
        <v>212</v>
      </c>
      <c r="AAR3" s="26" t="s">
        <v>938</v>
      </c>
      <c r="AAS3" s="26" t="s">
        <v>939</v>
      </c>
      <c r="AAT3" s="26" t="s">
        <v>940</v>
      </c>
      <c r="AAU3" s="26" t="s">
        <v>941</v>
      </c>
      <c r="AAV3" s="26" t="s">
        <v>942</v>
      </c>
      <c r="AAW3" s="26" t="s">
        <v>943</v>
      </c>
      <c r="AAX3" s="26" t="s">
        <v>944</v>
      </c>
      <c r="AAY3" s="26" t="s">
        <v>945</v>
      </c>
      <c r="AAZ3" s="26" t="s">
        <v>946</v>
      </c>
      <c r="ABA3" s="26" t="s">
        <v>947</v>
      </c>
      <c r="ABB3" s="26" t="s">
        <v>948</v>
      </c>
      <c r="ABC3" s="26" t="s">
        <v>949</v>
      </c>
      <c r="ABD3" s="26" t="s">
        <v>950</v>
      </c>
      <c r="ABE3" s="26" t="s">
        <v>951</v>
      </c>
      <c r="ABF3" s="26" t="s">
        <v>952</v>
      </c>
      <c r="ABG3" s="26" t="s">
        <v>953</v>
      </c>
      <c r="ABH3" s="26" t="s">
        <v>954</v>
      </c>
      <c r="ABI3" s="26" t="s">
        <v>955</v>
      </c>
      <c r="ABJ3" s="26" t="s">
        <v>956</v>
      </c>
      <c r="ABK3" s="26" t="s">
        <v>957</v>
      </c>
      <c r="ABL3" s="26" t="s">
        <v>958</v>
      </c>
      <c r="ABM3" s="26" t="s">
        <v>959</v>
      </c>
      <c r="ABN3" s="26" t="s">
        <v>960</v>
      </c>
      <c r="ABO3" s="26" t="s">
        <v>961</v>
      </c>
      <c r="ABP3" s="26" t="s">
        <v>962</v>
      </c>
      <c r="ABQ3" s="26" t="s">
        <v>963</v>
      </c>
      <c r="ABR3" s="26" t="s">
        <v>964</v>
      </c>
      <c r="ABS3" s="26" t="s">
        <v>965</v>
      </c>
      <c r="ABT3" s="26" t="s">
        <v>966</v>
      </c>
      <c r="ABU3" s="26" t="s">
        <v>967</v>
      </c>
      <c r="ABV3" s="26" t="s">
        <v>968</v>
      </c>
      <c r="ABW3" s="26" t="s">
        <v>969</v>
      </c>
      <c r="ABX3" s="26" t="s">
        <v>970</v>
      </c>
      <c r="ABY3" s="26" t="s">
        <v>971</v>
      </c>
      <c r="ABZ3" s="26" t="s">
        <v>972</v>
      </c>
      <c r="ACA3" s="26" t="s">
        <v>973</v>
      </c>
      <c r="ACB3" s="26" t="s">
        <v>303</v>
      </c>
      <c r="ACC3" s="26" t="s">
        <v>213</v>
      </c>
      <c r="ACD3" s="26" t="s">
        <v>214</v>
      </c>
      <c r="ACE3" s="26" t="s">
        <v>215</v>
      </c>
      <c r="ACF3" s="26" t="s">
        <v>974</v>
      </c>
      <c r="ACG3" s="26" t="s">
        <v>304</v>
      </c>
      <c r="ACH3" s="26" t="s">
        <v>216</v>
      </c>
      <c r="ACI3" s="26" t="s">
        <v>217</v>
      </c>
      <c r="ACJ3" s="26" t="s">
        <v>218</v>
      </c>
      <c r="ACK3" s="26" t="s">
        <v>975</v>
      </c>
      <c r="ACL3" s="26" t="s">
        <v>305</v>
      </c>
      <c r="ACM3" s="26" t="s">
        <v>219</v>
      </c>
      <c r="ACN3" s="26" t="s">
        <v>220</v>
      </c>
      <c r="ACO3" s="26" t="s">
        <v>221</v>
      </c>
      <c r="ACP3" s="26" t="s">
        <v>976</v>
      </c>
      <c r="ACQ3" s="26" t="s">
        <v>977</v>
      </c>
      <c r="ACR3" s="26" t="s">
        <v>978</v>
      </c>
      <c r="ACS3" s="26" t="s">
        <v>979</v>
      </c>
      <c r="ACT3" s="26" t="s">
        <v>980</v>
      </c>
      <c r="ACU3" s="26" t="s">
        <v>981</v>
      </c>
      <c r="ACV3" s="26" t="s">
        <v>982</v>
      </c>
      <c r="ACW3" s="26" t="s">
        <v>983</v>
      </c>
      <c r="ACX3" s="26" t="s">
        <v>984</v>
      </c>
      <c r="ACY3" s="26" t="s">
        <v>985</v>
      </c>
      <c r="ACZ3" s="26" t="s">
        <v>986</v>
      </c>
      <c r="ADA3" s="26" t="s">
        <v>987</v>
      </c>
      <c r="ADB3" s="26" t="s">
        <v>988</v>
      </c>
      <c r="ADC3" s="26" t="s">
        <v>989</v>
      </c>
      <c r="ADD3" s="26" t="s">
        <v>990</v>
      </c>
      <c r="ADE3" s="26" t="s">
        <v>991</v>
      </c>
      <c r="ADF3" s="26" t="s">
        <v>992</v>
      </c>
      <c r="ADG3" s="26" t="s">
        <v>993</v>
      </c>
      <c r="ADH3" s="26" t="s">
        <v>994</v>
      </c>
      <c r="ADI3" s="26" t="s">
        <v>995</v>
      </c>
      <c r="ADJ3" s="26" t="s">
        <v>996</v>
      </c>
      <c r="ADK3" s="26" t="s">
        <v>997</v>
      </c>
      <c r="ADL3" s="26" t="s">
        <v>998</v>
      </c>
      <c r="ADM3" s="26" t="s">
        <v>999</v>
      </c>
      <c r="ADN3" s="26" t="s">
        <v>1000</v>
      </c>
      <c r="ADO3" s="26" t="s">
        <v>1001</v>
      </c>
      <c r="ADP3" s="26" t="s">
        <v>1002</v>
      </c>
      <c r="ADQ3" s="26" t="s">
        <v>1003</v>
      </c>
      <c r="ADR3" s="26" t="s">
        <v>1004</v>
      </c>
      <c r="ADS3" s="26" t="s">
        <v>1005</v>
      </c>
      <c r="ADT3" s="26" t="s">
        <v>1006</v>
      </c>
      <c r="ADU3" s="26" t="s">
        <v>1007</v>
      </c>
      <c r="ADV3" s="26" t="s">
        <v>1008</v>
      </c>
      <c r="ADW3" s="26" t="s">
        <v>1009</v>
      </c>
      <c r="ADX3" s="26" t="s">
        <v>1010</v>
      </c>
      <c r="ADY3" s="26" t="s">
        <v>1011</v>
      </c>
      <c r="ADZ3" s="26" t="s">
        <v>306</v>
      </c>
      <c r="AEA3" s="26" t="s">
        <v>222</v>
      </c>
      <c r="AEB3" s="26" t="s">
        <v>223</v>
      </c>
      <c r="AEC3" s="26" t="s">
        <v>224</v>
      </c>
      <c r="AED3" s="26" t="s">
        <v>1012</v>
      </c>
      <c r="AEE3" s="26" t="s">
        <v>307</v>
      </c>
      <c r="AEF3" s="26" t="s">
        <v>225</v>
      </c>
      <c r="AEG3" s="26" t="s">
        <v>226</v>
      </c>
      <c r="AEH3" s="26" t="s">
        <v>227</v>
      </c>
      <c r="AEI3" s="26" t="s">
        <v>1013</v>
      </c>
      <c r="AEJ3" s="26" t="s">
        <v>308</v>
      </c>
      <c r="AEK3" s="26" t="s">
        <v>228</v>
      </c>
      <c r="AEL3" s="26" t="s">
        <v>229</v>
      </c>
      <c r="AEM3" s="26" t="s">
        <v>230</v>
      </c>
      <c r="AEN3" s="26" t="s">
        <v>1014</v>
      </c>
      <c r="AEO3" s="26" t="s">
        <v>1015</v>
      </c>
      <c r="AEP3" s="26" t="s">
        <v>1016</v>
      </c>
      <c r="AEQ3" s="26" t="s">
        <v>1017</v>
      </c>
      <c r="AER3" s="26" t="s">
        <v>1018</v>
      </c>
      <c r="AES3" s="26" t="s">
        <v>1019</v>
      </c>
      <c r="AET3" s="26" t="s">
        <v>1020</v>
      </c>
      <c r="AEU3" s="26" t="s">
        <v>1021</v>
      </c>
      <c r="AEV3" s="26" t="s">
        <v>1022</v>
      </c>
      <c r="AEW3" s="26" t="s">
        <v>1023</v>
      </c>
      <c r="AEX3" s="26" t="s">
        <v>1024</v>
      </c>
      <c r="AEY3" s="26" t="s">
        <v>1025</v>
      </c>
      <c r="AEZ3" s="26" t="s">
        <v>1026</v>
      </c>
      <c r="AFA3" s="26" t="s">
        <v>1027</v>
      </c>
      <c r="AFB3" s="26" t="s">
        <v>1028</v>
      </c>
      <c r="AFC3" s="26" t="s">
        <v>1029</v>
      </c>
      <c r="AFD3" s="26" t="s">
        <v>1030</v>
      </c>
      <c r="AFE3" s="26" t="s">
        <v>1031</v>
      </c>
      <c r="AFF3" s="26" t="s">
        <v>1032</v>
      </c>
      <c r="AFG3" s="26" t="s">
        <v>1033</v>
      </c>
      <c r="AFH3" s="26" t="s">
        <v>1034</v>
      </c>
      <c r="AFI3" s="26" t="s">
        <v>1035</v>
      </c>
      <c r="AFJ3" s="26" t="s">
        <v>1036</v>
      </c>
      <c r="AFK3" s="26" t="s">
        <v>1037</v>
      </c>
      <c r="AFL3" s="26" t="s">
        <v>1038</v>
      </c>
      <c r="AFM3" s="26" t="s">
        <v>1039</v>
      </c>
      <c r="AFN3" s="26" t="s">
        <v>1040</v>
      </c>
      <c r="AFO3" s="26" t="s">
        <v>1041</v>
      </c>
      <c r="AFP3" s="26" t="s">
        <v>1042</v>
      </c>
      <c r="AFQ3" s="26" t="s">
        <v>1043</v>
      </c>
      <c r="AFR3" s="26" t="s">
        <v>1044</v>
      </c>
      <c r="AFS3" s="26" t="s">
        <v>1045</v>
      </c>
      <c r="AFT3" s="26" t="s">
        <v>1046</v>
      </c>
      <c r="AFU3" s="26" t="s">
        <v>1047</v>
      </c>
      <c r="AFV3" s="26" t="s">
        <v>1048</v>
      </c>
      <c r="AFW3" s="26" t="s">
        <v>1049</v>
      </c>
      <c r="AFX3" s="26" t="s">
        <v>309</v>
      </c>
      <c r="AFY3" s="26" t="s">
        <v>231</v>
      </c>
      <c r="AFZ3" s="26" t="s">
        <v>232</v>
      </c>
      <c r="AGA3" s="26" t="s">
        <v>233</v>
      </c>
      <c r="AGB3" s="26" t="s">
        <v>1050</v>
      </c>
      <c r="AGC3" s="26" t="s">
        <v>310</v>
      </c>
      <c r="AGD3" s="26" t="s">
        <v>234</v>
      </c>
      <c r="AGE3" s="26" t="s">
        <v>235</v>
      </c>
      <c r="AGF3" s="26" t="s">
        <v>236</v>
      </c>
      <c r="AGG3" s="26" t="s">
        <v>1051</v>
      </c>
      <c r="AGH3" s="26" t="s">
        <v>311</v>
      </c>
      <c r="AGI3" s="26" t="s">
        <v>237</v>
      </c>
      <c r="AGJ3" s="26" t="s">
        <v>238</v>
      </c>
      <c r="AGK3" s="26" t="s">
        <v>239</v>
      </c>
      <c r="AGL3" s="26" t="s">
        <v>1052</v>
      </c>
      <c r="AGM3" s="26" t="s">
        <v>1053</v>
      </c>
      <c r="AGN3" s="26" t="s">
        <v>1054</v>
      </c>
      <c r="AGO3" s="26" t="s">
        <v>1055</v>
      </c>
      <c r="AGP3" s="26" t="s">
        <v>1056</v>
      </c>
      <c r="AGQ3" s="26" t="s">
        <v>1057</v>
      </c>
      <c r="AGR3" s="26" t="s">
        <v>1058</v>
      </c>
      <c r="AGS3" s="26" t="s">
        <v>1059</v>
      </c>
      <c r="AGT3" s="26" t="s">
        <v>1060</v>
      </c>
      <c r="AGU3" s="26" t="s">
        <v>1061</v>
      </c>
      <c r="AGV3" s="26" t="s">
        <v>1062</v>
      </c>
      <c r="AGW3" s="26" t="s">
        <v>1063</v>
      </c>
      <c r="AGX3" s="26" t="s">
        <v>1064</v>
      </c>
      <c r="AGY3" s="26" t="s">
        <v>1065</v>
      </c>
      <c r="AGZ3" s="26" t="s">
        <v>1066</v>
      </c>
      <c r="AHA3" s="26" t="s">
        <v>1067</v>
      </c>
      <c r="AHB3" s="26" t="s">
        <v>1068</v>
      </c>
      <c r="AHC3" s="26" t="s">
        <v>1069</v>
      </c>
      <c r="AHD3" s="26" t="s">
        <v>1070</v>
      </c>
      <c r="AHE3" s="26" t="s">
        <v>1071</v>
      </c>
      <c r="AHF3" s="26" t="s">
        <v>1072</v>
      </c>
      <c r="AHG3" s="26" t="s">
        <v>1073</v>
      </c>
      <c r="AHH3" s="26" t="s">
        <v>1074</v>
      </c>
      <c r="AHI3" s="26" t="s">
        <v>1075</v>
      </c>
      <c r="AHJ3" s="26" t="s">
        <v>1076</v>
      </c>
      <c r="AHK3" s="26" t="s">
        <v>1077</v>
      </c>
      <c r="AHL3" s="26" t="s">
        <v>1078</v>
      </c>
      <c r="AHM3" s="26" t="s">
        <v>1079</v>
      </c>
      <c r="AHN3" s="26" t="s">
        <v>1080</v>
      </c>
      <c r="AHO3" s="26" t="s">
        <v>1081</v>
      </c>
      <c r="AHP3" s="26" t="s">
        <v>1082</v>
      </c>
      <c r="AHQ3" s="26" t="s">
        <v>1083</v>
      </c>
      <c r="AHR3" s="26" t="s">
        <v>1084</v>
      </c>
      <c r="AHS3" s="26" t="s">
        <v>1085</v>
      </c>
      <c r="AHT3" s="26" t="s">
        <v>1086</v>
      </c>
      <c r="AHU3" s="26" t="s">
        <v>1087</v>
      </c>
      <c r="AHV3" s="26" t="s">
        <v>312</v>
      </c>
      <c r="AHW3" s="26" t="s">
        <v>240</v>
      </c>
      <c r="AHX3" s="26" t="s">
        <v>241</v>
      </c>
      <c r="AHY3" s="26" t="s">
        <v>242</v>
      </c>
      <c r="AHZ3" s="26" t="s">
        <v>1088</v>
      </c>
      <c r="AIA3" s="26" t="s">
        <v>313</v>
      </c>
      <c r="AIB3" s="26" t="s">
        <v>243</v>
      </c>
      <c r="AIC3" s="26" t="s">
        <v>244</v>
      </c>
      <c r="AID3" s="26" t="s">
        <v>245</v>
      </c>
      <c r="AIE3" s="26" t="s">
        <v>1089</v>
      </c>
      <c r="AIF3" s="26" t="s">
        <v>314</v>
      </c>
      <c r="AIG3" s="26" t="s">
        <v>246</v>
      </c>
      <c r="AIH3" s="26" t="s">
        <v>247</v>
      </c>
      <c r="AII3" s="26" t="s">
        <v>248</v>
      </c>
      <c r="AIJ3" s="26" t="s">
        <v>1090</v>
      </c>
      <c r="AIK3" s="26" t="s">
        <v>1091</v>
      </c>
      <c r="AIL3" s="26" t="s">
        <v>1092</v>
      </c>
      <c r="AIM3" s="26" t="s">
        <v>1093</v>
      </c>
      <c r="AIN3" s="26" t="s">
        <v>1094</v>
      </c>
      <c r="AIO3" s="26" t="s">
        <v>1095</v>
      </c>
      <c r="AIP3" s="26" t="s">
        <v>1096</v>
      </c>
      <c r="AIQ3" s="26" t="s">
        <v>1097</v>
      </c>
      <c r="AIR3" s="26" t="s">
        <v>1098</v>
      </c>
      <c r="AIS3" s="26" t="s">
        <v>1099</v>
      </c>
      <c r="AIT3" s="26" t="s">
        <v>1100</v>
      </c>
      <c r="AIU3" s="26" t="s">
        <v>1101</v>
      </c>
      <c r="AIV3" s="26" t="s">
        <v>1102</v>
      </c>
      <c r="AIW3" s="26" t="s">
        <v>1103</v>
      </c>
      <c r="AIX3" s="26" t="s">
        <v>1104</v>
      </c>
      <c r="AIY3" s="26" t="s">
        <v>1105</v>
      </c>
      <c r="AIZ3" s="26" t="s">
        <v>1106</v>
      </c>
      <c r="AJA3" s="26" t="s">
        <v>1107</v>
      </c>
      <c r="AJB3" s="26" t="s">
        <v>1108</v>
      </c>
      <c r="AJC3" s="26" t="s">
        <v>1109</v>
      </c>
      <c r="AJD3" s="26" t="s">
        <v>1110</v>
      </c>
      <c r="AJE3" s="26" t="s">
        <v>1111</v>
      </c>
      <c r="AJF3" s="26" t="s">
        <v>1112</v>
      </c>
      <c r="AJG3" s="26" t="s">
        <v>1113</v>
      </c>
      <c r="AJH3" s="26" t="s">
        <v>1114</v>
      </c>
      <c r="AJI3" s="26" t="s">
        <v>1115</v>
      </c>
      <c r="AJJ3" s="26" t="s">
        <v>1116</v>
      </c>
      <c r="AJK3" s="26" t="s">
        <v>1117</v>
      </c>
      <c r="AJL3" s="26" t="s">
        <v>1118</v>
      </c>
      <c r="AJM3" s="26" t="s">
        <v>1119</v>
      </c>
      <c r="AJN3" s="26" t="s">
        <v>1120</v>
      </c>
      <c r="AJO3" s="26" t="s">
        <v>1121</v>
      </c>
      <c r="AJP3" s="26" t="s">
        <v>1122</v>
      </c>
      <c r="AJQ3" s="26" t="s">
        <v>1123</v>
      </c>
      <c r="AJR3" s="26" t="s">
        <v>1124</v>
      </c>
      <c r="AJS3" s="26" t="s">
        <v>1125</v>
      </c>
      <c r="AJT3" s="26" t="s">
        <v>315</v>
      </c>
      <c r="AJU3" s="26" t="s">
        <v>249</v>
      </c>
      <c r="AJV3" s="26" t="s">
        <v>250</v>
      </c>
      <c r="AJW3" s="26" t="s">
        <v>251</v>
      </c>
      <c r="AJX3" s="26" t="s">
        <v>1126</v>
      </c>
      <c r="AJY3" s="26" t="s">
        <v>316</v>
      </c>
      <c r="AJZ3" s="26" t="s">
        <v>252</v>
      </c>
      <c r="AKA3" s="26" t="s">
        <v>253</v>
      </c>
      <c r="AKB3" s="26" t="s">
        <v>254</v>
      </c>
      <c r="AKC3" s="26" t="s">
        <v>1127</v>
      </c>
      <c r="AKD3" s="26" t="s">
        <v>317</v>
      </c>
      <c r="AKE3" s="26" t="s">
        <v>255</v>
      </c>
      <c r="AKF3" s="26" t="s">
        <v>256</v>
      </c>
      <c r="AKG3" s="26" t="s">
        <v>257</v>
      </c>
      <c r="AKH3" s="26" t="s">
        <v>1128</v>
      </c>
      <c r="AKI3" s="26" t="s">
        <v>1129</v>
      </c>
      <c r="AKJ3" s="26" t="s">
        <v>1130</v>
      </c>
      <c r="AKK3" s="26" t="s">
        <v>1131</v>
      </c>
      <c r="AKL3" s="26" t="s">
        <v>1132</v>
      </c>
      <c r="AKM3" s="26" t="s">
        <v>1133</v>
      </c>
      <c r="AKN3" s="26" t="s">
        <v>1134</v>
      </c>
      <c r="AKO3" s="26" t="s">
        <v>1135</v>
      </c>
      <c r="AKP3" s="26" t="s">
        <v>1136</v>
      </c>
      <c r="AKQ3" s="26" t="s">
        <v>1137</v>
      </c>
      <c r="AKR3" s="26" t="s">
        <v>1138</v>
      </c>
      <c r="AKS3" s="26" t="s">
        <v>1139</v>
      </c>
      <c r="AKT3" s="26" t="s">
        <v>1140</v>
      </c>
      <c r="AKU3" s="26" t="s">
        <v>1141</v>
      </c>
      <c r="AKV3" s="26" t="s">
        <v>1142</v>
      </c>
      <c r="AKW3" s="26" t="s">
        <v>1143</v>
      </c>
      <c r="AKX3" s="26" t="s">
        <v>1144</v>
      </c>
      <c r="AKY3" s="26" t="s">
        <v>1145</v>
      </c>
      <c r="AKZ3" s="26" t="s">
        <v>1146</v>
      </c>
      <c r="ALA3" s="26" t="s">
        <v>1147</v>
      </c>
      <c r="ALB3" s="26" t="s">
        <v>1148</v>
      </c>
      <c r="ALC3" s="26" t="s">
        <v>1149</v>
      </c>
      <c r="ALD3" s="26" t="s">
        <v>1150</v>
      </c>
      <c r="ALE3" s="26" t="s">
        <v>1151</v>
      </c>
      <c r="ALF3" s="26" t="s">
        <v>1152</v>
      </c>
      <c r="ALG3" s="26" t="s">
        <v>1153</v>
      </c>
      <c r="ALH3" s="26" t="s">
        <v>1154</v>
      </c>
      <c r="ALI3" s="26" t="s">
        <v>1155</v>
      </c>
      <c r="ALJ3" s="26" t="s">
        <v>1156</v>
      </c>
      <c r="ALK3" s="26" t="s">
        <v>1157</v>
      </c>
      <c r="ALL3" s="26" t="s">
        <v>1158</v>
      </c>
      <c r="ALM3" s="26" t="s">
        <v>1159</v>
      </c>
      <c r="ALN3" s="26" t="s">
        <v>1160</v>
      </c>
      <c r="ALO3" s="26" t="s">
        <v>1161</v>
      </c>
      <c r="ALP3" s="26" t="s">
        <v>1162</v>
      </c>
      <c r="ALQ3" s="26" t="s">
        <v>321</v>
      </c>
      <c r="ALR3" s="26" t="s">
        <v>322</v>
      </c>
      <c r="ALS3" s="26" t="s">
        <v>323</v>
      </c>
      <c r="ALT3" s="26" t="s">
        <v>324</v>
      </c>
      <c r="ALU3" s="26" t="s">
        <v>325</v>
      </c>
      <c r="ALV3" s="26" t="s">
        <v>326</v>
      </c>
      <c r="ALW3" s="26" t="s">
        <v>327</v>
      </c>
      <c r="ALX3" s="26" t="s">
        <v>328</v>
      </c>
      <c r="ALY3" s="26" t="s">
        <v>329</v>
      </c>
      <c r="ALZ3" s="26" t="s">
        <v>330</v>
      </c>
      <c r="AMA3" s="26" t="s">
        <v>331</v>
      </c>
      <c r="AMB3" s="26" t="s">
        <v>332</v>
      </c>
      <c r="AMC3" s="26" t="s">
        <v>333</v>
      </c>
      <c r="AMD3" s="26" t="s">
        <v>334</v>
      </c>
      <c r="AME3" s="26" t="s">
        <v>335</v>
      </c>
      <c r="AMF3" s="26" t="s">
        <v>336</v>
      </c>
      <c r="AMG3" s="26" t="s">
        <v>337</v>
      </c>
      <c r="AMH3" s="26" t="s">
        <v>338</v>
      </c>
      <c r="AMI3" s="26" t="s">
        <v>339</v>
      </c>
      <c r="AMJ3" s="26" t="s">
        <v>340</v>
      </c>
      <c r="AMK3" s="26" t="s">
        <v>341</v>
      </c>
      <c r="AML3" s="26" t="s">
        <v>342</v>
      </c>
      <c r="AMM3" s="26" t="s">
        <v>343</v>
      </c>
      <c r="AMN3" s="26" t="s">
        <v>344</v>
      </c>
      <c r="AMO3" s="26" t="s">
        <v>345</v>
      </c>
      <c r="AMP3" s="26" t="s">
        <v>346</v>
      </c>
      <c r="AMQ3" s="26" t="s">
        <v>347</v>
      </c>
      <c r="AMR3" s="26" t="s">
        <v>348</v>
      </c>
      <c r="AMS3" s="26" t="s">
        <v>349</v>
      </c>
      <c r="AMT3" s="26" t="s">
        <v>350</v>
      </c>
      <c r="AMU3" s="26" t="s">
        <v>351</v>
      </c>
      <c r="AMV3" s="26" t="s">
        <v>352</v>
      </c>
      <c r="AMW3" s="26" t="s">
        <v>353</v>
      </c>
      <c r="AMX3" s="26" t="s">
        <v>354</v>
      </c>
      <c r="AMY3" s="26" t="s">
        <v>355</v>
      </c>
      <c r="AMZ3" s="26" t="s">
        <v>356</v>
      </c>
      <c r="ANA3" s="26" t="s">
        <v>357</v>
      </c>
      <c r="ANB3" s="26" t="s">
        <v>358</v>
      </c>
      <c r="ANC3" s="26" t="s">
        <v>359</v>
      </c>
      <c r="AND3" s="26" t="s">
        <v>360</v>
      </c>
      <c r="ANE3" s="26" t="s">
        <v>361</v>
      </c>
      <c r="ANF3" s="26" t="s">
        <v>362</v>
      </c>
      <c r="ANG3" s="26" t="s">
        <v>363</v>
      </c>
      <c r="ANH3" s="26" t="s">
        <v>364</v>
      </c>
      <c r="ANI3" s="26" t="s">
        <v>365</v>
      </c>
      <c r="ANJ3" s="26" t="s">
        <v>366</v>
      </c>
      <c r="ANK3" s="26" t="s">
        <v>367</v>
      </c>
      <c r="ANL3" s="26" t="s">
        <v>368</v>
      </c>
      <c r="ANM3" s="26" t="s">
        <v>369</v>
      </c>
      <c r="ANN3" s="26" t="s">
        <v>370</v>
      </c>
      <c r="ANO3" s="26" t="s">
        <v>371</v>
      </c>
      <c r="ANP3" s="26" t="s">
        <v>372</v>
      </c>
      <c r="ANQ3" s="26" t="s">
        <v>373</v>
      </c>
      <c r="ANR3" s="26" t="s">
        <v>374</v>
      </c>
      <c r="ANS3" s="26" t="s">
        <v>375</v>
      </c>
      <c r="ANT3" s="26" t="s">
        <v>376</v>
      </c>
      <c r="ANU3" s="26" t="s">
        <v>377</v>
      </c>
      <c r="ANV3" s="26" t="s">
        <v>378</v>
      </c>
      <c r="ANW3" s="26" t="s">
        <v>379</v>
      </c>
      <c r="ANX3" s="26" t="s">
        <v>380</v>
      </c>
      <c r="ANY3" s="26" t="s">
        <v>1163</v>
      </c>
      <c r="ANZ3" s="26" t="s">
        <v>1164</v>
      </c>
      <c r="AOA3" s="26" t="s">
        <v>1165</v>
      </c>
      <c r="AOB3" s="26" t="s">
        <v>1166</v>
      </c>
      <c r="AOC3" s="26" t="s">
        <v>1167</v>
      </c>
      <c r="AOD3" s="26" t="s">
        <v>1168</v>
      </c>
      <c r="AOE3" s="26" t="s">
        <v>1169</v>
      </c>
      <c r="AOF3" s="26" t="s">
        <v>1170</v>
      </c>
      <c r="AOG3" s="26" t="s">
        <v>1171</v>
      </c>
      <c r="AOH3" s="26" t="s">
        <v>1172</v>
      </c>
      <c r="AOI3" s="26" t="s">
        <v>1173</v>
      </c>
      <c r="AOJ3" s="26" t="s">
        <v>1174</v>
      </c>
      <c r="AOK3" s="26" t="s">
        <v>1175</v>
      </c>
      <c r="AOL3" s="26" t="s">
        <v>1176</v>
      </c>
      <c r="AOM3" s="26" t="s">
        <v>1177</v>
      </c>
      <c r="AON3" s="26" t="s">
        <v>1178</v>
      </c>
      <c r="AOO3" s="26" t="s">
        <v>1179</v>
      </c>
      <c r="AOP3" s="26" t="s">
        <v>1180</v>
      </c>
      <c r="AOQ3" s="26" t="s">
        <v>1181</v>
      </c>
      <c r="AOR3" s="26" t="s">
        <v>1182</v>
      </c>
      <c r="AOS3" s="26" t="s">
        <v>1183</v>
      </c>
      <c r="AOT3" s="26" t="s">
        <v>1184</v>
      </c>
      <c r="AOU3" s="26" t="s">
        <v>1185</v>
      </c>
      <c r="AOV3" s="26" t="s">
        <v>1186</v>
      </c>
      <c r="AOW3" s="26" t="s">
        <v>1187</v>
      </c>
      <c r="AOX3" s="26" t="s">
        <v>1188</v>
      </c>
      <c r="AOY3" s="26" t="s">
        <v>1189</v>
      </c>
      <c r="AOZ3" s="26" t="s">
        <v>1190</v>
      </c>
      <c r="APA3" s="26" t="s">
        <v>1191</v>
      </c>
      <c r="APB3" s="26" t="s">
        <v>1192</v>
      </c>
      <c r="APC3" s="26" t="s">
        <v>1193</v>
      </c>
      <c r="APD3" s="26" t="s">
        <v>1194</v>
      </c>
      <c r="APE3" s="26" t="s">
        <v>1195</v>
      </c>
      <c r="APF3" s="26" t="s">
        <v>1196</v>
      </c>
      <c r="APG3" s="26" t="s">
        <v>1197</v>
      </c>
      <c r="APH3" s="26" t="s">
        <v>1198</v>
      </c>
      <c r="API3" s="26" t="s">
        <v>1199</v>
      </c>
      <c r="APJ3" s="26" t="s">
        <v>1200</v>
      </c>
      <c r="APK3" s="26" t="s">
        <v>1201</v>
      </c>
      <c r="APL3" s="26" t="s">
        <v>1202</v>
      </c>
      <c r="APM3" s="26" t="s">
        <v>1203</v>
      </c>
      <c r="APN3" s="26" t="s">
        <v>1204</v>
      </c>
      <c r="APO3" s="26" t="s">
        <v>1205</v>
      </c>
      <c r="APP3" s="26" t="s">
        <v>1206</v>
      </c>
      <c r="APQ3" s="26" t="s">
        <v>1207</v>
      </c>
      <c r="APR3" s="26" t="s">
        <v>1208</v>
      </c>
      <c r="APS3" s="26" t="s">
        <v>1209</v>
      </c>
      <c r="APT3" s="26" t="s">
        <v>1210</v>
      </c>
      <c r="APU3" s="26" t="s">
        <v>1211</v>
      </c>
      <c r="APV3" s="26" t="s">
        <v>1212</v>
      </c>
      <c r="APW3" s="26" t="s">
        <v>1213</v>
      </c>
      <c r="APX3" s="26" t="s">
        <v>1214</v>
      </c>
      <c r="APY3" s="26" t="s">
        <v>1215</v>
      </c>
      <c r="APZ3" s="26" t="s">
        <v>1216</v>
      </c>
      <c r="AQA3" s="26" t="s">
        <v>1217</v>
      </c>
      <c r="AQB3" s="26" t="s">
        <v>1218</v>
      </c>
      <c r="AQC3" s="26" t="s">
        <v>1219</v>
      </c>
      <c r="AQD3" s="26" t="s">
        <v>1220</v>
      </c>
      <c r="AQE3" s="26" t="s">
        <v>1221</v>
      </c>
      <c r="AQF3" s="26" t="s">
        <v>1222</v>
      </c>
      <c r="AQG3" s="26" t="s">
        <v>1223</v>
      </c>
      <c r="AQH3" s="26" t="s">
        <v>1224</v>
      </c>
      <c r="AQI3" s="26" t="s">
        <v>1225</v>
      </c>
      <c r="AQJ3" s="26" t="s">
        <v>1226</v>
      </c>
      <c r="AQK3" s="26" t="s">
        <v>1227</v>
      </c>
      <c r="AQL3" s="26" t="s">
        <v>1228</v>
      </c>
      <c r="AQM3" s="26" t="s">
        <v>1229</v>
      </c>
      <c r="AQN3" s="26" t="s">
        <v>1230</v>
      </c>
      <c r="AQO3" s="26" t="s">
        <v>1231</v>
      </c>
      <c r="AQP3" s="26" t="s">
        <v>1232</v>
      </c>
      <c r="AQQ3" s="26" t="s">
        <v>1233</v>
      </c>
      <c r="AQR3" s="26" t="s">
        <v>1234</v>
      </c>
      <c r="AQS3" s="26" t="s">
        <v>1235</v>
      </c>
      <c r="AQT3" s="26" t="s">
        <v>1236</v>
      </c>
      <c r="AQU3" s="26" t="s">
        <v>1237</v>
      </c>
      <c r="AQV3" s="26" t="s">
        <v>1238</v>
      </c>
      <c r="AQW3" s="26" t="s">
        <v>1239</v>
      </c>
      <c r="AQX3" s="26" t="s">
        <v>1240</v>
      </c>
      <c r="AQY3" s="26" t="s">
        <v>1241</v>
      </c>
      <c r="AQZ3" s="26" t="s">
        <v>1242</v>
      </c>
      <c r="ARA3" s="26" t="s">
        <v>1243</v>
      </c>
      <c r="ARB3" s="26" t="s">
        <v>1244</v>
      </c>
      <c r="ARC3" s="26" t="s">
        <v>1245</v>
      </c>
      <c r="ARD3" s="26" t="s">
        <v>1246</v>
      </c>
      <c r="ARE3" s="26" t="s">
        <v>1247</v>
      </c>
      <c r="ARF3" s="26" t="s">
        <v>1248</v>
      </c>
      <c r="ARG3" s="26" t="s">
        <v>1249</v>
      </c>
      <c r="ARH3" s="26" t="s">
        <v>1250</v>
      </c>
      <c r="ARI3" s="26" t="s">
        <v>1251</v>
      </c>
      <c r="ARJ3" s="26" t="s">
        <v>1252</v>
      </c>
      <c r="ARK3" s="26" t="s">
        <v>1253</v>
      </c>
      <c r="ARL3" s="26" t="s">
        <v>1254</v>
      </c>
      <c r="ARM3" s="26" t="s">
        <v>1255</v>
      </c>
      <c r="ARN3" s="26" t="s">
        <v>1256</v>
      </c>
      <c r="ARO3" s="26" t="s">
        <v>1257</v>
      </c>
      <c r="ARP3" s="26" t="s">
        <v>1258</v>
      </c>
      <c r="ARQ3" s="26" t="s">
        <v>1259</v>
      </c>
      <c r="ARR3" s="26" t="s">
        <v>1260</v>
      </c>
      <c r="ARS3" s="26" t="s">
        <v>1261</v>
      </c>
      <c r="ART3" s="26" t="s">
        <v>1262</v>
      </c>
      <c r="ARU3" s="26" t="s">
        <v>1263</v>
      </c>
      <c r="ARV3" s="26" t="s">
        <v>1264</v>
      </c>
      <c r="ARW3" s="26" t="s">
        <v>1265</v>
      </c>
      <c r="ARX3" s="26" t="s">
        <v>1266</v>
      </c>
      <c r="ARY3" s="26" t="s">
        <v>1267</v>
      </c>
      <c r="ARZ3" s="26" t="s">
        <v>1268</v>
      </c>
      <c r="ASA3" s="26" t="s">
        <v>1269</v>
      </c>
      <c r="ASB3" s="26" t="s">
        <v>1270</v>
      </c>
      <c r="ASC3" s="26" t="s">
        <v>1271</v>
      </c>
      <c r="ASD3" s="26" t="s">
        <v>1272</v>
      </c>
      <c r="ASE3" s="26" t="s">
        <v>1273</v>
      </c>
      <c r="ASF3" s="26" t="s">
        <v>1274</v>
      </c>
      <c r="ASG3" s="26" t="s">
        <v>1275</v>
      </c>
      <c r="ASH3" s="26" t="s">
        <v>1276</v>
      </c>
      <c r="ASI3" s="26" t="s">
        <v>1277</v>
      </c>
      <c r="ASJ3" s="26" t="s">
        <v>1278</v>
      </c>
      <c r="ASK3" s="26" t="s">
        <v>1279</v>
      </c>
      <c r="ASL3" s="26" t="s">
        <v>1280</v>
      </c>
      <c r="ASM3" s="26" t="s">
        <v>1281</v>
      </c>
      <c r="ASN3" s="26" t="s">
        <v>1282</v>
      </c>
      <c r="ASO3" s="26" t="s">
        <v>1283</v>
      </c>
      <c r="ASP3" s="26" t="s">
        <v>1284</v>
      </c>
      <c r="ASQ3" s="26" t="s">
        <v>1285</v>
      </c>
      <c r="ASR3" s="26" t="s">
        <v>1286</v>
      </c>
      <c r="ASS3" s="26" t="s">
        <v>1287</v>
      </c>
      <c r="AST3" s="26" t="s">
        <v>1288</v>
      </c>
      <c r="ASU3" s="26" t="s">
        <v>1289</v>
      </c>
      <c r="ASV3" s="26" t="s">
        <v>1290</v>
      </c>
      <c r="ASW3" s="26" t="s">
        <v>1291</v>
      </c>
      <c r="ASX3" s="26" t="s">
        <v>1292</v>
      </c>
      <c r="ASY3" s="26" t="s">
        <v>1293</v>
      </c>
      <c r="ASZ3" s="26" t="s">
        <v>1294</v>
      </c>
      <c r="ATA3" s="26" t="s">
        <v>1295</v>
      </c>
      <c r="ATB3" s="26" t="s">
        <v>1296</v>
      </c>
      <c r="ATC3" s="26" t="s">
        <v>1297</v>
      </c>
      <c r="ATD3" s="26" t="s">
        <v>1298</v>
      </c>
      <c r="ATE3" s="26" t="s">
        <v>1299</v>
      </c>
      <c r="ATF3" s="26" t="s">
        <v>1300</v>
      </c>
      <c r="ATG3" s="26" t="s">
        <v>1301</v>
      </c>
      <c r="ATH3" s="26" t="s">
        <v>1302</v>
      </c>
    </row>
    <row r="4" spans="1:1204" s="32" customFormat="1" ht="55.5" customHeight="1" x14ac:dyDescent="0.2">
      <c r="A4" s="44" t="s">
        <v>383</v>
      </c>
      <c r="B4" s="48" t="s">
        <v>33</v>
      </c>
      <c r="C4" s="31" t="str">
        <f>C3&amp;Comf!$I$2</f>
        <v>Marker1</v>
      </c>
      <c r="D4" s="31" t="str">
        <f>D3&amp;Comf!$I$2</f>
        <v>Marker2</v>
      </c>
      <c r="E4" s="31" t="str">
        <f>E3&amp;Comf!$I$2</f>
        <v>CoStep1ColorT1</v>
      </c>
      <c r="F4" s="31" t="str">
        <f>F3&amp;Comf!$I$2</f>
        <v>CoStep1StepLengthT1</v>
      </c>
      <c r="G4" s="31" t="str">
        <f>G3&amp;Comf!$I$2</f>
        <v>CoStep1StepTimeT1</v>
      </c>
      <c r="H4" s="31" t="str">
        <f>H3&amp;Comf!$I$2</f>
        <v>CoStep1DoubleSupportTimeT1</v>
      </c>
      <c r="I4" s="31" t="str">
        <f>I3&amp;Comf!$I$2</f>
        <v>CoStep1StanceTimeT1</v>
      </c>
      <c r="J4" s="31" t="str">
        <f>J3&amp;Comf!$I$2</f>
        <v>CoStep2ColorT1</v>
      </c>
      <c r="K4" s="31" t="str">
        <f>K3&amp;Comf!$I$2</f>
        <v>CoStep2StepLengthT1</v>
      </c>
      <c r="L4" s="31" t="str">
        <f>L3&amp;Comf!$I$2</f>
        <v>CoStep2StepTimeT1</v>
      </c>
      <c r="M4" s="31" t="str">
        <f>M3&amp;Comf!$I$2</f>
        <v>CoStep2DoubleSupportTimeT1</v>
      </c>
      <c r="N4" s="31" t="str">
        <f>N3&amp;Comf!$I$2</f>
        <v>CoStep2StanceTimeT1</v>
      </c>
      <c r="O4" s="31" t="str">
        <f>O3&amp;Comf!$I$2</f>
        <v>CoStep3ColorT1</v>
      </c>
      <c r="P4" s="31" t="str">
        <f>P3&amp;Comf!$I$2</f>
        <v>CoStep3StepLengthT1</v>
      </c>
      <c r="Q4" s="31" t="str">
        <f>Q3&amp;Comf!$I$2</f>
        <v>CoStep3StepTimeT1</v>
      </c>
      <c r="R4" s="31" t="str">
        <f>R3&amp;Comf!$I$2</f>
        <v>CoStep3DoubleSupportTimeT1</v>
      </c>
      <c r="S4" s="31" t="str">
        <f>S3&amp;Comf!$I$2</f>
        <v>CoStep3StanceTimeT1</v>
      </c>
      <c r="T4" s="31" t="str">
        <f>T3&amp;Comf!$I$2</f>
        <v>CoStep4ColorT1</v>
      </c>
      <c r="U4" s="31" t="str">
        <f>U3&amp;Comf!$I$2</f>
        <v>CoStep4StepLengthT1</v>
      </c>
      <c r="V4" s="31" t="str">
        <f>V3&amp;Comf!$I$2</f>
        <v>CoStep4StepTimeT1</v>
      </c>
      <c r="W4" s="31" t="str">
        <f>W3&amp;Comf!$I$2</f>
        <v>CoStep4DoubleSupportTimeT1</v>
      </c>
      <c r="X4" s="31" t="str">
        <f>X3&amp;Comf!$I$2</f>
        <v>CoStep4StanceTimeT1</v>
      </c>
      <c r="Y4" s="31" t="str">
        <f>Y3&amp;Comf!$I$2</f>
        <v>CoStep5ColorT1</v>
      </c>
      <c r="Z4" s="31" t="str">
        <f>Z3&amp;Comf!$I$2</f>
        <v>CoStep5StepLengthT1</v>
      </c>
      <c r="AA4" s="31" t="str">
        <f>AA3&amp;Comf!$I$2</f>
        <v>CoStep5StepTimeT1</v>
      </c>
      <c r="AB4" s="31" t="str">
        <f>AB3&amp;Comf!$I$2</f>
        <v>CoStep5DoubleSupportTimeT1</v>
      </c>
      <c r="AC4" s="31" t="str">
        <f>AC3&amp;Comf!$I$2</f>
        <v>CoStep5StanceTimeT1</v>
      </c>
      <c r="AD4" s="31" t="str">
        <f>AD3&amp;Comf!$I$2</f>
        <v>CoStep6ColorT1</v>
      </c>
      <c r="AE4" s="31" t="str">
        <f>AE3&amp;Comf!$I$2</f>
        <v>CoStep6StepLengthT1</v>
      </c>
      <c r="AF4" s="31" t="str">
        <f>AF3&amp;Comf!$I$2</f>
        <v>CoStep6StepTimeT1</v>
      </c>
      <c r="AG4" s="31" t="str">
        <f>AG3&amp;Comf!$I$2</f>
        <v>CoStep6DoubleSupportTimeT1</v>
      </c>
      <c r="AH4" s="31" t="str">
        <f>AH3&amp;Comf!$I$2</f>
        <v>CoStep6StanceTimeT1</v>
      </c>
      <c r="AI4" s="31" t="str">
        <f>AI3&amp;Comf!$I$2</f>
        <v>CoStep7ColorT1</v>
      </c>
      <c r="AJ4" s="31" t="str">
        <f>AJ3&amp;Comf!$I$2</f>
        <v>CoStep7StepLengthT1</v>
      </c>
      <c r="AK4" s="31" t="str">
        <f>AK3&amp;Comf!$I$2</f>
        <v>CoStep7StepTimeT1</v>
      </c>
      <c r="AL4" s="31" t="str">
        <f>AL3&amp;Comf!$I$2</f>
        <v>CoStep7DoubleSupportTimeT1</v>
      </c>
      <c r="AM4" s="31" t="str">
        <f>AM3&amp;Comf!$I$2</f>
        <v>CoStep7StanceTimeT1</v>
      </c>
      <c r="AN4" s="31" t="str">
        <f>AN3&amp;Comf!$I$2</f>
        <v>CoStep8ColorT1</v>
      </c>
      <c r="AO4" s="31" t="str">
        <f>AO3&amp;Comf!$I$2</f>
        <v>CoStep8StepLengthT1</v>
      </c>
      <c r="AP4" s="31" t="str">
        <f>AP3&amp;Comf!$I$2</f>
        <v>CoStep8StepTimeT1</v>
      </c>
      <c r="AQ4" s="31" t="str">
        <f>AQ3&amp;Comf!$I$2</f>
        <v>CoStep8DoubleSupportTimeT1</v>
      </c>
      <c r="AR4" s="31" t="str">
        <f>AR3&amp;Comf!$I$2</f>
        <v>CoStep8StanceTimeT1</v>
      </c>
      <c r="AS4" s="31" t="str">
        <f>AS3&amp;Comf!$I$2</f>
        <v>CoStep9ColorT1</v>
      </c>
      <c r="AT4" s="31" t="str">
        <f>AT3&amp;Comf!$I$2</f>
        <v>CoStep9StepLengthT1</v>
      </c>
      <c r="AU4" s="31" t="str">
        <f>AU3&amp;Comf!$I$2</f>
        <v>CoStep9StepTimeT1</v>
      </c>
      <c r="AV4" s="31" t="str">
        <f>AV3&amp;Comf!$I$2</f>
        <v>CoStep9DoubleSupportTimeT1</v>
      </c>
      <c r="AW4" s="31" t="str">
        <f>AW3&amp;Comf!$I$2</f>
        <v>CoStep9StanceTimeT1</v>
      </c>
      <c r="AX4" s="31" t="str">
        <f>AX3&amp;Comf!$I$2</f>
        <v>CoStep10ColorT1</v>
      </c>
      <c r="AY4" s="31" t="str">
        <f>AY3&amp;Comf!$I$2</f>
        <v>CoStep10StepLengthT1</v>
      </c>
      <c r="AZ4" s="31" t="str">
        <f>AZ3&amp;Comf!$I$2</f>
        <v>CoStep10StepTimeT1</v>
      </c>
      <c r="BA4" s="31" t="str">
        <f>BA3&amp;Comf!$I$2</f>
        <v>CoStep10DoubleSupportTimeT1</v>
      </c>
      <c r="BB4" s="31" t="str">
        <f>BB3&amp;Comf!$I$2</f>
        <v>CoStep10StanceTimeT1</v>
      </c>
      <c r="BC4" s="31" t="str">
        <f>BC3&amp;Comf!$I$2</f>
        <v>CoStep1ColorT2</v>
      </c>
      <c r="BD4" s="31" t="str">
        <f>BD3&amp;Comf!$I$2</f>
        <v>CoStep1StepLengthT2</v>
      </c>
      <c r="BE4" s="31" t="str">
        <f>BE3&amp;Comf!$I$2</f>
        <v>CoStep1StepTimeT2</v>
      </c>
      <c r="BF4" s="31" t="str">
        <f>BF3&amp;Comf!$I$2</f>
        <v>CoStep1DoubleSupportTimeT2</v>
      </c>
      <c r="BG4" s="31" t="str">
        <f>BG3&amp;Comf!$I$2</f>
        <v>CoStep1StanceTimeT2</v>
      </c>
      <c r="BH4" s="31" t="str">
        <f>BH3&amp;Comf!$I$2</f>
        <v>CoStep2ColorT2</v>
      </c>
      <c r="BI4" s="31" t="str">
        <f>BI3&amp;Comf!$I$2</f>
        <v>CoStep2StepLengthT2</v>
      </c>
      <c r="BJ4" s="31" t="str">
        <f>BJ3&amp;Comf!$I$2</f>
        <v>CoStep2StepTimeT2</v>
      </c>
      <c r="BK4" s="31" t="str">
        <f>BK3&amp;Comf!$I$2</f>
        <v>CoStep2DoubleSupportTimeT2</v>
      </c>
      <c r="BL4" s="31" t="str">
        <f>BL3&amp;Comf!$I$2</f>
        <v>CoStep2StanceTimeT2</v>
      </c>
      <c r="BM4" s="31" t="str">
        <f>BM3&amp;Comf!$I$2</f>
        <v>CoStep3ColorT2</v>
      </c>
      <c r="BN4" s="31" t="str">
        <f>BN3&amp;Comf!$I$2</f>
        <v>CoStep3StepLengthT2</v>
      </c>
      <c r="BO4" s="31" t="str">
        <f>BO3&amp;Comf!$I$2</f>
        <v>CoStep3StepTimeT2</v>
      </c>
      <c r="BP4" s="31" t="str">
        <f>BP3&amp;Comf!$I$2</f>
        <v>CoStep3DoubleSupportTimeT2</v>
      </c>
      <c r="BQ4" s="31" t="str">
        <f>BQ3&amp;Comf!$I$2</f>
        <v>CoStep3StanceTimeT2</v>
      </c>
      <c r="BR4" s="31" t="str">
        <f>BR3&amp;Comf!$I$2</f>
        <v>CoStep4ColorT2</v>
      </c>
      <c r="BS4" s="31" t="str">
        <f>BS3&amp;Comf!$I$2</f>
        <v>CoStep4StepLengthT2</v>
      </c>
      <c r="BT4" s="31" t="str">
        <f>BT3&amp;Comf!$I$2</f>
        <v>CoStep4StepTimeT2</v>
      </c>
      <c r="BU4" s="31" t="str">
        <f>BU3&amp;Comf!$I$2</f>
        <v>CoStep4DoubleSupportTimeT2</v>
      </c>
      <c r="BV4" s="31" t="str">
        <f>BV3&amp;Comf!$I$2</f>
        <v>CoStep4StanceTimeT2</v>
      </c>
      <c r="BW4" s="31" t="str">
        <f>BW3&amp;Comf!$I$2</f>
        <v>CoStep5ColorT2</v>
      </c>
      <c r="BX4" s="31" t="str">
        <f>BX3&amp;Comf!$I$2</f>
        <v>CoStep5StepLengthT2</v>
      </c>
      <c r="BY4" s="31" t="str">
        <f>BY3&amp;Comf!$I$2</f>
        <v>CoStep5StepTimeT2</v>
      </c>
      <c r="BZ4" s="31" t="str">
        <f>BZ3&amp;Comf!$I$2</f>
        <v>CoStep5DoubleSupportTimeT2</v>
      </c>
      <c r="CA4" s="31" t="str">
        <f>CA3&amp;Comf!$I$2</f>
        <v>CoStep5StanceTimeT2</v>
      </c>
      <c r="CB4" s="31" t="str">
        <f>CB3&amp;Comf!$I$2</f>
        <v>CoStep6ColorT2</v>
      </c>
      <c r="CC4" s="31" t="str">
        <f>CC3&amp;Comf!$I$2</f>
        <v>CoStep6StepLengthT2</v>
      </c>
      <c r="CD4" s="31" t="str">
        <f>CD3&amp;Comf!$I$2</f>
        <v>CoStep6StepTimeT2</v>
      </c>
      <c r="CE4" s="31" t="str">
        <f>CE3&amp;Comf!$I$2</f>
        <v>CoStep6DoubleSupportTimeT2</v>
      </c>
      <c r="CF4" s="31" t="str">
        <f>CF3&amp;Comf!$I$2</f>
        <v>CoStep6StanceTimeT2</v>
      </c>
      <c r="CG4" s="31" t="str">
        <f>CG3&amp;Comf!$I$2</f>
        <v>CoStep7ColorT2</v>
      </c>
      <c r="CH4" s="31" t="str">
        <f>CH3&amp;Comf!$I$2</f>
        <v>CoStep7StepLengthT2</v>
      </c>
      <c r="CI4" s="31" t="str">
        <f>CI3&amp;Comf!$I$2</f>
        <v>CoStep7StepTimeT2</v>
      </c>
      <c r="CJ4" s="31" t="str">
        <f>CJ3&amp;Comf!$I$2</f>
        <v>CoStep7DoubleSupportTimeT2</v>
      </c>
      <c r="CK4" s="31" t="str">
        <f>CK3&amp;Comf!$I$2</f>
        <v>CoStep7StanceTimeT2</v>
      </c>
      <c r="CL4" s="31" t="str">
        <f>CL3&amp;Comf!$I$2</f>
        <v>CoStep8ColorT2</v>
      </c>
      <c r="CM4" s="31" t="str">
        <f>CM3&amp;Comf!$I$2</f>
        <v>CoStep8StepLengthT2</v>
      </c>
      <c r="CN4" s="31" t="str">
        <f>CN3&amp;Comf!$I$2</f>
        <v>CoStep8StepTimeT2</v>
      </c>
      <c r="CO4" s="31" t="str">
        <f>CO3&amp;Comf!$I$2</f>
        <v>CoStep8DoubleSupportTimeT2</v>
      </c>
      <c r="CP4" s="31" t="str">
        <f>CP3&amp;Comf!$I$2</f>
        <v>CoStep8StanceTimeT2</v>
      </c>
      <c r="CQ4" s="31" t="str">
        <f>CQ3&amp;Comf!$I$2</f>
        <v>CoStep9ColorT2</v>
      </c>
      <c r="CR4" s="31" t="str">
        <f>CR3&amp;Comf!$I$2</f>
        <v>CoStep9StepLengthT2</v>
      </c>
      <c r="CS4" s="31" t="str">
        <f>CS3&amp;Comf!$I$2</f>
        <v>CoStep9StepTimeT2</v>
      </c>
      <c r="CT4" s="31" t="str">
        <f>CT3&amp;Comf!$I$2</f>
        <v>CoStep9DoubleSupportTimeT2</v>
      </c>
      <c r="CU4" s="31" t="str">
        <f>CU3&amp;Comf!$I$2</f>
        <v>CoStep9StanceTimeT2</v>
      </c>
      <c r="CV4" s="31" t="str">
        <f>CV3&amp;Comf!$I$2</f>
        <v>CoStep10ColorT2</v>
      </c>
      <c r="CW4" s="31" t="str">
        <f>CW3&amp;Comf!$I$2</f>
        <v>CoStep10StepLengthT2</v>
      </c>
      <c r="CX4" s="31" t="str">
        <f>CX3&amp;Comf!$I$2</f>
        <v>CoStep10StepTimeT2</v>
      </c>
      <c r="CY4" s="31" t="str">
        <f>CY3&amp;Comf!$I$2</f>
        <v>CoStep10DoubleSupportTimeT2</v>
      </c>
      <c r="CZ4" s="31" t="str">
        <f>CZ3&amp;Comf!$I$2</f>
        <v>CoStep10StanceTimeT2</v>
      </c>
      <c r="DA4" s="31" t="str">
        <f>DA3&amp;Comf!$I$2</f>
        <v>CoStep1ColorT3</v>
      </c>
      <c r="DB4" s="31" t="str">
        <f>DB3&amp;Comf!$I$2</f>
        <v>CoStep1StepLengthT3</v>
      </c>
      <c r="DC4" s="31" t="str">
        <f>DC3&amp;Comf!$I$2</f>
        <v>CoStep1StepTimeT3</v>
      </c>
      <c r="DD4" s="31" t="str">
        <f>DD3&amp;Comf!$I$2</f>
        <v>CoStep1DoubleSupportTimeT3</v>
      </c>
      <c r="DE4" s="31" t="str">
        <f>DE3&amp;Comf!$I$2</f>
        <v>CoStep1StanceTimeT3</v>
      </c>
      <c r="DF4" s="31" t="str">
        <f>DF3&amp;Comf!$I$2</f>
        <v>CoStep2ColorT3</v>
      </c>
      <c r="DG4" s="31" t="str">
        <f>DG3&amp;Comf!$I$2</f>
        <v>CoStep2StepLengthT3</v>
      </c>
      <c r="DH4" s="31" t="str">
        <f>DH3&amp;Comf!$I$2</f>
        <v>CoStep2StepTimeT3</v>
      </c>
      <c r="DI4" s="31" t="str">
        <f>DI3&amp;Comf!$I$2</f>
        <v>CoStep2DoubleSupportTimeT3</v>
      </c>
      <c r="DJ4" s="31" t="str">
        <f>DJ3&amp;Comf!$I$2</f>
        <v>CoStep2StanceTimeT3</v>
      </c>
      <c r="DK4" s="31" t="str">
        <f>DK3&amp;Comf!$I$2</f>
        <v>CoStep3ColorT3</v>
      </c>
      <c r="DL4" s="31" t="str">
        <f>DL3&amp;Comf!$I$2</f>
        <v>CoStep3StepLengthT3</v>
      </c>
      <c r="DM4" s="31" t="str">
        <f>DM3&amp;Comf!$I$2</f>
        <v>CoStep3StepTimeT3</v>
      </c>
      <c r="DN4" s="31" t="str">
        <f>DN3&amp;Comf!$I$2</f>
        <v>CoStep3DoubleSupportTimeT3</v>
      </c>
      <c r="DO4" s="31" t="str">
        <f>DO3&amp;Comf!$I$2</f>
        <v>CoStep3StanceTimeT3</v>
      </c>
      <c r="DP4" s="31" t="str">
        <f>DP3&amp;Comf!$I$2</f>
        <v>CoStep4ColorT3</v>
      </c>
      <c r="DQ4" s="31" t="str">
        <f>DQ3&amp;Comf!$I$2</f>
        <v>CoStep4StepLengthT3</v>
      </c>
      <c r="DR4" s="31" t="str">
        <f>DR3&amp;Comf!$I$2</f>
        <v>CoStep4StepTimeT3</v>
      </c>
      <c r="DS4" s="31" t="str">
        <f>DS3&amp;Comf!$I$2</f>
        <v>CoStep4DoubleSupportTimeT3</v>
      </c>
      <c r="DT4" s="31" t="str">
        <f>DT3&amp;Comf!$I$2</f>
        <v>CoStep4StanceTimeT3</v>
      </c>
      <c r="DU4" s="31" t="str">
        <f>DU3&amp;Comf!$I$2</f>
        <v>CoStep5ColorT3</v>
      </c>
      <c r="DV4" s="31" t="str">
        <f>DV3&amp;Comf!$I$2</f>
        <v>CoStep5StepLengthT3</v>
      </c>
      <c r="DW4" s="31" t="str">
        <f>DW3&amp;Comf!$I$2</f>
        <v>CoStep5StepTimeT3</v>
      </c>
      <c r="DX4" s="31" t="str">
        <f>DX3&amp;Comf!$I$2</f>
        <v>CoStep5DoubleSupportTimeT3</v>
      </c>
      <c r="DY4" s="31" t="str">
        <f>DY3&amp;Comf!$I$2</f>
        <v>CoStep5StanceTimeT3</v>
      </c>
      <c r="DZ4" s="31" t="str">
        <f>DZ3&amp;Comf!$I$2</f>
        <v>CoStep6ColorT3</v>
      </c>
      <c r="EA4" s="31" t="str">
        <f>EA3&amp;Comf!$I$2</f>
        <v>CoStep6StepLengthT3</v>
      </c>
      <c r="EB4" s="31" t="str">
        <f>EB3&amp;Comf!$I$2</f>
        <v>CoStep6StepTimeT3</v>
      </c>
      <c r="EC4" s="31" t="str">
        <f>EC3&amp;Comf!$I$2</f>
        <v>CoStep6DoubleSupportTimeT3</v>
      </c>
      <c r="ED4" s="31" t="str">
        <f>ED3&amp;Comf!$I$2</f>
        <v>CoStep6StanceTimeT3</v>
      </c>
      <c r="EE4" s="31" t="str">
        <f>EE3&amp;Comf!$I$2</f>
        <v>CoStep7ColorT3</v>
      </c>
      <c r="EF4" s="31" t="str">
        <f>EF3&amp;Comf!$I$2</f>
        <v>CoStep7StepLengthT3</v>
      </c>
      <c r="EG4" s="31" t="str">
        <f>EG3&amp;Comf!$I$2</f>
        <v>CoStep7StepTimeT3</v>
      </c>
      <c r="EH4" s="31" t="str">
        <f>EH3&amp;Comf!$I$2</f>
        <v>CoStep7DoubleSupportTimeT3</v>
      </c>
      <c r="EI4" s="31" t="str">
        <f>EI3&amp;Comf!$I$2</f>
        <v>CoStep7StanceTimeT3</v>
      </c>
      <c r="EJ4" s="31" t="str">
        <f>EJ3&amp;Comf!$I$2</f>
        <v>CoStep8ColorT3</v>
      </c>
      <c r="EK4" s="31" t="str">
        <f>EK3&amp;Comf!$I$2</f>
        <v>CoStep8StepLengthT3</v>
      </c>
      <c r="EL4" s="31" t="str">
        <f>EL3&amp;Comf!$I$2</f>
        <v>CoStep8StepTimeT3</v>
      </c>
      <c r="EM4" s="31" t="str">
        <f>EM3&amp;Comf!$I$2</f>
        <v>CoStep8DoubleSupportTimeT3</v>
      </c>
      <c r="EN4" s="31" t="str">
        <f>EN3&amp;Comf!$I$2</f>
        <v>CoStep8StanceTimeT3</v>
      </c>
      <c r="EO4" s="31" t="str">
        <f>EO3&amp;Comf!$I$2</f>
        <v>CoStep9ColorT3</v>
      </c>
      <c r="EP4" s="31" t="str">
        <f>EP3&amp;Comf!$I$2</f>
        <v>CoStep9StepLengthT3</v>
      </c>
      <c r="EQ4" s="31" t="str">
        <f>EQ3&amp;Comf!$I$2</f>
        <v>CoStep9StepTimeT3</v>
      </c>
      <c r="ER4" s="31" t="str">
        <f>ER3&amp;Comf!$I$2</f>
        <v>CoStep9DoubleSupportTimeT3</v>
      </c>
      <c r="ES4" s="31" t="str">
        <f>ES3&amp;Comf!$I$2</f>
        <v>CoStep9StanceTimeT3</v>
      </c>
      <c r="ET4" s="31" t="str">
        <f>ET3&amp;Comf!$I$2</f>
        <v>CoStep10ColorT3</v>
      </c>
      <c r="EU4" s="31" t="str">
        <f>EU3&amp;Comf!$I$2</f>
        <v>CoStep10StepLengthT3</v>
      </c>
      <c r="EV4" s="31" t="str">
        <f>EV3&amp;Comf!$I$2</f>
        <v>CoStep10StepTimeT3</v>
      </c>
      <c r="EW4" s="31" t="str">
        <f>EW3&amp;Comf!$I$2</f>
        <v>CoStep10DoubleSupportTimeT3</v>
      </c>
      <c r="EX4" s="31" t="str">
        <f>EX3&amp;Comf!$I$2</f>
        <v>CoStep10StanceTimeT3</v>
      </c>
      <c r="EY4" s="31" t="str">
        <f>EY3&amp;Comf!$I$2</f>
        <v>CoStep1ColorT4</v>
      </c>
      <c r="EZ4" s="31" t="str">
        <f>EZ3&amp;Comf!$I$2</f>
        <v>CoStep1StepLengthT4</v>
      </c>
      <c r="FA4" s="31" t="str">
        <f>FA3&amp;Comf!$I$2</f>
        <v>CoStep1StepTimeT4</v>
      </c>
      <c r="FB4" s="31" t="str">
        <f>FB3&amp;Comf!$I$2</f>
        <v>CoStep1DoubleSupportTimeT4</v>
      </c>
      <c r="FC4" s="31" t="str">
        <f>FC3&amp;Comf!$I$2</f>
        <v>CoStep1StanceTimeT4</v>
      </c>
      <c r="FD4" s="31" t="str">
        <f>FD3&amp;Comf!$I$2</f>
        <v>CoStep2ColorT4</v>
      </c>
      <c r="FE4" s="31" t="str">
        <f>FE3&amp;Comf!$I$2</f>
        <v>CoStep2StepLengthT4</v>
      </c>
      <c r="FF4" s="31" t="str">
        <f>FF3&amp;Comf!$I$2</f>
        <v>CoStep2StepTimeT4</v>
      </c>
      <c r="FG4" s="31" t="str">
        <f>FG3&amp;Comf!$I$2</f>
        <v>CoStep2DoubleSupportTimeT4</v>
      </c>
      <c r="FH4" s="31" t="str">
        <f>FH3&amp;Comf!$I$2</f>
        <v>CoStep2StanceTimeT4</v>
      </c>
      <c r="FI4" s="31" t="str">
        <f>FI3&amp;Comf!$I$2</f>
        <v>CoStep3ColorT4</v>
      </c>
      <c r="FJ4" s="31" t="str">
        <f>FJ3&amp;Comf!$I$2</f>
        <v>CoStep3StepLengthT4</v>
      </c>
      <c r="FK4" s="31" t="str">
        <f>FK3&amp;Comf!$I$2</f>
        <v>CoStep3StepTimeT4</v>
      </c>
      <c r="FL4" s="31" t="str">
        <f>FL3&amp;Comf!$I$2</f>
        <v>CoStep3DoubleSupportTimeT4</v>
      </c>
      <c r="FM4" s="31" t="str">
        <f>FM3&amp;Comf!$I$2</f>
        <v>CoStep3StanceTimeT4</v>
      </c>
      <c r="FN4" s="31" t="str">
        <f>FN3&amp;Comf!$I$2</f>
        <v>CoStep4ColorT4</v>
      </c>
      <c r="FO4" s="31" t="str">
        <f>FO3&amp;Comf!$I$2</f>
        <v>CoStep4StepLengthT4</v>
      </c>
      <c r="FP4" s="31" t="str">
        <f>FP3&amp;Comf!$I$2</f>
        <v>CoStep4StepTimeT4</v>
      </c>
      <c r="FQ4" s="31" t="str">
        <f>FQ3&amp;Comf!$I$2</f>
        <v>CoStep4DoubleSupportTimeT4</v>
      </c>
      <c r="FR4" s="31" t="str">
        <f>FR3&amp;Comf!$I$2</f>
        <v>CoStep4StanceTimeT4</v>
      </c>
      <c r="FS4" s="31" t="str">
        <f>FS3&amp;Comf!$I$2</f>
        <v>CoStep5ColorT4</v>
      </c>
      <c r="FT4" s="31" t="str">
        <f>FT3&amp;Comf!$I$2</f>
        <v>CoStep5StepLengthT4</v>
      </c>
      <c r="FU4" s="31" t="str">
        <f>FU3&amp;Comf!$I$2</f>
        <v>CoStep5StepTimeT4</v>
      </c>
      <c r="FV4" s="31" t="str">
        <f>FV3&amp;Comf!$I$2</f>
        <v>CoStep5DoubleSupportTimeT4</v>
      </c>
      <c r="FW4" s="31" t="str">
        <f>FW3&amp;Comf!$I$2</f>
        <v>CoStep5StanceTimeT4</v>
      </c>
      <c r="FX4" s="31" t="str">
        <f>FX3&amp;Comf!$I$2</f>
        <v>CoStep6ColorT4</v>
      </c>
      <c r="FY4" s="31" t="str">
        <f>FY3&amp;Comf!$I$2</f>
        <v>CoStep6StepLengthT4</v>
      </c>
      <c r="FZ4" s="31" t="str">
        <f>FZ3&amp;Comf!$I$2</f>
        <v>CoStep6StepTimeT4</v>
      </c>
      <c r="GA4" s="31" t="str">
        <f>GA3&amp;Comf!$I$2</f>
        <v>CoStep6DoubleSupportTimeT4</v>
      </c>
      <c r="GB4" s="31" t="str">
        <f>GB3&amp;Comf!$I$2</f>
        <v>CoStep6StanceTimeT4</v>
      </c>
      <c r="GC4" s="31" t="str">
        <f>GC3&amp;Comf!$I$2</f>
        <v>CoStep7ColorT4</v>
      </c>
      <c r="GD4" s="31" t="str">
        <f>GD3&amp;Comf!$I$2</f>
        <v>CoStep7StepLengthT4</v>
      </c>
      <c r="GE4" s="31" t="str">
        <f>GE3&amp;Comf!$I$2</f>
        <v>CoStep7StepTimeT4</v>
      </c>
      <c r="GF4" s="31" t="str">
        <f>GF3&amp;Comf!$I$2</f>
        <v>CoStep7DoubleSupportTimeT4</v>
      </c>
      <c r="GG4" s="31" t="str">
        <f>GG3&amp;Comf!$I$2</f>
        <v>CoStep7StanceTimeT4</v>
      </c>
      <c r="GH4" s="31" t="str">
        <f>GH3&amp;Comf!$I$2</f>
        <v>CoStep8ColorT4</v>
      </c>
      <c r="GI4" s="31" t="str">
        <f>GI3&amp;Comf!$I$2</f>
        <v>CoStep8StepLengthT4</v>
      </c>
      <c r="GJ4" s="31" t="str">
        <f>GJ3&amp;Comf!$I$2</f>
        <v>CoStep8StepTimeT4</v>
      </c>
      <c r="GK4" s="31" t="str">
        <f>GK3&amp;Comf!$I$2</f>
        <v>CoStep8DoubleSupportTimeT4</v>
      </c>
      <c r="GL4" s="31" t="str">
        <f>GL3&amp;Comf!$I$2</f>
        <v>CoStep8StanceTimeT4</v>
      </c>
      <c r="GM4" s="31" t="str">
        <f>GM3&amp;Comf!$I$2</f>
        <v>CoStep9ColorT4</v>
      </c>
      <c r="GN4" s="31" t="str">
        <f>GN3&amp;Comf!$I$2</f>
        <v>CoStep9StepLengthT4</v>
      </c>
      <c r="GO4" s="31" t="str">
        <f>GO3&amp;Comf!$I$2</f>
        <v>CoStep9StepTimeT4</v>
      </c>
      <c r="GP4" s="31" t="str">
        <f>GP3&amp;Comf!$I$2</f>
        <v>CoStep9DoubleSupportTimeT4</v>
      </c>
      <c r="GQ4" s="31" t="str">
        <f>GQ3&amp;Comf!$I$2</f>
        <v>CoStep9StanceTimeT4</v>
      </c>
      <c r="GR4" s="31" t="str">
        <f>GR3&amp;Comf!$I$2</f>
        <v>CoStep10ColorT4</v>
      </c>
      <c r="GS4" s="31" t="str">
        <f>GS3&amp;Comf!$I$2</f>
        <v>CoStep10StepLengthT4</v>
      </c>
      <c r="GT4" s="31" t="str">
        <f>GT3&amp;Comf!$I$2</f>
        <v>CoStep10StepTimeT4</v>
      </c>
      <c r="GU4" s="31" t="str">
        <f>GU3&amp;Comf!$I$2</f>
        <v>CoStep10DoubleSupportTimeT4</v>
      </c>
      <c r="GV4" s="31" t="str">
        <f>GV3&amp;Comf!$I$2</f>
        <v>CoStep10StanceTimeT4</v>
      </c>
      <c r="GW4" s="31" t="str">
        <f>GW3&amp;Comf!$I$2</f>
        <v>CoStep1ColorT5</v>
      </c>
      <c r="GX4" s="31" t="str">
        <f>GX3&amp;Comf!$I$2</f>
        <v>CoStep1StepLengthT5</v>
      </c>
      <c r="GY4" s="31" t="str">
        <f>GY3&amp;Comf!$I$2</f>
        <v>CoStep1StepTimeT5</v>
      </c>
      <c r="GZ4" s="31" t="str">
        <f>GZ3&amp;Comf!$I$2</f>
        <v>CoStep1DoubleSupportTimeT5</v>
      </c>
      <c r="HA4" s="31" t="str">
        <f>HA3&amp;Comf!$I$2</f>
        <v>CoStep1StanceTimeT5</v>
      </c>
      <c r="HB4" s="31" t="str">
        <f>HB3&amp;Comf!$I$2</f>
        <v>CoStep2ColorT5</v>
      </c>
      <c r="HC4" s="31" t="str">
        <f>HC3&amp;Comf!$I$2</f>
        <v>CoStep2StepLengthT5</v>
      </c>
      <c r="HD4" s="31" t="str">
        <f>HD3&amp;Comf!$I$2</f>
        <v>CoStep2StepTimeT5</v>
      </c>
      <c r="HE4" s="31" t="str">
        <f>HE3&amp;Comf!$I$2</f>
        <v>CoStep2DoubleSupportTimeT5</v>
      </c>
      <c r="HF4" s="31" t="str">
        <f>HF3&amp;Comf!$I$2</f>
        <v>CoStep2StanceTimeT5</v>
      </c>
      <c r="HG4" s="31" t="str">
        <f>HG3&amp;Comf!$I$2</f>
        <v>CoStep3ColorT5</v>
      </c>
      <c r="HH4" s="31" t="str">
        <f>HH3&amp;Comf!$I$2</f>
        <v>CoStep3StepLengthT5</v>
      </c>
      <c r="HI4" s="31" t="str">
        <f>HI3&amp;Comf!$I$2</f>
        <v>CoStep3StepTimeT5</v>
      </c>
      <c r="HJ4" s="31" t="str">
        <f>HJ3&amp;Comf!$I$2</f>
        <v>CoStep3DoubleSupportTimeT5</v>
      </c>
      <c r="HK4" s="31" t="str">
        <f>HK3&amp;Comf!$I$2</f>
        <v>CoStep3StanceTimeT5</v>
      </c>
      <c r="HL4" s="31" t="str">
        <f>HL3&amp;Comf!$I$2</f>
        <v>CoStep4ColorT5</v>
      </c>
      <c r="HM4" s="31" t="str">
        <f>HM3&amp;Comf!$I$2</f>
        <v>CoStep4StepLengthT5</v>
      </c>
      <c r="HN4" s="31" t="str">
        <f>HN3&amp;Comf!$I$2</f>
        <v>CoStep4StepTimeT5</v>
      </c>
      <c r="HO4" s="31" t="str">
        <f>HO3&amp;Comf!$I$2</f>
        <v>CoStep4DoubleSupportTimeT5</v>
      </c>
      <c r="HP4" s="31" t="str">
        <f>HP3&amp;Comf!$I$2</f>
        <v>CoStep4StanceTimeT5</v>
      </c>
      <c r="HQ4" s="31" t="str">
        <f>HQ3&amp;Comf!$I$2</f>
        <v>CoStep5ColorT5</v>
      </c>
      <c r="HR4" s="31" t="str">
        <f>HR3&amp;Comf!$I$2</f>
        <v>CoStep5StepLengthT5</v>
      </c>
      <c r="HS4" s="31" t="str">
        <f>HS3&amp;Comf!$I$2</f>
        <v>CoStep5StepTimeT5</v>
      </c>
      <c r="HT4" s="31" t="str">
        <f>HT3&amp;Comf!$I$2</f>
        <v>CoStep5DoubleSupportTimeT5</v>
      </c>
      <c r="HU4" s="31" t="str">
        <f>HU3&amp;Comf!$I$2</f>
        <v>CoStep5StanceTimeT5</v>
      </c>
      <c r="HV4" s="31" t="str">
        <f>HV3&amp;Comf!$I$2</f>
        <v>CoStep6ColorT5</v>
      </c>
      <c r="HW4" s="31" t="str">
        <f>HW3&amp;Comf!$I$2</f>
        <v>CoStep6StepLengthT5</v>
      </c>
      <c r="HX4" s="31" t="str">
        <f>HX3&amp;Comf!$I$2</f>
        <v>CoStep6StepTimeT5</v>
      </c>
      <c r="HY4" s="31" t="str">
        <f>HY3&amp;Comf!$I$2</f>
        <v>CoStep6DoubleSupportTimeT5</v>
      </c>
      <c r="HZ4" s="31" t="str">
        <f>HZ3&amp;Comf!$I$2</f>
        <v>CoStep6StanceTimeT5</v>
      </c>
      <c r="IA4" s="31" t="str">
        <f>IA3&amp;Comf!$I$2</f>
        <v>CoStep7ColorT5</v>
      </c>
      <c r="IB4" s="31" t="str">
        <f>IB3&amp;Comf!$I$2</f>
        <v>CoStep7StepLengthT5</v>
      </c>
      <c r="IC4" s="31" t="str">
        <f>IC3&amp;Comf!$I$2</f>
        <v>CoStep7StepTimeT5</v>
      </c>
      <c r="ID4" s="31" t="str">
        <f>ID3&amp;Comf!$I$2</f>
        <v>CoStep7DoubleSupportTimeT5</v>
      </c>
      <c r="IE4" s="31" t="str">
        <f>IE3&amp;Comf!$I$2</f>
        <v>CoStep7StanceTimeT5</v>
      </c>
      <c r="IF4" s="31" t="str">
        <f>IF3&amp;Comf!$I$2</f>
        <v>CoStep8ColorT5</v>
      </c>
      <c r="IG4" s="31" t="str">
        <f>IG3&amp;Comf!$I$2</f>
        <v>CoStep8StepLengthT5</v>
      </c>
      <c r="IH4" s="31" t="str">
        <f>IH3&amp;Comf!$I$2</f>
        <v>CoStep8StepTimeT5</v>
      </c>
      <c r="II4" s="31" t="str">
        <f>II3&amp;Comf!$I$2</f>
        <v>CoStep8DoubleSupportTimeT5</v>
      </c>
      <c r="IJ4" s="31" t="str">
        <f>IJ3&amp;Comf!$I$2</f>
        <v>CoStep8StanceTimeT5</v>
      </c>
      <c r="IK4" s="31" t="str">
        <f>IK3&amp;Comf!$I$2</f>
        <v>CoStep9ColorT5</v>
      </c>
      <c r="IL4" s="31" t="str">
        <f>IL3&amp;Comf!$I$2</f>
        <v>CoStep9StepLengthT5</v>
      </c>
      <c r="IM4" s="31" t="str">
        <f>IM3&amp;Comf!$I$2</f>
        <v>CoStep9StepTimeT5</v>
      </c>
      <c r="IN4" s="31" t="str">
        <f>IN3&amp;Comf!$I$2</f>
        <v>CoStep9DoubleSupportTimeT5</v>
      </c>
      <c r="IO4" s="31" t="str">
        <f>IO3&amp;Comf!$I$2</f>
        <v>CoStep9StanceTimeT5</v>
      </c>
      <c r="IP4" s="31" t="str">
        <f>IP3&amp;Comf!$I$2</f>
        <v>CoStep10ColorT5</v>
      </c>
      <c r="IQ4" s="31" t="str">
        <f>IQ3&amp;Comf!$I$2</f>
        <v>CoStep10StepLengthT5</v>
      </c>
      <c r="IR4" s="31" t="str">
        <f>IR3&amp;Comf!$I$2</f>
        <v>CoStep10StepTimeT5</v>
      </c>
      <c r="IS4" s="31" t="str">
        <f>IS3&amp;Comf!$I$2</f>
        <v>CoStep10DoubleSupportTimeT5</v>
      </c>
      <c r="IT4" s="31" t="str">
        <f>IT3&amp;Comf!$I$2</f>
        <v>CoStep10StanceTimeT5</v>
      </c>
      <c r="IU4" s="31" t="str">
        <f>IU3&amp;Comf!$I$2</f>
        <v>CoStep1ColorT6</v>
      </c>
      <c r="IV4" s="31" t="str">
        <f>IV3&amp;Comf!$I$2</f>
        <v>CoStep1StepLengthT6</v>
      </c>
      <c r="IW4" s="31" t="str">
        <f>IW3&amp;Comf!$I$2</f>
        <v>CoStep1StepTimeT6</v>
      </c>
      <c r="IX4" s="31" t="str">
        <f>IX3&amp;Comf!$I$2</f>
        <v>CoStep1DoubleSupportTimeT6</v>
      </c>
      <c r="IY4" s="31" t="str">
        <f>IY3&amp;Comf!$I$2</f>
        <v>CoStep1StanceTimeT6</v>
      </c>
      <c r="IZ4" s="31" t="str">
        <f>IZ3&amp;Comf!$I$2</f>
        <v>CoStep2ColorT6</v>
      </c>
      <c r="JA4" s="31" t="str">
        <f>JA3&amp;Comf!$I$2</f>
        <v>CoStep2StepLengthT6</v>
      </c>
      <c r="JB4" s="31" t="str">
        <f>JB3&amp;Comf!$I$2</f>
        <v>CoStep2StepTimeT6</v>
      </c>
      <c r="JC4" s="31" t="str">
        <f>JC3&amp;Comf!$I$2</f>
        <v>CoStep2DoubleSupportTimeT6</v>
      </c>
      <c r="JD4" s="31" t="str">
        <f>JD3&amp;Comf!$I$2</f>
        <v>CoStep2StanceTimeT6</v>
      </c>
      <c r="JE4" s="31" t="str">
        <f>JE3&amp;Comf!$I$2</f>
        <v>CoStep3ColorT6</v>
      </c>
      <c r="JF4" s="31" t="str">
        <f>JF3&amp;Comf!$I$2</f>
        <v>CoStep3StepLengthT6</v>
      </c>
      <c r="JG4" s="31" t="str">
        <f>JG3&amp;Comf!$I$2</f>
        <v>CoStep3StepTimeT6</v>
      </c>
      <c r="JH4" s="31" t="str">
        <f>JH3&amp;Comf!$I$2</f>
        <v>CoStep3DoubleSupportTimeT6</v>
      </c>
      <c r="JI4" s="31" t="str">
        <f>JI3&amp;Comf!$I$2</f>
        <v>CoStep3StanceTimeT6</v>
      </c>
      <c r="JJ4" s="31" t="str">
        <f>JJ3&amp;Comf!$I$2</f>
        <v>CoStep4ColorT6</v>
      </c>
      <c r="JK4" s="31" t="str">
        <f>JK3&amp;Comf!$I$2</f>
        <v>CoStep4StepLengthT6</v>
      </c>
      <c r="JL4" s="31" t="str">
        <f>JL3&amp;Comf!$I$2</f>
        <v>CoStep4StepTimeT6</v>
      </c>
      <c r="JM4" s="31" t="str">
        <f>JM3&amp;Comf!$I$2</f>
        <v>CoStep4DoubleSupportTimeT6</v>
      </c>
      <c r="JN4" s="31" t="str">
        <f>JN3&amp;Comf!$I$2</f>
        <v>CoStep4StanceTimeT6</v>
      </c>
      <c r="JO4" s="31" t="str">
        <f>JO3&amp;Comf!$I$2</f>
        <v>CoStep5ColorT6</v>
      </c>
      <c r="JP4" s="31" t="str">
        <f>JP3&amp;Comf!$I$2</f>
        <v>CoStep5StepLengthT6</v>
      </c>
      <c r="JQ4" s="31" t="str">
        <f>JQ3&amp;Comf!$I$2</f>
        <v>CoStep5StepTimeT6</v>
      </c>
      <c r="JR4" s="31" t="str">
        <f>JR3&amp;Comf!$I$2</f>
        <v>CoStep5DoubleSupportTimeT6</v>
      </c>
      <c r="JS4" s="31" t="str">
        <f>JS3&amp;Comf!$I$2</f>
        <v>CoStep5StanceTimeT6</v>
      </c>
      <c r="JT4" s="31" t="str">
        <f>JT3&amp;Comf!$I$2</f>
        <v>CoStep6ColorT6</v>
      </c>
      <c r="JU4" s="31" t="str">
        <f>JU3&amp;Comf!$I$2</f>
        <v>CoStep6StepLengthT6</v>
      </c>
      <c r="JV4" s="31" t="str">
        <f>JV3&amp;Comf!$I$2</f>
        <v>CoStep6StepTimeT6</v>
      </c>
      <c r="JW4" s="31" t="str">
        <f>JW3&amp;Comf!$I$2</f>
        <v>CoStep6DoubleSupportTimeT6</v>
      </c>
      <c r="JX4" s="31" t="str">
        <f>JX3&amp;Comf!$I$2</f>
        <v>CoStep6StanceTimeT6</v>
      </c>
      <c r="JY4" s="31" t="str">
        <f>JY3&amp;Comf!$I$2</f>
        <v>CoStep7ColorT6</v>
      </c>
      <c r="JZ4" s="31" t="str">
        <f>JZ3&amp;Comf!$I$2</f>
        <v>CoStep7StepLengthT6</v>
      </c>
      <c r="KA4" s="31" t="str">
        <f>KA3&amp;Comf!$I$2</f>
        <v>CoStep7StepTimeT6</v>
      </c>
      <c r="KB4" s="31" t="str">
        <f>KB3&amp;Comf!$I$2</f>
        <v>CoStep7DoubleSupportTimeT6</v>
      </c>
      <c r="KC4" s="31" t="str">
        <f>KC3&amp;Comf!$I$2</f>
        <v>CoStep7StanceTimeT6</v>
      </c>
      <c r="KD4" s="31" t="str">
        <f>KD3&amp;Comf!$I$2</f>
        <v>CoStep8ColorT6</v>
      </c>
      <c r="KE4" s="31" t="str">
        <f>KE3&amp;Comf!$I$2</f>
        <v>CoStep8StepLengthT6</v>
      </c>
      <c r="KF4" s="31" t="str">
        <f>KF3&amp;Comf!$I$2</f>
        <v>CoStep8StepTimeT6</v>
      </c>
      <c r="KG4" s="31" t="str">
        <f>KG3&amp;Comf!$I$2</f>
        <v>CoStep8DoubleSupportTimeT6</v>
      </c>
      <c r="KH4" s="31" t="str">
        <f>KH3&amp;Comf!$I$2</f>
        <v>CoStep8StanceTimeT6</v>
      </c>
      <c r="KI4" s="31" t="str">
        <f>KI3&amp;Comf!$I$2</f>
        <v>CoStep9ColorT6</v>
      </c>
      <c r="KJ4" s="31" t="str">
        <f>KJ3&amp;Comf!$I$2</f>
        <v>CoStep9StepLengthT6</v>
      </c>
      <c r="KK4" s="31" t="str">
        <f>KK3&amp;Comf!$I$2</f>
        <v>CoStep9StepTimeT6</v>
      </c>
      <c r="KL4" s="31" t="str">
        <f>KL3&amp;Comf!$I$2</f>
        <v>CoStep9DoubleSupportTimeT6</v>
      </c>
      <c r="KM4" s="31" t="str">
        <f>KM3&amp;Comf!$I$2</f>
        <v>CoStep9StanceTimeT6</v>
      </c>
      <c r="KN4" s="31" t="str">
        <f>KN3&amp;Comf!$I$2</f>
        <v>CoStep10ColorT6</v>
      </c>
      <c r="KO4" s="31" t="str">
        <f>KO3&amp;Comf!$I$2</f>
        <v>CoStep10StepLengthT6</v>
      </c>
      <c r="KP4" s="31" t="str">
        <f>KP3&amp;Comf!$I$2</f>
        <v>CoStep10StepTimeT6</v>
      </c>
      <c r="KQ4" s="31" t="str">
        <f>KQ3&amp;Comf!$I$2</f>
        <v>CoStep10DoubleSupportTimeT6</v>
      </c>
      <c r="KR4" s="31" t="str">
        <f>KR3&amp;Comf!$I$2</f>
        <v>CoStep10StanceTimeT6</v>
      </c>
      <c r="KS4" s="31" t="str">
        <f>KS3&amp;Comf!$I$2</f>
        <v>CoStep1ColorT7</v>
      </c>
      <c r="KT4" s="31" t="str">
        <f>KT3&amp;Comf!$I$2</f>
        <v>CoStep1StepLengthT7</v>
      </c>
      <c r="KU4" s="31" t="str">
        <f>KU3&amp;Comf!$I$2</f>
        <v>CoStep1StepTimeT7</v>
      </c>
      <c r="KV4" s="31" t="str">
        <f>KV3&amp;Comf!$I$2</f>
        <v>CoStep1DoubleSupportTimeT7</v>
      </c>
      <c r="KW4" s="31" t="str">
        <f>KW3&amp;Comf!$I$2</f>
        <v>CoStep1StanceTimeT7</v>
      </c>
      <c r="KX4" s="31" t="str">
        <f>KX3&amp;Comf!$I$2</f>
        <v>CoStep2ColorT7</v>
      </c>
      <c r="KY4" s="31" t="str">
        <f>KY3&amp;Comf!$I$2</f>
        <v>CoStep2StepLengthT7</v>
      </c>
      <c r="KZ4" s="31" t="str">
        <f>KZ3&amp;Comf!$I$2</f>
        <v>CoStep2StepTimeT7</v>
      </c>
      <c r="LA4" s="31" t="str">
        <f>LA3&amp;Comf!$I$2</f>
        <v>CoStep2DoubleSupportTimeT7</v>
      </c>
      <c r="LB4" s="31" t="str">
        <f>LB3&amp;Comf!$I$2</f>
        <v>CoStep2StanceTimeT7</v>
      </c>
      <c r="LC4" s="31" t="str">
        <f>LC3&amp;Comf!$I$2</f>
        <v>CoStep3ColorT7</v>
      </c>
      <c r="LD4" s="31" t="str">
        <f>LD3&amp;Comf!$I$2</f>
        <v>CoStep3StepLengthT7</v>
      </c>
      <c r="LE4" s="31" t="str">
        <f>LE3&amp;Comf!$I$2</f>
        <v>CoStep3StepTimeT7</v>
      </c>
      <c r="LF4" s="31" t="str">
        <f>LF3&amp;Comf!$I$2</f>
        <v>CoStep3DoubleSupportTimeT7</v>
      </c>
      <c r="LG4" s="31" t="str">
        <f>LG3&amp;Comf!$I$2</f>
        <v>CoStep3StanceTimeT7</v>
      </c>
      <c r="LH4" s="31" t="str">
        <f>LH3&amp;Comf!$I$2</f>
        <v>CoStep4ColorT7</v>
      </c>
      <c r="LI4" s="31" t="str">
        <f>LI3&amp;Comf!$I$2</f>
        <v>CoStep4StepLengthT7</v>
      </c>
      <c r="LJ4" s="31" t="str">
        <f>LJ3&amp;Comf!$I$2</f>
        <v>CoStep4StepTimeT7</v>
      </c>
      <c r="LK4" s="31" t="str">
        <f>LK3&amp;Comf!$I$2</f>
        <v>CoStep4DoubleSupportTimeT7</v>
      </c>
      <c r="LL4" s="31" t="str">
        <f>LL3&amp;Comf!$I$2</f>
        <v>CoStep4StanceTimeT7</v>
      </c>
      <c r="LM4" s="31" t="str">
        <f>LM3&amp;Comf!$I$2</f>
        <v>CoStep5ColorT7</v>
      </c>
      <c r="LN4" s="31" t="str">
        <f>LN3&amp;Comf!$I$2</f>
        <v>CoStep5StepLengthT7</v>
      </c>
      <c r="LO4" s="31" t="str">
        <f>LO3&amp;Comf!$I$2</f>
        <v>CoStep5StepTimeT7</v>
      </c>
      <c r="LP4" s="31" t="str">
        <f>LP3&amp;Comf!$I$2</f>
        <v>CoStep5DoubleSupportTimeT7</v>
      </c>
      <c r="LQ4" s="31" t="str">
        <f>LQ3&amp;Comf!$I$2</f>
        <v>CoStep5StanceTimeT7</v>
      </c>
      <c r="LR4" s="31" t="str">
        <f>LR3&amp;Comf!$I$2</f>
        <v>CoStep6ColorT7</v>
      </c>
      <c r="LS4" s="31" t="str">
        <f>LS3&amp;Comf!$I$2</f>
        <v>CoStep6StepLengthT7</v>
      </c>
      <c r="LT4" s="31" t="str">
        <f>LT3&amp;Comf!$I$2</f>
        <v>CoStep6StepTimeT7</v>
      </c>
      <c r="LU4" s="31" t="str">
        <f>LU3&amp;Comf!$I$2</f>
        <v>CoStep6DoubleSupportTimeT7</v>
      </c>
      <c r="LV4" s="31" t="str">
        <f>LV3&amp;Comf!$I$2</f>
        <v>CoStep6StanceTimeT7</v>
      </c>
      <c r="LW4" s="31" t="str">
        <f>LW3&amp;Comf!$I$2</f>
        <v>CoStep7ColorT7</v>
      </c>
      <c r="LX4" s="31" t="str">
        <f>LX3&amp;Comf!$I$2</f>
        <v>CoStep7StepLengthT7</v>
      </c>
      <c r="LY4" s="31" t="str">
        <f>LY3&amp;Comf!$I$2</f>
        <v>CoStep7StepTimeT7</v>
      </c>
      <c r="LZ4" s="31" t="str">
        <f>LZ3&amp;Comf!$I$2</f>
        <v>CoStep7DoubleSupportTimeT7</v>
      </c>
      <c r="MA4" s="31" t="str">
        <f>MA3&amp;Comf!$I$2</f>
        <v>CoStep7StanceTimeT7</v>
      </c>
      <c r="MB4" s="31" t="str">
        <f>MB3&amp;Comf!$I$2</f>
        <v>CoStep8ColorT7</v>
      </c>
      <c r="MC4" s="31" t="str">
        <f>MC3&amp;Comf!$I$2</f>
        <v>CoStep8StepLengthT7</v>
      </c>
      <c r="MD4" s="31" t="str">
        <f>MD3&amp;Comf!$I$2</f>
        <v>CoStep8StepTimeT7</v>
      </c>
      <c r="ME4" s="31" t="str">
        <f>ME3&amp;Comf!$I$2</f>
        <v>CoStep8DoubleSupportTimeT7</v>
      </c>
      <c r="MF4" s="31" t="str">
        <f>MF3&amp;Comf!$I$2</f>
        <v>CoStep8StanceTimeT7</v>
      </c>
      <c r="MG4" s="31" t="str">
        <f>MG3&amp;Comf!$I$2</f>
        <v>CoStep9ColorT7</v>
      </c>
      <c r="MH4" s="31" t="str">
        <f>MH3&amp;Comf!$I$2</f>
        <v>CoStep9StepLengthT7</v>
      </c>
      <c r="MI4" s="31" t="str">
        <f>MI3&amp;Comf!$I$2</f>
        <v>CoStep9StepTimeT7</v>
      </c>
      <c r="MJ4" s="31" t="str">
        <f>MJ3&amp;Comf!$I$2</f>
        <v>CoStep9DoubleSupportTimeT7</v>
      </c>
      <c r="MK4" s="31" t="str">
        <f>MK3&amp;Comf!$I$2</f>
        <v>CoStep9StanceTimeT7</v>
      </c>
      <c r="ML4" s="31" t="str">
        <f>ML3&amp;Comf!$I$2</f>
        <v>CoStep10ColorT7</v>
      </c>
      <c r="MM4" s="31" t="str">
        <f>MM3&amp;Comf!$I$2</f>
        <v>CoStep10StepLengthT7</v>
      </c>
      <c r="MN4" s="31" t="str">
        <f>MN3&amp;Comf!$I$2</f>
        <v>CoStep10StepTimeT7</v>
      </c>
      <c r="MO4" s="31" t="str">
        <f>MO3&amp;Comf!$I$2</f>
        <v>CoStep10DoubleSupportTimeT7</v>
      </c>
      <c r="MP4" s="31" t="str">
        <f>MP3&amp;Comf!$I$2</f>
        <v>CoStep10StanceTimeT7</v>
      </c>
      <c r="MQ4" s="31" t="str">
        <f>MQ3&amp;Comf!$I$2</f>
        <v>CoStep1ColorT8</v>
      </c>
      <c r="MR4" s="31" t="str">
        <f>MR3&amp;Comf!$I$2</f>
        <v>CoStep1StepLengthT8</v>
      </c>
      <c r="MS4" s="31" t="str">
        <f>MS3&amp;Comf!$I$2</f>
        <v>CoStep1StepTimeT8</v>
      </c>
      <c r="MT4" s="31" t="str">
        <f>MT3&amp;Comf!$I$2</f>
        <v>CoStep1DoubleSupportTimeT8</v>
      </c>
      <c r="MU4" s="31" t="str">
        <f>MU3&amp;Comf!$I$2</f>
        <v>CoStep1StanceTimeT8</v>
      </c>
      <c r="MV4" s="31" t="str">
        <f>MV3&amp;Comf!$I$2</f>
        <v>CoStep2ColorT8</v>
      </c>
      <c r="MW4" s="31" t="str">
        <f>MW3&amp;Comf!$I$2</f>
        <v>CoStep2StepLengthT8</v>
      </c>
      <c r="MX4" s="31" t="str">
        <f>MX3&amp;Comf!$I$2</f>
        <v>CoStep2StepTimeT8</v>
      </c>
      <c r="MY4" s="31" t="str">
        <f>MY3&amp;Comf!$I$2</f>
        <v>CoStep2DoubleSupportTimeT8</v>
      </c>
      <c r="MZ4" s="31" t="str">
        <f>MZ3&amp;Comf!$I$2</f>
        <v>CoStep2StanceTimeT8</v>
      </c>
      <c r="NA4" s="31" t="str">
        <f>NA3&amp;Comf!$I$2</f>
        <v>CoStep3ColorT8</v>
      </c>
      <c r="NB4" s="31" t="str">
        <f>NB3&amp;Comf!$I$2</f>
        <v>CoStep3StepLengthT8</v>
      </c>
      <c r="NC4" s="31" t="str">
        <f>NC3&amp;Comf!$I$2</f>
        <v>CoStep3StepTimeT8</v>
      </c>
      <c r="ND4" s="31" t="str">
        <f>ND3&amp;Comf!$I$2</f>
        <v>CoStep3DoubleSupportTimeT8</v>
      </c>
      <c r="NE4" s="31" t="str">
        <f>NE3&amp;Comf!$I$2</f>
        <v>CoStep3StanceTimeT8</v>
      </c>
      <c r="NF4" s="31" t="str">
        <f>NF3&amp;Comf!$I$2</f>
        <v>CoStep4ColorT8</v>
      </c>
      <c r="NG4" s="31" t="str">
        <f>NG3&amp;Comf!$I$2</f>
        <v>CoStep4StepLengthT8</v>
      </c>
      <c r="NH4" s="31" t="str">
        <f>NH3&amp;Comf!$I$2</f>
        <v>CoStep4StepTimeT8</v>
      </c>
      <c r="NI4" s="31" t="str">
        <f>NI3&amp;Comf!$I$2</f>
        <v>CoStep4DoubleSupportTimeT8</v>
      </c>
      <c r="NJ4" s="31" t="str">
        <f>NJ3&amp;Comf!$I$2</f>
        <v>CoStep4StanceTimeT8</v>
      </c>
      <c r="NK4" s="31" t="str">
        <f>NK3&amp;Comf!$I$2</f>
        <v>CoStep5ColorT8</v>
      </c>
      <c r="NL4" s="31" t="str">
        <f>NL3&amp;Comf!$I$2</f>
        <v>CoStep5StepLengthT8</v>
      </c>
      <c r="NM4" s="31" t="str">
        <f>NM3&amp;Comf!$I$2</f>
        <v>CoStep5StepTimeT8</v>
      </c>
      <c r="NN4" s="31" t="str">
        <f>NN3&amp;Comf!$I$2</f>
        <v>CoStep5DoubleSupportTimeT8</v>
      </c>
      <c r="NO4" s="31" t="str">
        <f>NO3&amp;Comf!$I$2</f>
        <v>CoStep5StanceTimeT8</v>
      </c>
      <c r="NP4" s="31" t="str">
        <f>NP3&amp;Comf!$I$2</f>
        <v>CoStep6ColorT8</v>
      </c>
      <c r="NQ4" s="31" t="str">
        <f>NQ3&amp;Comf!$I$2</f>
        <v>CoStep6StepLengthT8</v>
      </c>
      <c r="NR4" s="31" t="str">
        <f>NR3&amp;Comf!$I$2</f>
        <v>CoStep6StepTimeT8</v>
      </c>
      <c r="NS4" s="31" t="str">
        <f>NS3&amp;Comf!$I$2</f>
        <v>CoStep6DoubleSupportTimeT8</v>
      </c>
      <c r="NT4" s="31" t="str">
        <f>NT3&amp;Comf!$I$2</f>
        <v>CoStep6StanceTimeT8</v>
      </c>
      <c r="NU4" s="31" t="str">
        <f>NU3&amp;Comf!$I$2</f>
        <v>CoStep7ColorT8</v>
      </c>
      <c r="NV4" s="31" t="str">
        <f>NV3&amp;Comf!$I$2</f>
        <v>CoStep7StepLengthT8</v>
      </c>
      <c r="NW4" s="31" t="str">
        <f>NW3&amp;Comf!$I$2</f>
        <v>CoStep7StepTimeT8</v>
      </c>
      <c r="NX4" s="31" t="str">
        <f>NX3&amp;Comf!$I$2</f>
        <v>CoStep7DoubleSupportTimeT8</v>
      </c>
      <c r="NY4" s="31" t="str">
        <f>NY3&amp;Comf!$I$2</f>
        <v>CoStep7StanceTimeT8</v>
      </c>
      <c r="NZ4" s="31" t="str">
        <f>NZ3&amp;Comf!$I$2</f>
        <v>CoStep8ColorT8</v>
      </c>
      <c r="OA4" s="31" t="str">
        <f>OA3&amp;Comf!$I$2</f>
        <v>CoStep8StepLengthT8</v>
      </c>
      <c r="OB4" s="31" t="str">
        <f>OB3&amp;Comf!$I$2</f>
        <v>CoStep8StepTimeT8</v>
      </c>
      <c r="OC4" s="31" t="str">
        <f>OC3&amp;Comf!$I$2</f>
        <v>CoStep8DoubleSupportTimeT8</v>
      </c>
      <c r="OD4" s="31" t="str">
        <f>OD3&amp;Comf!$I$2</f>
        <v>CoStep8StanceTimeT8</v>
      </c>
      <c r="OE4" s="31" t="str">
        <f>OE3&amp;Comf!$I$2</f>
        <v>CoStep9ColorT8</v>
      </c>
      <c r="OF4" s="31" t="str">
        <f>OF3&amp;Comf!$I$2</f>
        <v>CoStep9StepLengthT8</v>
      </c>
      <c r="OG4" s="31" t="str">
        <f>OG3&amp;Comf!$I$2</f>
        <v>CoStep9StepTimeT8</v>
      </c>
      <c r="OH4" s="31" t="str">
        <f>OH3&amp;Comf!$I$2</f>
        <v>CoStep9DoubleSupportTimeT8</v>
      </c>
      <c r="OI4" s="31" t="str">
        <f>OI3&amp;Comf!$I$2</f>
        <v>CoStep9StanceTimeT8</v>
      </c>
      <c r="OJ4" s="31" t="str">
        <f>OJ3&amp;Comf!$I$2</f>
        <v>CoStep10ColorT8</v>
      </c>
      <c r="OK4" s="31" t="str">
        <f>OK3&amp;Comf!$I$2</f>
        <v>CoStep10StepLengthT8</v>
      </c>
      <c r="OL4" s="31" t="str">
        <f>OL3&amp;Comf!$I$2</f>
        <v>CoStep10StepTimeT8</v>
      </c>
      <c r="OM4" s="31" t="str">
        <f>OM3&amp;Comf!$I$2</f>
        <v>CoStep10DoubleSupportTimeT8</v>
      </c>
      <c r="ON4" s="31" t="str">
        <f>ON3&amp;Comf!$I$2</f>
        <v>CoStep10StanceTimeT8</v>
      </c>
      <c r="OO4" s="31" t="str">
        <f>OO3&amp;Comf!$I$2</f>
        <v>CoStep1ColorT9</v>
      </c>
      <c r="OP4" s="31" t="str">
        <f>OP3&amp;Comf!$I$2</f>
        <v>CoStep1StepLengthT9</v>
      </c>
      <c r="OQ4" s="31" t="str">
        <f>OQ3&amp;Comf!$I$2</f>
        <v>CoStep1StepTimeT9</v>
      </c>
      <c r="OR4" s="31" t="str">
        <f>OR3&amp;Comf!$I$2</f>
        <v>CoStep1DoubleSupportTimeT9</v>
      </c>
      <c r="OS4" s="31" t="str">
        <f>OS3&amp;Comf!$I$2</f>
        <v>CoStep1StanceTimeT9</v>
      </c>
      <c r="OT4" s="31" t="str">
        <f>OT3&amp;Comf!$I$2</f>
        <v>CoStep2ColorT9</v>
      </c>
      <c r="OU4" s="31" t="str">
        <f>OU3&amp;Comf!$I$2</f>
        <v>CoStep2StepLengthT9</v>
      </c>
      <c r="OV4" s="31" t="str">
        <f>OV3&amp;Comf!$I$2</f>
        <v>CoStep2StepTimeT9</v>
      </c>
      <c r="OW4" s="31" t="str">
        <f>OW3&amp;Comf!$I$2</f>
        <v>CoStep2DoubleSupportTimeT9</v>
      </c>
      <c r="OX4" s="31" t="str">
        <f>OX3&amp;Comf!$I$2</f>
        <v>CoStep2StanceTimeT9</v>
      </c>
      <c r="OY4" s="31" t="str">
        <f>OY3&amp;Comf!$I$2</f>
        <v>CoStep3ColorT9</v>
      </c>
      <c r="OZ4" s="31" t="str">
        <f>OZ3&amp;Comf!$I$2</f>
        <v>CoStep3StepLengthT9</v>
      </c>
      <c r="PA4" s="31" t="str">
        <f>PA3&amp;Comf!$I$2</f>
        <v>CoStep3StepTimeT9</v>
      </c>
      <c r="PB4" s="31" t="str">
        <f>PB3&amp;Comf!$I$2</f>
        <v>CoStep3DoubleSupportTimeT9</v>
      </c>
      <c r="PC4" s="31" t="str">
        <f>PC3&amp;Comf!$I$2</f>
        <v>CoStep3StanceTimeT9</v>
      </c>
      <c r="PD4" s="31" t="str">
        <f>PD3&amp;Comf!$I$2</f>
        <v>CoStep4ColorT9</v>
      </c>
      <c r="PE4" s="31" t="str">
        <f>PE3&amp;Comf!$I$2</f>
        <v>CoStep4StepLengthT9</v>
      </c>
      <c r="PF4" s="31" t="str">
        <f>PF3&amp;Comf!$I$2</f>
        <v>CoStep4StepTimeT9</v>
      </c>
      <c r="PG4" s="31" t="str">
        <f>PG3&amp;Comf!$I$2</f>
        <v>CoStep4DoubleSupportTimeT9</v>
      </c>
      <c r="PH4" s="31" t="str">
        <f>PH3&amp;Comf!$I$2</f>
        <v>CoStep4StanceTimeT9</v>
      </c>
      <c r="PI4" s="31" t="str">
        <f>PI3&amp;Comf!$I$2</f>
        <v>CoStep5ColorT9</v>
      </c>
      <c r="PJ4" s="31" t="str">
        <f>PJ3&amp;Comf!$I$2</f>
        <v>CoStep5StepLengthT9</v>
      </c>
      <c r="PK4" s="31" t="str">
        <f>PK3&amp;Comf!$I$2</f>
        <v>CoStep5StepTimeT9</v>
      </c>
      <c r="PL4" s="31" t="str">
        <f>PL3&amp;Comf!$I$2</f>
        <v>CoStep5DoubleSupportTimeT9</v>
      </c>
      <c r="PM4" s="31" t="str">
        <f>PM3&amp;Comf!$I$2</f>
        <v>CoStep5StanceTimeT9</v>
      </c>
      <c r="PN4" s="31" t="str">
        <f>PN3&amp;Comf!$I$2</f>
        <v>CoStep6ColorT9</v>
      </c>
      <c r="PO4" s="31" t="str">
        <f>PO3&amp;Comf!$I$2</f>
        <v>CoStep6StepLengthT9</v>
      </c>
      <c r="PP4" s="31" t="str">
        <f>PP3&amp;Comf!$I$2</f>
        <v>CoStep6StepTimeT9</v>
      </c>
      <c r="PQ4" s="31" t="str">
        <f>PQ3&amp;Comf!$I$2</f>
        <v>CoStep6DoubleSupportTimeT9</v>
      </c>
      <c r="PR4" s="31" t="str">
        <f>PR3&amp;Comf!$I$2</f>
        <v>CoStep6StanceTimeT9</v>
      </c>
      <c r="PS4" s="31" t="str">
        <f>PS3&amp;Comf!$I$2</f>
        <v>CoStep7ColorT9</v>
      </c>
      <c r="PT4" s="31" t="str">
        <f>PT3&amp;Comf!$I$2</f>
        <v>CoStep7StepLengthT9</v>
      </c>
      <c r="PU4" s="31" t="str">
        <f>PU3&amp;Comf!$I$2</f>
        <v>CoStep7StepTimeT9</v>
      </c>
      <c r="PV4" s="31" t="str">
        <f>PV3&amp;Comf!$I$2</f>
        <v>CoStep7DoubleSupportTimeT9</v>
      </c>
      <c r="PW4" s="31" t="str">
        <f>PW3&amp;Comf!$I$2</f>
        <v>CoStep7StanceTimeT9</v>
      </c>
      <c r="PX4" s="31" t="str">
        <f>PX3&amp;Comf!$I$2</f>
        <v>CoStep8ColorT9</v>
      </c>
      <c r="PY4" s="31" t="str">
        <f>PY3&amp;Comf!$I$2</f>
        <v>CoStep8StepLengthT9</v>
      </c>
      <c r="PZ4" s="31" t="str">
        <f>PZ3&amp;Comf!$I$2</f>
        <v>CoStep8StepTimeT9</v>
      </c>
      <c r="QA4" s="31" t="str">
        <f>QA3&amp;Comf!$I$2</f>
        <v>CoStep8DoubleSupportTimeT9</v>
      </c>
      <c r="QB4" s="31" t="str">
        <f>QB3&amp;Comf!$I$2</f>
        <v>CoStep8StanceTimeT9</v>
      </c>
      <c r="QC4" s="31" t="str">
        <f>QC3&amp;Comf!$I$2</f>
        <v>CoStep9ColorT9</v>
      </c>
      <c r="QD4" s="31" t="str">
        <f>QD3&amp;Comf!$I$2</f>
        <v>CoStep9StepLengthT9</v>
      </c>
      <c r="QE4" s="31" t="str">
        <f>QE3&amp;Comf!$I$2</f>
        <v>CoStep9StepTimeT9</v>
      </c>
      <c r="QF4" s="31" t="str">
        <f>QF3&amp;Comf!$I$2</f>
        <v>CoStep9DoubleSupportTimeT9</v>
      </c>
      <c r="QG4" s="31" t="str">
        <f>QG3&amp;Comf!$I$2</f>
        <v>CoStep9StanceTimeT9</v>
      </c>
      <c r="QH4" s="31" t="str">
        <f>QH3&amp;Comf!$I$2</f>
        <v>CoStep10ColorT9</v>
      </c>
      <c r="QI4" s="31" t="str">
        <f>QI3&amp;Comf!$I$2</f>
        <v>CoStep10StepLengthT9</v>
      </c>
      <c r="QJ4" s="31" t="str">
        <f>QJ3&amp;Comf!$I$2</f>
        <v>CoStep10StepTimeT9</v>
      </c>
      <c r="QK4" s="31" t="str">
        <f>QK3&amp;Comf!$I$2</f>
        <v>CoStep10DoubleSupportTimeT9</v>
      </c>
      <c r="QL4" s="31" t="str">
        <f>QL3&amp;Comf!$I$2</f>
        <v>CoStep10StanceTimeT9</v>
      </c>
      <c r="QM4" s="31" t="str">
        <f>QM3&amp;Comf!$I$2</f>
        <v>CoStep1ColorT10</v>
      </c>
      <c r="QN4" s="31" t="str">
        <f>QN3&amp;Comf!$I$2</f>
        <v>CoStep1StepLengthT10</v>
      </c>
      <c r="QO4" s="31" t="str">
        <f>QO3&amp;Comf!$I$2</f>
        <v>CoStep1StepTimeT10</v>
      </c>
      <c r="QP4" s="31" t="str">
        <f>QP3&amp;Comf!$I$2</f>
        <v>CoStep1DoubleSupportTimeT10</v>
      </c>
      <c r="QQ4" s="31" t="str">
        <f>QQ3&amp;Comf!$I$2</f>
        <v>CoStep1StanceTimeT10</v>
      </c>
      <c r="QR4" s="31" t="str">
        <f>QR3&amp;Comf!$I$2</f>
        <v>CoStep2ColorT10</v>
      </c>
      <c r="QS4" s="31" t="str">
        <f>QS3&amp;Comf!$I$2</f>
        <v>CoStep2StepLengthT10</v>
      </c>
      <c r="QT4" s="31" t="str">
        <f>QT3&amp;Comf!$I$2</f>
        <v>CoStep2StepTimeT10</v>
      </c>
      <c r="QU4" s="31" t="str">
        <f>QU3&amp;Comf!$I$2</f>
        <v>CoStep2DoubleSupportTimeT10</v>
      </c>
      <c r="QV4" s="31" t="str">
        <f>QV3&amp;Comf!$I$2</f>
        <v>CoStep2StanceTimeT10</v>
      </c>
      <c r="QW4" s="31" t="str">
        <f>QW3&amp;Comf!$I$2</f>
        <v>CoStep3ColorT10</v>
      </c>
      <c r="QX4" s="31" t="str">
        <f>QX3&amp;Comf!$I$2</f>
        <v>CoStep3StepLengthT10</v>
      </c>
      <c r="QY4" s="31" t="str">
        <f>QY3&amp;Comf!$I$2</f>
        <v>CoStep3StepTimeT10</v>
      </c>
      <c r="QZ4" s="31" t="str">
        <f>QZ3&amp;Comf!$I$2</f>
        <v>CoStep3DoubleSupportTimeT10</v>
      </c>
      <c r="RA4" s="31" t="str">
        <f>RA3&amp;Comf!$I$2</f>
        <v>CoStep3StanceTimeT10</v>
      </c>
      <c r="RB4" s="31" t="str">
        <f>RB3&amp;Comf!$I$2</f>
        <v>CoStep4ColorT10</v>
      </c>
      <c r="RC4" s="31" t="str">
        <f>RC3&amp;Comf!$I$2</f>
        <v>CoStep4StepLengthT10</v>
      </c>
      <c r="RD4" s="31" t="str">
        <f>RD3&amp;Comf!$I$2</f>
        <v>CoStep4StepTimeT10</v>
      </c>
      <c r="RE4" s="31" t="str">
        <f>RE3&amp;Comf!$I$2</f>
        <v>CoStep4DoubleSupportTimeT10</v>
      </c>
      <c r="RF4" s="31" t="str">
        <f>RF3&amp;Comf!$I$2</f>
        <v>CoStep4StanceTimeT10</v>
      </c>
      <c r="RG4" s="31" t="str">
        <f>RG3&amp;Comf!$I$2</f>
        <v>CoStep5ColorT10</v>
      </c>
      <c r="RH4" s="31" t="str">
        <f>RH3&amp;Comf!$I$2</f>
        <v>CoStep5StepLengthT10</v>
      </c>
      <c r="RI4" s="31" t="str">
        <f>RI3&amp;Comf!$I$2</f>
        <v>CoStep5StepTimeT10</v>
      </c>
      <c r="RJ4" s="31" t="str">
        <f>RJ3&amp;Comf!$I$2</f>
        <v>CoStep5DoubleSupportTimeT10</v>
      </c>
      <c r="RK4" s="31" t="str">
        <f>RK3&amp;Comf!$I$2</f>
        <v>CoStep5StanceTimeT10</v>
      </c>
      <c r="RL4" s="31" t="str">
        <f>RL3&amp;Comf!$I$2</f>
        <v>CoStep6ColorT10</v>
      </c>
      <c r="RM4" s="31" t="str">
        <f>RM3&amp;Comf!$I$2</f>
        <v>CoStep6StepLengthT10</v>
      </c>
      <c r="RN4" s="31" t="str">
        <f>RN3&amp;Comf!$I$2</f>
        <v>CoStep6StepTimeT10</v>
      </c>
      <c r="RO4" s="31" t="str">
        <f>RO3&amp;Comf!$I$2</f>
        <v>CoStep6DoubleSupportTimeT10</v>
      </c>
      <c r="RP4" s="31" t="str">
        <f>RP3&amp;Comf!$I$2</f>
        <v>CoStep6StanceTimeT10</v>
      </c>
      <c r="RQ4" s="31" t="str">
        <f>RQ3&amp;Comf!$I$2</f>
        <v>CoStep7ColorT10</v>
      </c>
      <c r="RR4" s="31" t="str">
        <f>RR3&amp;Comf!$I$2</f>
        <v>CoStep7StepLengthT10</v>
      </c>
      <c r="RS4" s="31" t="str">
        <f>RS3&amp;Comf!$I$2</f>
        <v>CoStep7StepTimeT10</v>
      </c>
      <c r="RT4" s="31" t="str">
        <f>RT3&amp;Comf!$I$2</f>
        <v>CoStep7DoubleSupportTimeT10</v>
      </c>
      <c r="RU4" s="31" t="str">
        <f>RU3&amp;Comf!$I$2</f>
        <v>CoStep7StanceTimeT10</v>
      </c>
      <c r="RV4" s="31" t="str">
        <f>RV3&amp;Comf!$I$2</f>
        <v>CoStep8ColorT10</v>
      </c>
      <c r="RW4" s="31" t="str">
        <f>RW3&amp;Comf!$I$2</f>
        <v>CoStep8StepLengthT10</v>
      </c>
      <c r="RX4" s="31" t="str">
        <f>RX3&amp;Comf!$I$2</f>
        <v>CoStep8StepTimeT10</v>
      </c>
      <c r="RY4" s="31" t="str">
        <f>RY3&amp;Comf!$I$2</f>
        <v>CoStep8DoubleSupportTimeT10</v>
      </c>
      <c r="RZ4" s="31" t="str">
        <f>RZ3&amp;Comf!$I$2</f>
        <v>CoStep8StanceTimeT10</v>
      </c>
      <c r="SA4" s="31" t="str">
        <f>SA3&amp;Comf!$I$2</f>
        <v>CoStep9ColorT10</v>
      </c>
      <c r="SB4" s="31" t="str">
        <f>SB3&amp;Comf!$I$2</f>
        <v>CoStep9StepLengthT10</v>
      </c>
      <c r="SC4" s="31" t="str">
        <f>SC3&amp;Comf!$I$2</f>
        <v>CoStep9StepTimeT10</v>
      </c>
      <c r="SD4" s="31" t="str">
        <f>SD3&amp;Comf!$I$2</f>
        <v>CoStep9DoubleSupportTimeT10</v>
      </c>
      <c r="SE4" s="31" t="str">
        <f>SE3&amp;Comf!$I$2</f>
        <v>CoStep9StanceTimeT10</v>
      </c>
      <c r="SF4" s="31" t="str">
        <f>SF3&amp;Comf!$I$2</f>
        <v>CoStep10ColorT10</v>
      </c>
      <c r="SG4" s="31" t="str">
        <f>SG3&amp;Comf!$I$2</f>
        <v>CoStep10StepLengthT10</v>
      </c>
      <c r="SH4" s="31" t="str">
        <f>SH3&amp;Comf!$I$2</f>
        <v>CoStep10StepTimeT10</v>
      </c>
      <c r="SI4" s="31" t="str">
        <f>SI3&amp;Comf!$I$2</f>
        <v>CoStep10DoubleSupportTimeT10</v>
      </c>
      <c r="SJ4" s="31" t="str">
        <f>SJ3&amp;Comf!$I$2</f>
        <v>CoStep10StanceTimeT10</v>
      </c>
      <c r="SK4" s="31" t="str">
        <f>SK3&amp;Comf!$I$2</f>
        <v>CoStep1ColorT11</v>
      </c>
      <c r="SL4" s="31" t="str">
        <f>SL3&amp;Comf!$I$2</f>
        <v>CoStep1StepLengthT11</v>
      </c>
      <c r="SM4" s="31" t="str">
        <f>SM3&amp;Comf!$I$2</f>
        <v>CoStep1StepTimeT11</v>
      </c>
      <c r="SN4" s="31" t="str">
        <f>SN3&amp;Comf!$I$2</f>
        <v>CoStep1DoubleSupportTimeT11</v>
      </c>
      <c r="SO4" s="31" t="str">
        <f>SO3&amp;Comf!$I$2</f>
        <v>CoStep1StanceTimeT11</v>
      </c>
      <c r="SP4" s="31" t="str">
        <f>SP3&amp;Comf!$I$2</f>
        <v>CoStep2ColorT11</v>
      </c>
      <c r="SQ4" s="31" t="str">
        <f>SQ3&amp;Comf!$I$2</f>
        <v>CoStep2StepLengthT11</v>
      </c>
      <c r="SR4" s="31" t="str">
        <f>SR3&amp;Comf!$I$2</f>
        <v>CoStep2StepTimeT11</v>
      </c>
      <c r="SS4" s="31" t="str">
        <f>SS3&amp;Comf!$I$2</f>
        <v>CoStep2DoubleSupportTimeT11</v>
      </c>
      <c r="ST4" s="31" t="str">
        <f>ST3&amp;Comf!$I$2</f>
        <v>CoStep2StanceTimeT11</v>
      </c>
      <c r="SU4" s="31" t="str">
        <f>SU3&amp;Comf!$I$2</f>
        <v>CoStep3ColorT11</v>
      </c>
      <c r="SV4" s="31" t="str">
        <f>SV3&amp;Comf!$I$2</f>
        <v>CoStep3StepLengthT11</v>
      </c>
      <c r="SW4" s="31" t="str">
        <f>SW3&amp;Comf!$I$2</f>
        <v>CoStep3StepTimeT11</v>
      </c>
      <c r="SX4" s="31" t="str">
        <f>SX3&amp;Comf!$I$2</f>
        <v>CoStep3DoubleSupportTimeT11</v>
      </c>
      <c r="SY4" s="31" t="str">
        <f>SY3&amp;Comf!$I$2</f>
        <v>CoStep3StanceTimeT11</v>
      </c>
      <c r="SZ4" s="31" t="str">
        <f>SZ3&amp;Comf!$I$2</f>
        <v>CoStep4ColorT11</v>
      </c>
      <c r="TA4" s="31" t="str">
        <f>TA3&amp;Comf!$I$2</f>
        <v>CoStep4StepLengthT11</v>
      </c>
      <c r="TB4" s="31" t="str">
        <f>TB3&amp;Comf!$I$2</f>
        <v>CoStep4StepTimeT11</v>
      </c>
      <c r="TC4" s="31" t="str">
        <f>TC3&amp;Comf!$I$2</f>
        <v>CoStep4DoubleSupportTimeT11</v>
      </c>
      <c r="TD4" s="31" t="str">
        <f>TD3&amp;Comf!$I$2</f>
        <v>CoStep4StanceTimeT11</v>
      </c>
      <c r="TE4" s="31" t="str">
        <f>TE3&amp;Comf!$I$2</f>
        <v>CoStep5ColorT11</v>
      </c>
      <c r="TF4" s="31" t="str">
        <f>TF3&amp;Comf!$I$2</f>
        <v>CoStep5StepLengthT11</v>
      </c>
      <c r="TG4" s="31" t="str">
        <f>TG3&amp;Comf!$I$2</f>
        <v>CoStep5StepTimeT11</v>
      </c>
      <c r="TH4" s="31" t="str">
        <f>TH3&amp;Comf!$I$2</f>
        <v>CoStep5DoubleSupportTimeT11</v>
      </c>
      <c r="TI4" s="31" t="str">
        <f>TI3&amp;Comf!$I$2</f>
        <v>CoStep5StanceTimeT11</v>
      </c>
      <c r="TJ4" s="31" t="str">
        <f>TJ3&amp;Comf!$I$2</f>
        <v>CoStep6ColorT11</v>
      </c>
      <c r="TK4" s="31" t="str">
        <f>TK3&amp;Comf!$I$2</f>
        <v>CoStep6StepLengthT11</v>
      </c>
      <c r="TL4" s="31" t="str">
        <f>TL3&amp;Comf!$I$2</f>
        <v>CoStep6StepTimeT11</v>
      </c>
      <c r="TM4" s="31" t="str">
        <f>TM3&amp;Comf!$I$2</f>
        <v>CoStep6DoubleSupportTimeT11</v>
      </c>
      <c r="TN4" s="31" t="str">
        <f>TN3&amp;Comf!$I$2</f>
        <v>CoStep6StanceTimeT11</v>
      </c>
      <c r="TO4" s="31" t="str">
        <f>TO3&amp;Comf!$I$2</f>
        <v>CoStep7ColorT11</v>
      </c>
      <c r="TP4" s="31" t="str">
        <f>TP3&amp;Comf!$I$2</f>
        <v>CoStep7StepLengthT11</v>
      </c>
      <c r="TQ4" s="31" t="str">
        <f>TQ3&amp;Comf!$I$2</f>
        <v>CoStep7StepTimeT11</v>
      </c>
      <c r="TR4" s="31" t="str">
        <f>TR3&amp;Comf!$I$2</f>
        <v>CoStep7DoubleSupportTimeT11</v>
      </c>
      <c r="TS4" s="31" t="str">
        <f>TS3&amp;Comf!$I$2</f>
        <v>CoStep7StanceTimeT11</v>
      </c>
      <c r="TT4" s="31" t="str">
        <f>TT3&amp;Comf!$I$2</f>
        <v>CoStep8ColorT11</v>
      </c>
      <c r="TU4" s="31" t="str">
        <f>TU3&amp;Comf!$I$2</f>
        <v>CoStep8StepLengthT11</v>
      </c>
      <c r="TV4" s="31" t="str">
        <f>TV3&amp;Comf!$I$2</f>
        <v>CoStep8StepTimeT11</v>
      </c>
      <c r="TW4" s="31" t="str">
        <f>TW3&amp;Comf!$I$2</f>
        <v>CoStep8DoubleSupportTimeT11</v>
      </c>
      <c r="TX4" s="31" t="str">
        <f>TX3&amp;Comf!$I$2</f>
        <v>CoStep8StanceTimeT11</v>
      </c>
      <c r="TY4" s="31" t="str">
        <f>TY3&amp;Comf!$I$2</f>
        <v>CoStep9ColorT11</v>
      </c>
      <c r="TZ4" s="31" t="str">
        <f>TZ3&amp;Comf!$I$2</f>
        <v>CoStep9StepLengthT11</v>
      </c>
      <c r="UA4" s="31" t="str">
        <f>UA3&amp;Comf!$I$2</f>
        <v>CoStep9StepTimeT11</v>
      </c>
      <c r="UB4" s="31" t="str">
        <f>UB3&amp;Comf!$I$2</f>
        <v>CoStep9DoubleSupportTimeT11</v>
      </c>
      <c r="UC4" s="31" t="str">
        <f>UC3&amp;Comf!$I$2</f>
        <v>CoStep9StanceTimeT11</v>
      </c>
      <c r="UD4" s="31" t="str">
        <f>UD3&amp;Comf!$I$2</f>
        <v>CoStep10ColorT11</v>
      </c>
      <c r="UE4" s="31" t="str">
        <f>UE3&amp;Comf!$I$2</f>
        <v>CoStep10StepLengthT11</v>
      </c>
      <c r="UF4" s="31" t="str">
        <f>UF3&amp;Comf!$I$2</f>
        <v>CoStep10StepTimeT11</v>
      </c>
      <c r="UG4" s="31" t="str">
        <f>UG3&amp;Comf!$I$2</f>
        <v>CoStep10DoubleSupportTimeT11</v>
      </c>
      <c r="UH4" s="31" t="str">
        <f>UH3&amp;Comf!$I$2</f>
        <v>CoStep10StanceTimeT11</v>
      </c>
      <c r="UI4" s="31" t="str">
        <f>UI3&amp;Comf!$I$2</f>
        <v>CoStep1ColorT12</v>
      </c>
      <c r="UJ4" s="31" t="str">
        <f>UJ3&amp;Comf!$I$2</f>
        <v>CoStep1StepLengthT12</v>
      </c>
      <c r="UK4" s="31" t="str">
        <f>UK3&amp;Comf!$I$2</f>
        <v>CoStep1StepTimeT12</v>
      </c>
      <c r="UL4" s="31" t="str">
        <f>UL3&amp;Comf!$I$2</f>
        <v>CoStep1DoubleSupportTimeT12</v>
      </c>
      <c r="UM4" s="31" t="str">
        <f>UM3&amp;Comf!$I$2</f>
        <v>CoStep1StanceTimeT12</v>
      </c>
      <c r="UN4" s="31" t="str">
        <f>UN3&amp;Comf!$I$2</f>
        <v>CoStep2ColorT12</v>
      </c>
      <c r="UO4" s="31" t="str">
        <f>UO3&amp;Comf!$I$2</f>
        <v>CoStep2StepLengthT12</v>
      </c>
      <c r="UP4" s="31" t="str">
        <f>UP3&amp;Comf!$I$2</f>
        <v>CoStep2StepTimeT12</v>
      </c>
      <c r="UQ4" s="31" t="str">
        <f>UQ3&amp;Comf!$I$2</f>
        <v>CoStep2DoubleSupportTimeT12</v>
      </c>
      <c r="UR4" s="31" t="str">
        <f>UR3&amp;Comf!$I$2</f>
        <v>CoStep2StanceTimeT12</v>
      </c>
      <c r="US4" s="31" t="str">
        <f>US3&amp;Comf!$I$2</f>
        <v>CoStep3ColorT12</v>
      </c>
      <c r="UT4" s="31" t="str">
        <f>UT3&amp;Comf!$I$2</f>
        <v>CoStep3StepLengthT12</v>
      </c>
      <c r="UU4" s="31" t="str">
        <f>UU3&amp;Comf!$I$2</f>
        <v>CoStep3StepTimeT12</v>
      </c>
      <c r="UV4" s="31" t="str">
        <f>UV3&amp;Comf!$I$2</f>
        <v>CoStep3DoubleSupportTimeT12</v>
      </c>
      <c r="UW4" s="31" t="str">
        <f>UW3&amp;Comf!$I$2</f>
        <v>CoStep3StanceTimeT12</v>
      </c>
      <c r="UX4" s="31" t="str">
        <f>UX3&amp;Comf!$I$2</f>
        <v>CoStep4ColorT12</v>
      </c>
      <c r="UY4" s="31" t="str">
        <f>UY3&amp;Comf!$I$2</f>
        <v>CoStep4StepLengthT12</v>
      </c>
      <c r="UZ4" s="31" t="str">
        <f>UZ3&amp;Comf!$I$2</f>
        <v>CoStep4StepTimeT12</v>
      </c>
      <c r="VA4" s="31" t="str">
        <f>VA3&amp;Comf!$I$2</f>
        <v>CoStep4DoubleSupportTimeT12</v>
      </c>
      <c r="VB4" s="31" t="str">
        <f>VB3&amp;Comf!$I$2</f>
        <v>CoStep4StanceTimeT12</v>
      </c>
      <c r="VC4" s="31" t="str">
        <f>VC3&amp;Comf!$I$2</f>
        <v>CoStep5ColorT12</v>
      </c>
      <c r="VD4" s="31" t="str">
        <f>VD3&amp;Comf!$I$2</f>
        <v>CoStep5StepLengthT12</v>
      </c>
      <c r="VE4" s="31" t="str">
        <f>VE3&amp;Comf!$I$2</f>
        <v>CoStep5StepTimeT12</v>
      </c>
      <c r="VF4" s="31" t="str">
        <f>VF3&amp;Comf!$I$2</f>
        <v>CoStep5DoubleSupportTimeT12</v>
      </c>
      <c r="VG4" s="31" t="str">
        <f>VG3&amp;Comf!$I$2</f>
        <v>CoStep5StanceTimeT12</v>
      </c>
      <c r="VH4" s="31" t="str">
        <f>VH3&amp;Comf!$I$2</f>
        <v>CoStep6ColorT12</v>
      </c>
      <c r="VI4" s="31" t="str">
        <f>VI3&amp;Comf!$I$2</f>
        <v>CoStep6StepLengthT12</v>
      </c>
      <c r="VJ4" s="31" t="str">
        <f>VJ3&amp;Comf!$I$2</f>
        <v>CoStep6StepTimeT12</v>
      </c>
      <c r="VK4" s="31" t="str">
        <f>VK3&amp;Comf!$I$2</f>
        <v>CoStep6DoubleSupportTimeT12</v>
      </c>
      <c r="VL4" s="31" t="str">
        <f>VL3&amp;Comf!$I$2</f>
        <v>CoStep6StanceTimeT12</v>
      </c>
      <c r="VM4" s="31" t="str">
        <f>VM3&amp;Comf!$I$2</f>
        <v>CoStep7ColorT12</v>
      </c>
      <c r="VN4" s="31" t="str">
        <f>VN3&amp;Comf!$I$2</f>
        <v>CoStep7StepLengthT12</v>
      </c>
      <c r="VO4" s="31" t="str">
        <f>VO3&amp;Comf!$I$2</f>
        <v>CoStep7StepTimeT12</v>
      </c>
      <c r="VP4" s="31" t="str">
        <f>VP3&amp;Comf!$I$2</f>
        <v>CoStep7DoubleSupportTimeT12</v>
      </c>
      <c r="VQ4" s="31" t="str">
        <f>VQ3&amp;Comf!$I$2</f>
        <v>CoStep7StanceTimeT12</v>
      </c>
      <c r="VR4" s="31" t="str">
        <f>VR3&amp;Comf!$I$2</f>
        <v>CoStep8ColorT12</v>
      </c>
      <c r="VS4" s="31" t="str">
        <f>VS3&amp;Comf!$I$2</f>
        <v>CoStep8StepLengthT12</v>
      </c>
      <c r="VT4" s="31" t="str">
        <f>VT3&amp;Comf!$I$2</f>
        <v>CoStep8StepTimeT12</v>
      </c>
      <c r="VU4" s="31" t="str">
        <f>VU3&amp;Comf!$I$2</f>
        <v>CoStep8DoubleSupportTimeT12</v>
      </c>
      <c r="VV4" s="31" t="str">
        <f>VV3&amp;Comf!$I$2</f>
        <v>CoStep8StanceTimeT12</v>
      </c>
      <c r="VW4" s="31" t="str">
        <f>VW3&amp;Comf!$I$2</f>
        <v>CoStep9ColorT12</v>
      </c>
      <c r="VX4" s="31" t="str">
        <f>VX3&amp;Comf!$I$2</f>
        <v>CoStep9StepLengthT12</v>
      </c>
      <c r="VY4" s="31" t="str">
        <f>VY3&amp;Comf!$I$2</f>
        <v>CoStep9StepTimeT12</v>
      </c>
      <c r="VZ4" s="31" t="str">
        <f>VZ3&amp;Comf!$I$2</f>
        <v>CoStep9DoubleSupportTimeT12</v>
      </c>
      <c r="WA4" s="31" t="str">
        <f>WA3&amp;Comf!$I$2</f>
        <v>CoStep9StanceTimeT12</v>
      </c>
      <c r="WB4" s="31" t="str">
        <f>WB3&amp;Comf!$I$2</f>
        <v>CoStep10ColorT12</v>
      </c>
      <c r="WC4" s="31" t="str">
        <f>WC3&amp;Comf!$I$2</f>
        <v>CoStep10StepLengthT12</v>
      </c>
      <c r="WD4" s="31" t="str">
        <f>WD3&amp;Comf!$I$2</f>
        <v>CoStep10StepTimeT12</v>
      </c>
      <c r="WE4" s="31" t="str">
        <f>WE3&amp;Comf!$I$2</f>
        <v>CoStep10DoubleSupportTimeT12</v>
      </c>
      <c r="WF4" s="31" t="str">
        <f>WF3&amp;Comf!$I$2</f>
        <v>CoStep10StanceTimeT12</v>
      </c>
      <c r="WG4" s="31" t="str">
        <f>WG3&amp;Comf!$I$2</f>
        <v>CoStep1ColorT13</v>
      </c>
      <c r="WH4" s="31" t="str">
        <f>WH3&amp;Comf!$I$2</f>
        <v>CoStep1StepLengthT13</v>
      </c>
      <c r="WI4" s="31" t="str">
        <f>WI3&amp;Comf!$I$2</f>
        <v>CoStep1StepTimeT13</v>
      </c>
      <c r="WJ4" s="31" t="str">
        <f>WJ3&amp;Comf!$I$2</f>
        <v>CoStep1DoubleSupportTimeT13</v>
      </c>
      <c r="WK4" s="31" t="str">
        <f>WK3&amp;Comf!$I$2</f>
        <v>CoStep1StanceTimeT13</v>
      </c>
      <c r="WL4" s="31" t="str">
        <f>WL3&amp;Comf!$I$2</f>
        <v>CoStep2ColorT13</v>
      </c>
      <c r="WM4" s="31" t="str">
        <f>WM3&amp;Comf!$I$2</f>
        <v>CoStep2StepLengthT13</v>
      </c>
      <c r="WN4" s="31" t="str">
        <f>WN3&amp;Comf!$I$2</f>
        <v>CoStep2StepTimeT13</v>
      </c>
      <c r="WO4" s="31" t="str">
        <f>WO3&amp;Comf!$I$2</f>
        <v>CoStep2DoubleSupportTimeT13</v>
      </c>
      <c r="WP4" s="31" t="str">
        <f>WP3&amp;Comf!$I$2</f>
        <v>CoStep2StanceTimeT13</v>
      </c>
      <c r="WQ4" s="31" t="str">
        <f>WQ3&amp;Comf!$I$2</f>
        <v>CoStep3ColorT13</v>
      </c>
      <c r="WR4" s="31" t="str">
        <f>WR3&amp;Comf!$I$2</f>
        <v>CoStep3StepLengthT13</v>
      </c>
      <c r="WS4" s="31" t="str">
        <f>WS3&amp;Comf!$I$2</f>
        <v>CoStep3StepTimeT13</v>
      </c>
      <c r="WT4" s="31" t="str">
        <f>WT3&amp;Comf!$I$2</f>
        <v>CoStep3DoubleSupportTimeT13</v>
      </c>
      <c r="WU4" s="31" t="str">
        <f>WU3&amp;Comf!$I$2</f>
        <v>CoStep3StanceTimeT13</v>
      </c>
      <c r="WV4" s="31" t="str">
        <f>WV3&amp;Comf!$I$2</f>
        <v>CoStep4ColorT13</v>
      </c>
      <c r="WW4" s="31" t="str">
        <f>WW3&amp;Comf!$I$2</f>
        <v>CoStep4StepLengthT13</v>
      </c>
      <c r="WX4" s="31" t="str">
        <f>WX3&amp;Comf!$I$2</f>
        <v>CoStep4StepTimeT13</v>
      </c>
      <c r="WY4" s="31" t="str">
        <f>WY3&amp;Comf!$I$2</f>
        <v>CoStep4DoubleSupportTimeT13</v>
      </c>
      <c r="WZ4" s="31" t="str">
        <f>WZ3&amp;Comf!$I$2</f>
        <v>CoStep4StanceTimeT13</v>
      </c>
      <c r="XA4" s="31" t="str">
        <f>XA3&amp;Comf!$I$2</f>
        <v>CoStep5ColorT13</v>
      </c>
      <c r="XB4" s="31" t="str">
        <f>XB3&amp;Comf!$I$2</f>
        <v>CoStep5StepLengthT13</v>
      </c>
      <c r="XC4" s="31" t="str">
        <f>XC3&amp;Comf!$I$2</f>
        <v>CoStep5StepTimeT13</v>
      </c>
      <c r="XD4" s="31" t="str">
        <f>XD3&amp;Comf!$I$2</f>
        <v>CoStep5DoubleSupportTimeT13</v>
      </c>
      <c r="XE4" s="31" t="str">
        <f>XE3&amp;Comf!$I$2</f>
        <v>CoStep5StanceTimeT13</v>
      </c>
      <c r="XF4" s="31" t="str">
        <f>XF3&amp;Comf!$I$2</f>
        <v>CoStep6ColorT13</v>
      </c>
      <c r="XG4" s="31" t="str">
        <f>XG3&amp;Comf!$I$2</f>
        <v>CoStep6StepLengthT13</v>
      </c>
      <c r="XH4" s="31" t="str">
        <f>XH3&amp;Comf!$I$2</f>
        <v>CoStep6StepTimeT13</v>
      </c>
      <c r="XI4" s="31" t="str">
        <f>XI3&amp;Comf!$I$2</f>
        <v>CoStep6DoubleSupportTimeT13</v>
      </c>
      <c r="XJ4" s="31" t="str">
        <f>XJ3&amp;Comf!$I$2</f>
        <v>CoStep6StanceTimeT13</v>
      </c>
      <c r="XK4" s="31" t="str">
        <f>XK3&amp;Comf!$I$2</f>
        <v>CoStep7ColorT13</v>
      </c>
      <c r="XL4" s="31" t="str">
        <f>XL3&amp;Comf!$I$2</f>
        <v>CoStep7StepLengthT13</v>
      </c>
      <c r="XM4" s="31" t="str">
        <f>XM3&amp;Comf!$I$2</f>
        <v>CoStep7StepTimeT13</v>
      </c>
      <c r="XN4" s="31" t="str">
        <f>XN3&amp;Comf!$I$2</f>
        <v>CoStep7DoubleSupportTimeT13</v>
      </c>
      <c r="XO4" s="31" t="str">
        <f>XO3&amp;Comf!$I$2</f>
        <v>CoStep7StanceTimeT13</v>
      </c>
      <c r="XP4" s="31" t="str">
        <f>XP3&amp;Comf!$I$2</f>
        <v>CoStep8ColorT13</v>
      </c>
      <c r="XQ4" s="31" t="str">
        <f>XQ3&amp;Comf!$I$2</f>
        <v>CoStep8StepLengthT13</v>
      </c>
      <c r="XR4" s="31" t="str">
        <f>XR3&amp;Comf!$I$2</f>
        <v>CoStep8StepTimeT13</v>
      </c>
      <c r="XS4" s="31" t="str">
        <f>XS3&amp;Comf!$I$2</f>
        <v>CoStep8DoubleSupportTimeT13</v>
      </c>
      <c r="XT4" s="31" t="str">
        <f>XT3&amp;Comf!$I$2</f>
        <v>CoStep8StanceTimeT13</v>
      </c>
      <c r="XU4" s="31" t="str">
        <f>XU3&amp;Comf!$I$2</f>
        <v>CoStep9ColorT13</v>
      </c>
      <c r="XV4" s="31" t="str">
        <f>XV3&amp;Comf!$I$2</f>
        <v>CoStep9StepLengthT13</v>
      </c>
      <c r="XW4" s="31" t="str">
        <f>XW3&amp;Comf!$I$2</f>
        <v>CoStep9StepTimeT13</v>
      </c>
      <c r="XX4" s="31" t="str">
        <f>XX3&amp;Comf!$I$2</f>
        <v>CoStep9DoubleSupportTimeT13</v>
      </c>
      <c r="XY4" s="31" t="str">
        <f>XY3&amp;Comf!$I$2</f>
        <v>CoStep9StanceTimeT13</v>
      </c>
      <c r="XZ4" s="31" t="str">
        <f>XZ3&amp;Comf!$I$2</f>
        <v>CoStep10ColorT13</v>
      </c>
      <c r="YA4" s="31" t="str">
        <f>YA3&amp;Comf!$I$2</f>
        <v>CoStep10StepLengthT13</v>
      </c>
      <c r="YB4" s="31" t="str">
        <f>YB3&amp;Comf!$I$2</f>
        <v>CoStep10StepTimeT13</v>
      </c>
      <c r="YC4" s="31" t="str">
        <f>YC3&amp;Comf!$I$2</f>
        <v>CoStep10DoubleSupportTimeT13</v>
      </c>
      <c r="YD4" s="31" t="str">
        <f>YD3&amp;Comf!$I$2</f>
        <v>CoStep10StanceTimeT13</v>
      </c>
      <c r="YE4" s="31" t="str">
        <f>YE3&amp;Comf!$I$2</f>
        <v>CoStep1ColorT14</v>
      </c>
      <c r="YF4" s="31" t="str">
        <f>YF3&amp;Comf!$I$2</f>
        <v>CoStep1StepLengthT14</v>
      </c>
      <c r="YG4" s="31" t="str">
        <f>YG3&amp;Comf!$I$2</f>
        <v>CoStep1StepTimeT14</v>
      </c>
      <c r="YH4" s="31" t="str">
        <f>YH3&amp;Comf!$I$2</f>
        <v>CoStep1DoubleSupportTimeT14</v>
      </c>
      <c r="YI4" s="31" t="str">
        <f>YI3&amp;Comf!$I$2</f>
        <v>CoStep1StanceTimeT14</v>
      </c>
      <c r="YJ4" s="31" t="str">
        <f>YJ3&amp;Comf!$I$2</f>
        <v>CoStep2ColorT14</v>
      </c>
      <c r="YK4" s="31" t="str">
        <f>YK3&amp;Comf!$I$2</f>
        <v>CoStep2StepLengthT14</v>
      </c>
      <c r="YL4" s="31" t="str">
        <f>YL3&amp;Comf!$I$2</f>
        <v>CoStep2StepTimeT14</v>
      </c>
      <c r="YM4" s="31" t="str">
        <f>YM3&amp;Comf!$I$2</f>
        <v>CoStep2DoubleSupportTimeT14</v>
      </c>
      <c r="YN4" s="31" t="str">
        <f>YN3&amp;Comf!$I$2</f>
        <v>CoStep2StanceTimeT14</v>
      </c>
      <c r="YO4" s="31" t="str">
        <f>YO3&amp;Comf!$I$2</f>
        <v>CoStep3ColorT14</v>
      </c>
      <c r="YP4" s="31" t="str">
        <f>YP3&amp;Comf!$I$2</f>
        <v>CoStep3StepLengthT14</v>
      </c>
      <c r="YQ4" s="31" t="str">
        <f>YQ3&amp;Comf!$I$2</f>
        <v>CoStep3StepTimeT14</v>
      </c>
      <c r="YR4" s="31" t="str">
        <f>YR3&amp;Comf!$I$2</f>
        <v>CoStep3DoubleSupportTimeT14</v>
      </c>
      <c r="YS4" s="31" t="str">
        <f>YS3&amp;Comf!$I$2</f>
        <v>CoStep3StanceTimeT14</v>
      </c>
      <c r="YT4" s="31" t="str">
        <f>YT3&amp;Comf!$I$2</f>
        <v>CoStep4ColorT14</v>
      </c>
      <c r="YU4" s="31" t="str">
        <f>YU3&amp;Comf!$I$2</f>
        <v>CoStep4StepLengthT14</v>
      </c>
      <c r="YV4" s="31" t="str">
        <f>YV3&amp;Comf!$I$2</f>
        <v>CoStep4StepTimeT14</v>
      </c>
      <c r="YW4" s="31" t="str">
        <f>YW3&amp;Comf!$I$2</f>
        <v>CoStep4DoubleSupportTimeT14</v>
      </c>
      <c r="YX4" s="31" t="str">
        <f>YX3&amp;Comf!$I$2</f>
        <v>CoStep4StanceTimeT14</v>
      </c>
      <c r="YY4" s="31" t="str">
        <f>YY3&amp;Comf!$I$2</f>
        <v>CoStep5ColorT14</v>
      </c>
      <c r="YZ4" s="31" t="str">
        <f>YZ3&amp;Comf!$I$2</f>
        <v>CoStep5StepLengthT14</v>
      </c>
      <c r="ZA4" s="31" t="str">
        <f>ZA3&amp;Comf!$I$2</f>
        <v>CoStep5StepTimeT14</v>
      </c>
      <c r="ZB4" s="31" t="str">
        <f>ZB3&amp;Comf!$I$2</f>
        <v>CoStep5DoubleSupportTimeT14</v>
      </c>
      <c r="ZC4" s="31" t="str">
        <f>ZC3&amp;Comf!$I$2</f>
        <v>CoStep5StanceTimeT14</v>
      </c>
      <c r="ZD4" s="31" t="str">
        <f>ZD3&amp;Comf!$I$2</f>
        <v>CoStep6ColorT14</v>
      </c>
      <c r="ZE4" s="31" t="str">
        <f>ZE3&amp;Comf!$I$2</f>
        <v>CoStep6StepLengthT14</v>
      </c>
      <c r="ZF4" s="31" t="str">
        <f>ZF3&amp;Comf!$I$2</f>
        <v>CoStep6StepTimeT14</v>
      </c>
      <c r="ZG4" s="31" t="str">
        <f>ZG3&amp;Comf!$I$2</f>
        <v>CoStep6DoubleSupportTimeT14</v>
      </c>
      <c r="ZH4" s="31" t="str">
        <f>ZH3&amp;Comf!$I$2</f>
        <v>CoStep6StanceTimeT14</v>
      </c>
      <c r="ZI4" s="31" t="str">
        <f>ZI3&amp;Comf!$I$2</f>
        <v>CoStep7ColorT14</v>
      </c>
      <c r="ZJ4" s="31" t="str">
        <f>ZJ3&amp;Comf!$I$2</f>
        <v>CoStep7StepLengthT14</v>
      </c>
      <c r="ZK4" s="31" t="str">
        <f>ZK3&amp;Comf!$I$2</f>
        <v>CoStep7StepTimeT14</v>
      </c>
      <c r="ZL4" s="31" t="str">
        <f>ZL3&amp;Comf!$I$2</f>
        <v>CoStep7DoubleSupportTimeT14</v>
      </c>
      <c r="ZM4" s="31" t="str">
        <f>ZM3&amp;Comf!$I$2</f>
        <v>CoStep7StanceTimeT14</v>
      </c>
      <c r="ZN4" s="31" t="str">
        <f>ZN3&amp;Comf!$I$2</f>
        <v>CoStep8ColorT14</v>
      </c>
      <c r="ZO4" s="31" t="str">
        <f>ZO3&amp;Comf!$I$2</f>
        <v>CoStep8StepLengthT14</v>
      </c>
      <c r="ZP4" s="31" t="str">
        <f>ZP3&amp;Comf!$I$2</f>
        <v>CoStep8StepTimeT14</v>
      </c>
      <c r="ZQ4" s="31" t="str">
        <f>ZQ3&amp;Comf!$I$2</f>
        <v>CoStep8DoubleSupportTimeT14</v>
      </c>
      <c r="ZR4" s="31" t="str">
        <f>ZR3&amp;Comf!$I$2</f>
        <v>CoStep8StanceTimeT14</v>
      </c>
      <c r="ZS4" s="31" t="str">
        <f>ZS3&amp;Comf!$I$2</f>
        <v>CoStep9ColorT14</v>
      </c>
      <c r="ZT4" s="31" t="str">
        <f>ZT3&amp;Comf!$I$2</f>
        <v>CoStep9StepLengthT14</v>
      </c>
      <c r="ZU4" s="31" t="str">
        <f>ZU3&amp;Comf!$I$2</f>
        <v>CoStep9StepTimeT14</v>
      </c>
      <c r="ZV4" s="31" t="str">
        <f>ZV3&amp;Comf!$I$2</f>
        <v>CoStep9DoubleSupportTimeT14</v>
      </c>
      <c r="ZW4" s="31" t="str">
        <f>ZW3&amp;Comf!$I$2</f>
        <v>CoStep9StanceTimeT14</v>
      </c>
      <c r="ZX4" s="31" t="str">
        <f>ZX3&amp;Comf!$I$2</f>
        <v>CoStep10ColorT14</v>
      </c>
      <c r="ZY4" s="31" t="str">
        <f>ZY3&amp;Comf!$I$2</f>
        <v>CoStep10StepLengthT14</v>
      </c>
      <c r="ZZ4" s="31" t="str">
        <f>ZZ3&amp;Comf!$I$2</f>
        <v>CoStep10StepTimeT14</v>
      </c>
      <c r="AAA4" s="31" t="str">
        <f>AAA3&amp;Comf!$I$2</f>
        <v>CoStep10DoubleSupportTimeT14</v>
      </c>
      <c r="AAB4" s="31" t="str">
        <f>AAB3&amp;Comf!$I$2</f>
        <v>CoStep10StanceTimeT14</v>
      </c>
      <c r="AAC4" s="31" t="str">
        <f>AAC3&amp;Comf!$I$2</f>
        <v>CoStep1ColorT15</v>
      </c>
      <c r="AAD4" s="31" t="str">
        <f>AAD3&amp;Comf!$I$2</f>
        <v>CoStep1StepLengthT15</v>
      </c>
      <c r="AAE4" s="31" t="str">
        <f>AAE3&amp;Comf!$I$2</f>
        <v>CoStep1StepTimeT15</v>
      </c>
      <c r="AAF4" s="31" t="str">
        <f>AAF3&amp;Comf!$I$2</f>
        <v>CoStep1DoubleSupportTimeT15</v>
      </c>
      <c r="AAG4" s="31" t="str">
        <f>AAG3&amp;Comf!$I$2</f>
        <v>CoStep1StanceTimeT15</v>
      </c>
      <c r="AAH4" s="31" t="str">
        <f>AAH3&amp;Comf!$I$2</f>
        <v>CoStep2ColorT15</v>
      </c>
      <c r="AAI4" s="31" t="str">
        <f>AAI3&amp;Comf!$I$2</f>
        <v>CoStep2StepLengthT15</v>
      </c>
      <c r="AAJ4" s="31" t="str">
        <f>AAJ3&amp;Comf!$I$2</f>
        <v>CoStep2StepTimeT15</v>
      </c>
      <c r="AAK4" s="31" t="str">
        <f>AAK3&amp;Comf!$I$2</f>
        <v>CoStep2DoubleSupportTimeT15</v>
      </c>
      <c r="AAL4" s="31" t="str">
        <f>AAL3&amp;Comf!$I$2</f>
        <v>CoStep2StanceTimeT15</v>
      </c>
      <c r="AAM4" s="31" t="str">
        <f>AAM3&amp;Comf!$I$2</f>
        <v>CoStep3ColorT15</v>
      </c>
      <c r="AAN4" s="31" t="str">
        <f>AAN3&amp;Comf!$I$2</f>
        <v>CoStep3StepLengthT15</v>
      </c>
      <c r="AAO4" s="31" t="str">
        <f>AAO3&amp;Comf!$I$2</f>
        <v>CoStep3StepTimeT15</v>
      </c>
      <c r="AAP4" s="31" t="str">
        <f>AAP3&amp;Comf!$I$2</f>
        <v>CoStep3DoubleSupportTimeT15</v>
      </c>
      <c r="AAQ4" s="31" t="str">
        <f>AAQ3&amp;Comf!$I$2</f>
        <v>CoStep3StanceTimeT15</v>
      </c>
      <c r="AAR4" s="31" t="str">
        <f>AAR3&amp;Comf!$I$2</f>
        <v>CoStep4ColorT15</v>
      </c>
      <c r="AAS4" s="31" t="str">
        <f>AAS3&amp;Comf!$I$2</f>
        <v>CoStep4StepLengthT15</v>
      </c>
      <c r="AAT4" s="31" t="str">
        <f>AAT3&amp;Comf!$I$2</f>
        <v>CoStep4StepTimeT15</v>
      </c>
      <c r="AAU4" s="31" t="str">
        <f>AAU3&amp;Comf!$I$2</f>
        <v>CoStep4DoubleSupportTimeT15</v>
      </c>
      <c r="AAV4" s="31" t="str">
        <f>AAV3&amp;Comf!$I$2</f>
        <v>CoStep4StanceTimeT15</v>
      </c>
      <c r="AAW4" s="31" t="str">
        <f>AAW3&amp;Comf!$I$2</f>
        <v>CoStep5ColorT15</v>
      </c>
      <c r="AAX4" s="31" t="str">
        <f>AAX3&amp;Comf!$I$2</f>
        <v>CoStep5StepLengthT15</v>
      </c>
      <c r="AAY4" s="31" t="str">
        <f>AAY3&amp;Comf!$I$2</f>
        <v>CoStep5StepTimeT15</v>
      </c>
      <c r="AAZ4" s="31" t="str">
        <f>AAZ3&amp;Comf!$I$2</f>
        <v>CoStep5DoubleSupportTimeT15</v>
      </c>
      <c r="ABA4" s="31" t="str">
        <f>ABA3&amp;Comf!$I$2</f>
        <v>CoStep5StanceTimeT15</v>
      </c>
      <c r="ABB4" s="31" t="str">
        <f>ABB3&amp;Comf!$I$2</f>
        <v>CoStep6ColorT15</v>
      </c>
      <c r="ABC4" s="31" t="str">
        <f>ABC3&amp;Comf!$I$2</f>
        <v>CoStep6StepLengthT15</v>
      </c>
      <c r="ABD4" s="31" t="str">
        <f>ABD3&amp;Comf!$I$2</f>
        <v>CoStep6StepTimeT15</v>
      </c>
      <c r="ABE4" s="31" t="str">
        <f>ABE3&amp;Comf!$I$2</f>
        <v>CoStep6DoubleSupportTimeT15</v>
      </c>
      <c r="ABF4" s="31" t="str">
        <f>ABF3&amp;Comf!$I$2</f>
        <v>CoStep6StanceTimeT15</v>
      </c>
      <c r="ABG4" s="31" t="str">
        <f>ABG3&amp;Comf!$I$2</f>
        <v>CoStep7ColorT15</v>
      </c>
      <c r="ABH4" s="31" t="str">
        <f>ABH3&amp;Comf!$I$2</f>
        <v>CoStep7StepLengthT15</v>
      </c>
      <c r="ABI4" s="31" t="str">
        <f>ABI3&amp;Comf!$I$2</f>
        <v>CoStep7StepTimeT15</v>
      </c>
      <c r="ABJ4" s="31" t="str">
        <f>ABJ3&amp;Comf!$I$2</f>
        <v>CoStep7DoubleSupportTimeT15</v>
      </c>
      <c r="ABK4" s="31" t="str">
        <f>ABK3&amp;Comf!$I$2</f>
        <v>CoStep7StanceTimeT15</v>
      </c>
      <c r="ABL4" s="31" t="str">
        <f>ABL3&amp;Comf!$I$2</f>
        <v>CoStep8ColorT15</v>
      </c>
      <c r="ABM4" s="31" t="str">
        <f>ABM3&amp;Comf!$I$2</f>
        <v>CoStep8StepLengthT15</v>
      </c>
      <c r="ABN4" s="31" t="str">
        <f>ABN3&amp;Comf!$I$2</f>
        <v>CoStep8StepTimeT15</v>
      </c>
      <c r="ABO4" s="31" t="str">
        <f>ABO3&amp;Comf!$I$2</f>
        <v>CoStep8DoubleSupportTimeT15</v>
      </c>
      <c r="ABP4" s="31" t="str">
        <f>ABP3&amp;Comf!$I$2</f>
        <v>CoStep8StanceTimeT15</v>
      </c>
      <c r="ABQ4" s="31" t="str">
        <f>ABQ3&amp;Comf!$I$2</f>
        <v>CoStep9ColorT15</v>
      </c>
      <c r="ABR4" s="31" t="str">
        <f>ABR3&amp;Comf!$I$2</f>
        <v>CoStep9StepLengthT15</v>
      </c>
      <c r="ABS4" s="31" t="str">
        <f>ABS3&amp;Comf!$I$2</f>
        <v>CoStep9StepTimeT15</v>
      </c>
      <c r="ABT4" s="31" t="str">
        <f>ABT3&amp;Comf!$I$2</f>
        <v>CoStep9DoubleSupportTimeT15</v>
      </c>
      <c r="ABU4" s="31" t="str">
        <f>ABU3&amp;Comf!$I$2</f>
        <v>CoStep9StanceTimeT15</v>
      </c>
      <c r="ABV4" s="31" t="str">
        <f>ABV3&amp;Comf!$I$2</f>
        <v>CoStep10ColorT15</v>
      </c>
      <c r="ABW4" s="31" t="str">
        <f>ABW3&amp;Comf!$I$2</f>
        <v>CoStep10StepLengthT15</v>
      </c>
      <c r="ABX4" s="31" t="str">
        <f>ABX3&amp;Comf!$I$2</f>
        <v>CoStep10StepTimeT15</v>
      </c>
      <c r="ABY4" s="31" t="str">
        <f>ABY3&amp;Comf!$I$2</f>
        <v>CoStep10DoubleSupportTimeT15</v>
      </c>
      <c r="ABZ4" s="31" t="str">
        <f>ABZ3&amp;Comf!$I$2</f>
        <v>CoStep10StanceTimeT15</v>
      </c>
      <c r="ACA4" s="31" t="str">
        <f>ACA3&amp;Comf!$I$2</f>
        <v>CoStep1ColorT16</v>
      </c>
      <c r="ACB4" s="31" t="str">
        <f>ACB3&amp;Comf!$I$2</f>
        <v>CoStep1StepLengthT16</v>
      </c>
      <c r="ACC4" s="31" t="str">
        <f>ACC3&amp;Comf!$I$2</f>
        <v>CoStep1StepTimeT16</v>
      </c>
      <c r="ACD4" s="31" t="str">
        <f>ACD3&amp;Comf!$I$2</f>
        <v>CoStep1DoubleSupportTimeT16</v>
      </c>
      <c r="ACE4" s="31" t="str">
        <f>ACE3&amp;Comf!$I$2</f>
        <v>CoStep1StanceTimeT16</v>
      </c>
      <c r="ACF4" s="31" t="str">
        <f>ACF3&amp;Comf!$I$2</f>
        <v>CoStep2ColorT16</v>
      </c>
      <c r="ACG4" s="31" t="str">
        <f>ACG3&amp;Comf!$I$2</f>
        <v>CoStep2StepLengthT16</v>
      </c>
      <c r="ACH4" s="31" t="str">
        <f>ACH3&amp;Comf!$I$2</f>
        <v>CoStep2StepTimeT16</v>
      </c>
      <c r="ACI4" s="31" t="str">
        <f>ACI3&amp;Comf!$I$2</f>
        <v>CoStep2DoubleSupportTimeT16</v>
      </c>
      <c r="ACJ4" s="31" t="str">
        <f>ACJ3&amp;Comf!$I$2</f>
        <v>CoStep2StanceTimeT16</v>
      </c>
      <c r="ACK4" s="31" t="str">
        <f>ACK3&amp;Comf!$I$2</f>
        <v>CoStep3ColorT16</v>
      </c>
      <c r="ACL4" s="31" t="str">
        <f>ACL3&amp;Comf!$I$2</f>
        <v>CoStep3StepLengthT16</v>
      </c>
      <c r="ACM4" s="31" t="str">
        <f>ACM3&amp;Comf!$I$2</f>
        <v>CoStep3StepTimeT16</v>
      </c>
      <c r="ACN4" s="31" t="str">
        <f>ACN3&amp;Comf!$I$2</f>
        <v>CoStep3DoubleSupportTimeT16</v>
      </c>
      <c r="ACO4" s="31" t="str">
        <f>ACO3&amp;Comf!$I$2</f>
        <v>CoStep3StanceTimeT16</v>
      </c>
      <c r="ACP4" s="31" t="str">
        <f>ACP3&amp;Comf!$I$2</f>
        <v>CoStep4ColorT16</v>
      </c>
      <c r="ACQ4" s="31" t="str">
        <f>ACQ3&amp;Comf!$I$2</f>
        <v>CoStep4StepLengthT16</v>
      </c>
      <c r="ACR4" s="31" t="str">
        <f>ACR3&amp;Comf!$I$2</f>
        <v>CoStep4StepTimeT16</v>
      </c>
      <c r="ACS4" s="31" t="str">
        <f>ACS3&amp;Comf!$I$2</f>
        <v>CoStep4DoubleSupportTimeT16</v>
      </c>
      <c r="ACT4" s="31" t="str">
        <f>ACT3&amp;Comf!$I$2</f>
        <v>CoStep4StanceTimeT16</v>
      </c>
      <c r="ACU4" s="31" t="str">
        <f>ACU3&amp;Comf!$I$2</f>
        <v>CoStep5ColorT16</v>
      </c>
      <c r="ACV4" s="31" t="str">
        <f>ACV3&amp;Comf!$I$2</f>
        <v>CoStep5StepLengthT16</v>
      </c>
      <c r="ACW4" s="31" t="str">
        <f>ACW3&amp;Comf!$I$2</f>
        <v>CoStep5StepTimeT16</v>
      </c>
      <c r="ACX4" s="31" t="str">
        <f>ACX3&amp;Comf!$I$2</f>
        <v>CoStep5DoubleSupportTimeT16</v>
      </c>
      <c r="ACY4" s="31" t="str">
        <f>ACY3&amp;Comf!$I$2</f>
        <v>CoStep5StanceTimeT16</v>
      </c>
      <c r="ACZ4" s="31" t="str">
        <f>ACZ3&amp;Comf!$I$2</f>
        <v>CoStep6ColorT16</v>
      </c>
      <c r="ADA4" s="31" t="str">
        <f>ADA3&amp;Comf!$I$2</f>
        <v>CoStep6StepLengthT16</v>
      </c>
      <c r="ADB4" s="31" t="str">
        <f>ADB3&amp;Comf!$I$2</f>
        <v>CoStep6StepTimeT16</v>
      </c>
      <c r="ADC4" s="31" t="str">
        <f>ADC3&amp;Comf!$I$2</f>
        <v>CoStep6DoubleSupportTimeT16</v>
      </c>
      <c r="ADD4" s="31" t="str">
        <f>ADD3&amp;Comf!$I$2</f>
        <v>CoStep6StanceTimeT16</v>
      </c>
      <c r="ADE4" s="31" t="str">
        <f>ADE3&amp;Comf!$I$2</f>
        <v>CoStep7ColorT16</v>
      </c>
      <c r="ADF4" s="31" t="str">
        <f>ADF3&amp;Comf!$I$2</f>
        <v>CoStep7StepLengthT16</v>
      </c>
      <c r="ADG4" s="31" t="str">
        <f>ADG3&amp;Comf!$I$2</f>
        <v>CoStep7StepTimeT16</v>
      </c>
      <c r="ADH4" s="31" t="str">
        <f>ADH3&amp;Comf!$I$2</f>
        <v>CoStep7DoubleSupportTimeT16</v>
      </c>
      <c r="ADI4" s="31" t="str">
        <f>ADI3&amp;Comf!$I$2</f>
        <v>CoStep7StanceTimeT16</v>
      </c>
      <c r="ADJ4" s="31" t="str">
        <f>ADJ3&amp;Comf!$I$2</f>
        <v>CoStep8ColorT16</v>
      </c>
      <c r="ADK4" s="31" t="str">
        <f>ADK3&amp;Comf!$I$2</f>
        <v>CoStep8StepLengthT16</v>
      </c>
      <c r="ADL4" s="31" t="str">
        <f>ADL3&amp;Comf!$I$2</f>
        <v>CoStep8StepTimeT16</v>
      </c>
      <c r="ADM4" s="31" t="str">
        <f>ADM3&amp;Comf!$I$2</f>
        <v>CoStep8DoubleSupportTimeT16</v>
      </c>
      <c r="ADN4" s="31" t="str">
        <f>ADN3&amp;Comf!$I$2</f>
        <v>CoStep8StanceTimeT16</v>
      </c>
      <c r="ADO4" s="31" t="str">
        <f>ADO3&amp;Comf!$I$2</f>
        <v>CoStep9ColorT16</v>
      </c>
      <c r="ADP4" s="31" t="str">
        <f>ADP3&amp;Comf!$I$2</f>
        <v>CoStep9StepLengthT16</v>
      </c>
      <c r="ADQ4" s="31" t="str">
        <f>ADQ3&amp;Comf!$I$2</f>
        <v>CoStep9StepTimeT16</v>
      </c>
      <c r="ADR4" s="31" t="str">
        <f>ADR3&amp;Comf!$I$2</f>
        <v>CoStep9DoubleSupportTimeT16</v>
      </c>
      <c r="ADS4" s="31" t="str">
        <f>ADS3&amp;Comf!$I$2</f>
        <v>CoStep9StanceTimeT16</v>
      </c>
      <c r="ADT4" s="31" t="str">
        <f>ADT3&amp;Comf!$I$2</f>
        <v>CoStep10ColorT16</v>
      </c>
      <c r="ADU4" s="31" t="str">
        <f>ADU3&amp;Comf!$I$2</f>
        <v>CoStep10StepLengthT16</v>
      </c>
      <c r="ADV4" s="31" t="str">
        <f>ADV3&amp;Comf!$I$2</f>
        <v>CoStep10StepTimeT16</v>
      </c>
      <c r="ADW4" s="31" t="str">
        <f>ADW3&amp;Comf!$I$2</f>
        <v>CoStep10DoubleSupportTimeT16</v>
      </c>
      <c r="ADX4" s="31" t="str">
        <f>ADX3&amp;Comf!$I$2</f>
        <v>CoStep10StanceTimeT16</v>
      </c>
      <c r="ADY4" s="31" t="str">
        <f>ADY3&amp;Comf!$I$2</f>
        <v>CoStep1ColorT17</v>
      </c>
      <c r="ADZ4" s="31" t="str">
        <f>ADZ3&amp;Comf!$I$2</f>
        <v>CoStep1StepLengthT17</v>
      </c>
      <c r="AEA4" s="31" t="str">
        <f>AEA3&amp;Comf!$I$2</f>
        <v>CoStep1StepTimeT17</v>
      </c>
      <c r="AEB4" s="31" t="str">
        <f>AEB3&amp;Comf!$I$2</f>
        <v>CoStep1DoubleSupportTimeT17</v>
      </c>
      <c r="AEC4" s="31" t="str">
        <f>AEC3&amp;Comf!$I$2</f>
        <v>CoStep1StanceTimeT17</v>
      </c>
      <c r="AED4" s="31" t="str">
        <f>AED3&amp;Comf!$I$2</f>
        <v>CoStep2ColorT17</v>
      </c>
      <c r="AEE4" s="31" t="str">
        <f>AEE3&amp;Comf!$I$2</f>
        <v>CoStep2StepLengthT17</v>
      </c>
      <c r="AEF4" s="31" t="str">
        <f>AEF3&amp;Comf!$I$2</f>
        <v>CoStep2StepTimeT17</v>
      </c>
      <c r="AEG4" s="31" t="str">
        <f>AEG3&amp;Comf!$I$2</f>
        <v>CoStep2DoubleSupportTimeT17</v>
      </c>
      <c r="AEH4" s="31" t="str">
        <f>AEH3&amp;Comf!$I$2</f>
        <v>CoStep2StanceTimeT17</v>
      </c>
      <c r="AEI4" s="31" t="str">
        <f>AEI3&amp;Comf!$I$2</f>
        <v>CoStep3ColorT17</v>
      </c>
      <c r="AEJ4" s="31" t="str">
        <f>AEJ3&amp;Comf!$I$2</f>
        <v>CoStep3StepLengthT17</v>
      </c>
      <c r="AEK4" s="31" t="str">
        <f>AEK3&amp;Comf!$I$2</f>
        <v>CoStep3StepTimeT17</v>
      </c>
      <c r="AEL4" s="31" t="str">
        <f>AEL3&amp;Comf!$I$2</f>
        <v>CoStep3DoubleSupportTimeT17</v>
      </c>
      <c r="AEM4" s="31" t="str">
        <f>AEM3&amp;Comf!$I$2</f>
        <v>CoStep3StanceTimeT17</v>
      </c>
      <c r="AEN4" s="31" t="str">
        <f>AEN3&amp;Comf!$I$2</f>
        <v>CoStep4ColorT17</v>
      </c>
      <c r="AEO4" s="31" t="str">
        <f>AEO3&amp;Comf!$I$2</f>
        <v>CoStep4StepLengthT17</v>
      </c>
      <c r="AEP4" s="31" t="str">
        <f>AEP3&amp;Comf!$I$2</f>
        <v>CoStep4StepTimeT17</v>
      </c>
      <c r="AEQ4" s="31" t="str">
        <f>AEQ3&amp;Comf!$I$2</f>
        <v>CoStep4DoubleSupportTimeT17</v>
      </c>
      <c r="AER4" s="31" t="str">
        <f>AER3&amp;Comf!$I$2</f>
        <v>CoStep4StanceTimeT17</v>
      </c>
      <c r="AES4" s="31" t="str">
        <f>AES3&amp;Comf!$I$2</f>
        <v>CoStep5ColorT17</v>
      </c>
      <c r="AET4" s="31" t="str">
        <f>AET3&amp;Comf!$I$2</f>
        <v>CoStep5StepLengthT17</v>
      </c>
      <c r="AEU4" s="31" t="str">
        <f>AEU3&amp;Comf!$I$2</f>
        <v>CoStep5StepTimeT17</v>
      </c>
      <c r="AEV4" s="31" t="str">
        <f>AEV3&amp;Comf!$I$2</f>
        <v>CoStep5DoubleSupportTimeT17</v>
      </c>
      <c r="AEW4" s="31" t="str">
        <f>AEW3&amp;Comf!$I$2</f>
        <v>CoStep5StanceTimeT17</v>
      </c>
      <c r="AEX4" s="31" t="str">
        <f>AEX3&amp;Comf!$I$2</f>
        <v>CoStep6ColorT17</v>
      </c>
      <c r="AEY4" s="31" t="str">
        <f>AEY3&amp;Comf!$I$2</f>
        <v>CoStep6StepLengthT17</v>
      </c>
      <c r="AEZ4" s="31" t="str">
        <f>AEZ3&amp;Comf!$I$2</f>
        <v>CoStep6StepTimeT17</v>
      </c>
      <c r="AFA4" s="31" t="str">
        <f>AFA3&amp;Comf!$I$2</f>
        <v>CoStep6DoubleSupportTimeT17</v>
      </c>
      <c r="AFB4" s="31" t="str">
        <f>AFB3&amp;Comf!$I$2</f>
        <v>CoStep6StanceTimeT17</v>
      </c>
      <c r="AFC4" s="31" t="str">
        <f>AFC3&amp;Comf!$I$2</f>
        <v>CoStep7ColorT17</v>
      </c>
      <c r="AFD4" s="31" t="str">
        <f>AFD3&amp;Comf!$I$2</f>
        <v>CoStep7StepLengthT17</v>
      </c>
      <c r="AFE4" s="31" t="str">
        <f>AFE3&amp;Comf!$I$2</f>
        <v>CoStep7StepTimeT17</v>
      </c>
      <c r="AFF4" s="31" t="str">
        <f>AFF3&amp;Comf!$I$2</f>
        <v>CoStep7DoubleSupportTimeT17</v>
      </c>
      <c r="AFG4" s="31" t="str">
        <f>AFG3&amp;Comf!$I$2</f>
        <v>CoStep7StanceTimeT17</v>
      </c>
      <c r="AFH4" s="31" t="str">
        <f>AFH3&amp;Comf!$I$2</f>
        <v>CoStep8ColorT17</v>
      </c>
      <c r="AFI4" s="31" t="str">
        <f>AFI3&amp;Comf!$I$2</f>
        <v>CoStep8StepLengthT17</v>
      </c>
      <c r="AFJ4" s="31" t="str">
        <f>AFJ3&amp;Comf!$I$2</f>
        <v>CoStep8StepTimeT17</v>
      </c>
      <c r="AFK4" s="31" t="str">
        <f>AFK3&amp;Comf!$I$2</f>
        <v>CoStep8DoubleSupportTimeT17</v>
      </c>
      <c r="AFL4" s="31" t="str">
        <f>AFL3&amp;Comf!$I$2</f>
        <v>CoStep8StanceTimeT17</v>
      </c>
      <c r="AFM4" s="31" t="str">
        <f>AFM3&amp;Comf!$I$2</f>
        <v>CoStep9ColorT17</v>
      </c>
      <c r="AFN4" s="31" t="str">
        <f>AFN3&amp;Comf!$I$2</f>
        <v>CoStep9StepLengthT17</v>
      </c>
      <c r="AFO4" s="31" t="str">
        <f>AFO3&amp;Comf!$I$2</f>
        <v>CoStep9StepTimeT17</v>
      </c>
      <c r="AFP4" s="31" t="str">
        <f>AFP3&amp;Comf!$I$2</f>
        <v>CoStep9DoubleSupportTimeT17</v>
      </c>
      <c r="AFQ4" s="31" t="str">
        <f>AFQ3&amp;Comf!$I$2</f>
        <v>CoStep9StanceTimeT17</v>
      </c>
      <c r="AFR4" s="31" t="str">
        <f>AFR3&amp;Comf!$I$2</f>
        <v>CoStep10ColorT17</v>
      </c>
      <c r="AFS4" s="31" t="str">
        <f>AFS3&amp;Comf!$I$2</f>
        <v>CoStep10StepLengthT17</v>
      </c>
      <c r="AFT4" s="31" t="str">
        <f>AFT3&amp;Comf!$I$2</f>
        <v>CoStep10StepTimeT17</v>
      </c>
      <c r="AFU4" s="31" t="str">
        <f>AFU3&amp;Comf!$I$2</f>
        <v>CoStep10DoubleSupportTimeT17</v>
      </c>
      <c r="AFV4" s="31" t="str">
        <f>AFV3&amp;Comf!$I$2</f>
        <v>CoStep10StanceTimeT17</v>
      </c>
      <c r="AFW4" s="31" t="str">
        <f>AFW3&amp;Comf!$I$2</f>
        <v>CoStep1ColorT18</v>
      </c>
      <c r="AFX4" s="31" t="str">
        <f>AFX3&amp;Comf!$I$2</f>
        <v>CoStep1StepLengthT18</v>
      </c>
      <c r="AFY4" s="31" t="str">
        <f>AFY3&amp;Comf!$I$2</f>
        <v>CoStep1StepTimeT18</v>
      </c>
      <c r="AFZ4" s="31" t="str">
        <f>AFZ3&amp;Comf!$I$2</f>
        <v>CoStep1DoubleSupportTimeT18</v>
      </c>
      <c r="AGA4" s="31" t="str">
        <f>AGA3&amp;Comf!$I$2</f>
        <v>CoStep1StanceTimeT18</v>
      </c>
      <c r="AGB4" s="31" t="str">
        <f>AGB3&amp;Comf!$I$2</f>
        <v>CoStep2ColorT18</v>
      </c>
      <c r="AGC4" s="31" t="str">
        <f>AGC3&amp;Comf!$I$2</f>
        <v>CoStep2StepLengthT18</v>
      </c>
      <c r="AGD4" s="31" t="str">
        <f>AGD3&amp;Comf!$I$2</f>
        <v>CoStep2StepTimeT18</v>
      </c>
      <c r="AGE4" s="31" t="str">
        <f>AGE3&amp;Comf!$I$2</f>
        <v>CoStep2DoubleSupportTimeT18</v>
      </c>
      <c r="AGF4" s="31" t="str">
        <f>AGF3&amp;Comf!$I$2</f>
        <v>CoStep2StanceTimeT18</v>
      </c>
      <c r="AGG4" s="31" t="str">
        <f>AGG3&amp;Comf!$I$2</f>
        <v>CoStep3ColorT18</v>
      </c>
      <c r="AGH4" s="31" t="str">
        <f>AGH3&amp;Comf!$I$2</f>
        <v>CoStep3StepLengthT18</v>
      </c>
      <c r="AGI4" s="31" t="str">
        <f>AGI3&amp;Comf!$I$2</f>
        <v>CoStep3StepTimeT18</v>
      </c>
      <c r="AGJ4" s="31" t="str">
        <f>AGJ3&amp;Comf!$I$2</f>
        <v>CoStep3DoubleSupportTimeT18</v>
      </c>
      <c r="AGK4" s="31" t="str">
        <f>AGK3&amp;Comf!$I$2</f>
        <v>CoStep3StanceTimeT18</v>
      </c>
      <c r="AGL4" s="31" t="str">
        <f>AGL3&amp;Comf!$I$2</f>
        <v>CoStep4ColorT18</v>
      </c>
      <c r="AGM4" s="31" t="str">
        <f>AGM3&amp;Comf!$I$2</f>
        <v>CoStep4StepLengthT18</v>
      </c>
      <c r="AGN4" s="31" t="str">
        <f>AGN3&amp;Comf!$I$2</f>
        <v>CoStep4StepTimeT18</v>
      </c>
      <c r="AGO4" s="31" t="str">
        <f>AGO3&amp;Comf!$I$2</f>
        <v>CoStep4DoubleSupportTimeT18</v>
      </c>
      <c r="AGP4" s="31" t="str">
        <f>AGP3&amp;Comf!$I$2</f>
        <v>CoStep4StanceTimeT18</v>
      </c>
      <c r="AGQ4" s="31" t="str">
        <f>AGQ3&amp;Comf!$I$2</f>
        <v>CoStep5ColorT18</v>
      </c>
      <c r="AGR4" s="31" t="str">
        <f>AGR3&amp;Comf!$I$2</f>
        <v>CoStep5StepLengthT18</v>
      </c>
      <c r="AGS4" s="31" t="str">
        <f>AGS3&amp;Comf!$I$2</f>
        <v>CoStep5StepTimeT18</v>
      </c>
      <c r="AGT4" s="31" t="str">
        <f>AGT3&amp;Comf!$I$2</f>
        <v>CoStep5DoubleSupportTimeT18</v>
      </c>
      <c r="AGU4" s="31" t="str">
        <f>AGU3&amp;Comf!$I$2</f>
        <v>CoStep5StanceTimeT18</v>
      </c>
      <c r="AGV4" s="31" t="str">
        <f>AGV3&amp;Comf!$I$2</f>
        <v>CoStep6ColorT18</v>
      </c>
      <c r="AGW4" s="31" t="str">
        <f>AGW3&amp;Comf!$I$2</f>
        <v>CoStep6StepLengthT18</v>
      </c>
      <c r="AGX4" s="31" t="str">
        <f>AGX3&amp;Comf!$I$2</f>
        <v>CoStep6StepTimeT18</v>
      </c>
      <c r="AGY4" s="31" t="str">
        <f>AGY3&amp;Comf!$I$2</f>
        <v>CoStep6DoubleSupportTimeT18</v>
      </c>
      <c r="AGZ4" s="31" t="str">
        <f>AGZ3&amp;Comf!$I$2</f>
        <v>CoStep6StanceTimeT18</v>
      </c>
      <c r="AHA4" s="31" t="str">
        <f>AHA3&amp;Comf!$I$2</f>
        <v>CoStep7ColorT18</v>
      </c>
      <c r="AHB4" s="31" t="str">
        <f>AHB3&amp;Comf!$I$2</f>
        <v>CoStep7StepLengthT18</v>
      </c>
      <c r="AHC4" s="31" t="str">
        <f>AHC3&amp;Comf!$I$2</f>
        <v>CoStep7StepTimeT18</v>
      </c>
      <c r="AHD4" s="31" t="str">
        <f>AHD3&amp;Comf!$I$2</f>
        <v>CoStep7DoubleSupportTimeT18</v>
      </c>
      <c r="AHE4" s="31" t="str">
        <f>AHE3&amp;Comf!$I$2</f>
        <v>CoStep7StanceTimeT18</v>
      </c>
      <c r="AHF4" s="31" t="str">
        <f>AHF3&amp;Comf!$I$2</f>
        <v>CoStep8ColorT18</v>
      </c>
      <c r="AHG4" s="31" t="str">
        <f>AHG3&amp;Comf!$I$2</f>
        <v>CoStep8StepLengthT18</v>
      </c>
      <c r="AHH4" s="31" t="str">
        <f>AHH3&amp;Comf!$I$2</f>
        <v>CoStep8StepTimeT18</v>
      </c>
      <c r="AHI4" s="31" t="str">
        <f>AHI3&amp;Comf!$I$2</f>
        <v>CoStep8DoubleSupportTimeT18</v>
      </c>
      <c r="AHJ4" s="31" t="str">
        <f>AHJ3&amp;Comf!$I$2</f>
        <v>CoStep8StanceTimeT18</v>
      </c>
      <c r="AHK4" s="31" t="str">
        <f>AHK3&amp;Comf!$I$2</f>
        <v>CoStep9ColorT18</v>
      </c>
      <c r="AHL4" s="31" t="str">
        <f>AHL3&amp;Comf!$I$2</f>
        <v>CoStep9StepLengthT18</v>
      </c>
      <c r="AHM4" s="31" t="str">
        <f>AHM3&amp;Comf!$I$2</f>
        <v>CoStep9StepTimeT18</v>
      </c>
      <c r="AHN4" s="31" t="str">
        <f>AHN3&amp;Comf!$I$2</f>
        <v>CoStep9DoubleSupportTimeT18</v>
      </c>
      <c r="AHO4" s="31" t="str">
        <f>AHO3&amp;Comf!$I$2</f>
        <v>CoStep9StanceTimeT18</v>
      </c>
      <c r="AHP4" s="31" t="str">
        <f>AHP3&amp;Comf!$I$2</f>
        <v>CoStep10ColorT18</v>
      </c>
      <c r="AHQ4" s="31" t="str">
        <f>AHQ3&amp;Comf!$I$2</f>
        <v>CoStep10StepLengthT18</v>
      </c>
      <c r="AHR4" s="31" t="str">
        <f>AHR3&amp;Comf!$I$2</f>
        <v>CoStep10StepTimeT18</v>
      </c>
      <c r="AHS4" s="31" t="str">
        <f>AHS3&amp;Comf!$I$2</f>
        <v>CoStep10DoubleSupportTimeT18</v>
      </c>
      <c r="AHT4" s="31" t="str">
        <f>AHT3&amp;Comf!$I$2</f>
        <v>CoStep10StanceTimeT18</v>
      </c>
      <c r="AHU4" s="31" t="str">
        <f>AHU3&amp;Comf!$I$2</f>
        <v>CoStep1ColorT19</v>
      </c>
      <c r="AHV4" s="31" t="str">
        <f>AHV3&amp;Comf!$I$2</f>
        <v>CoStep1StepLengthT19</v>
      </c>
      <c r="AHW4" s="31" t="str">
        <f>AHW3&amp;Comf!$I$2</f>
        <v>CoStep1StepTimeT19</v>
      </c>
      <c r="AHX4" s="31" t="str">
        <f>AHX3&amp;Comf!$I$2</f>
        <v>CoStep1DoubleSupportTimeT19</v>
      </c>
      <c r="AHY4" s="31" t="str">
        <f>AHY3&amp;Comf!$I$2</f>
        <v>CoStep1StanceTimeT19</v>
      </c>
      <c r="AHZ4" s="31" t="str">
        <f>AHZ3&amp;Comf!$I$2</f>
        <v>CoStep2ColorT19</v>
      </c>
      <c r="AIA4" s="31" t="str">
        <f>AIA3&amp;Comf!$I$2</f>
        <v>CoStep2StepLengthT19</v>
      </c>
      <c r="AIB4" s="31" t="str">
        <f>AIB3&amp;Comf!$I$2</f>
        <v>CoStep2StepTimeT19</v>
      </c>
      <c r="AIC4" s="31" t="str">
        <f>AIC3&amp;Comf!$I$2</f>
        <v>CoStep2DoubleSupportTimeT19</v>
      </c>
      <c r="AID4" s="31" t="str">
        <f>AID3&amp;Comf!$I$2</f>
        <v>CoStep2StanceTimeT19</v>
      </c>
      <c r="AIE4" s="31" t="str">
        <f>AIE3&amp;Comf!$I$2</f>
        <v>CoStep3ColorT19</v>
      </c>
      <c r="AIF4" s="31" t="str">
        <f>AIF3&amp;Comf!$I$2</f>
        <v>CoStep3StepLengthT19</v>
      </c>
      <c r="AIG4" s="31" t="str">
        <f>AIG3&amp;Comf!$I$2</f>
        <v>CoStep3StepTimeT19</v>
      </c>
      <c r="AIH4" s="31" t="str">
        <f>AIH3&amp;Comf!$I$2</f>
        <v>CoStep3DoubleSupportTimeT19</v>
      </c>
      <c r="AII4" s="31" t="str">
        <f>AII3&amp;Comf!$I$2</f>
        <v>CoStep3StanceTimeT19</v>
      </c>
      <c r="AIJ4" s="31" t="str">
        <f>AIJ3&amp;Comf!$I$2</f>
        <v>CoStep4ColorT19</v>
      </c>
      <c r="AIK4" s="31" t="str">
        <f>AIK3&amp;Comf!$I$2</f>
        <v>CoStep4StepLengthT19</v>
      </c>
      <c r="AIL4" s="31" t="str">
        <f>AIL3&amp;Comf!$I$2</f>
        <v>CoStep4StepTimeT19</v>
      </c>
      <c r="AIM4" s="31" t="str">
        <f>AIM3&amp;Comf!$I$2</f>
        <v>CoStep4DoubleSupportTimeT19</v>
      </c>
      <c r="AIN4" s="31" t="str">
        <f>AIN3&amp;Comf!$I$2</f>
        <v>CoStep4StanceTimeT19</v>
      </c>
      <c r="AIO4" s="31" t="str">
        <f>AIO3&amp;Comf!$I$2</f>
        <v>CoStep5ColorT19</v>
      </c>
      <c r="AIP4" s="31" t="str">
        <f>AIP3&amp;Comf!$I$2</f>
        <v>CoStep5StepLengthT19</v>
      </c>
      <c r="AIQ4" s="31" t="str">
        <f>AIQ3&amp;Comf!$I$2</f>
        <v>CoStep5StepTimeT19</v>
      </c>
      <c r="AIR4" s="31" t="str">
        <f>AIR3&amp;Comf!$I$2</f>
        <v>CoStep5DoubleSupportTimeT19</v>
      </c>
      <c r="AIS4" s="31" t="str">
        <f>AIS3&amp;Comf!$I$2</f>
        <v>CoStep5StanceTimeT19</v>
      </c>
      <c r="AIT4" s="31" t="str">
        <f>AIT3&amp;Comf!$I$2</f>
        <v>CoStep6ColorT19</v>
      </c>
      <c r="AIU4" s="31" t="str">
        <f>AIU3&amp;Comf!$I$2</f>
        <v>CoStep6StepLengthT19</v>
      </c>
      <c r="AIV4" s="31" t="str">
        <f>AIV3&amp;Comf!$I$2</f>
        <v>CoStep6StepTimeT19</v>
      </c>
      <c r="AIW4" s="31" t="str">
        <f>AIW3&amp;Comf!$I$2</f>
        <v>CoStep6DoubleSupportTimeT19</v>
      </c>
      <c r="AIX4" s="31" t="str">
        <f>AIX3&amp;Comf!$I$2</f>
        <v>CoStep6StanceTimeT19</v>
      </c>
      <c r="AIY4" s="31" t="str">
        <f>AIY3&amp;Comf!$I$2</f>
        <v>CoStep7ColorT19</v>
      </c>
      <c r="AIZ4" s="31" t="str">
        <f>AIZ3&amp;Comf!$I$2</f>
        <v>CoStep7StepLengthT19</v>
      </c>
      <c r="AJA4" s="31" t="str">
        <f>AJA3&amp;Comf!$I$2</f>
        <v>CoStep7StepTimeT19</v>
      </c>
      <c r="AJB4" s="31" t="str">
        <f>AJB3&amp;Comf!$I$2</f>
        <v>CoStep7DoubleSupportTimeT19</v>
      </c>
      <c r="AJC4" s="31" t="str">
        <f>AJC3&amp;Comf!$I$2</f>
        <v>CoStep7StanceTimeT19</v>
      </c>
      <c r="AJD4" s="31" t="str">
        <f>AJD3&amp;Comf!$I$2</f>
        <v>CoStep8ColorT19</v>
      </c>
      <c r="AJE4" s="31" t="str">
        <f>AJE3&amp;Comf!$I$2</f>
        <v>CoStep8StepLengthT19</v>
      </c>
      <c r="AJF4" s="31" t="str">
        <f>AJF3&amp;Comf!$I$2</f>
        <v>CoStep8StepTimeT19</v>
      </c>
      <c r="AJG4" s="31" t="str">
        <f>AJG3&amp;Comf!$I$2</f>
        <v>CoStep8DoubleSupportTimeT19</v>
      </c>
      <c r="AJH4" s="31" t="str">
        <f>AJH3&amp;Comf!$I$2</f>
        <v>CoStep8StanceTimeT19</v>
      </c>
      <c r="AJI4" s="31" t="str">
        <f>AJI3&amp;Comf!$I$2</f>
        <v>CoStep9ColorT19</v>
      </c>
      <c r="AJJ4" s="31" t="str">
        <f>AJJ3&amp;Comf!$I$2</f>
        <v>CoStep9StepLengthT19</v>
      </c>
      <c r="AJK4" s="31" t="str">
        <f>AJK3&amp;Comf!$I$2</f>
        <v>CoStep9StepTimeT19</v>
      </c>
      <c r="AJL4" s="31" t="str">
        <f>AJL3&amp;Comf!$I$2</f>
        <v>CoStep9DoubleSupportTimeT19</v>
      </c>
      <c r="AJM4" s="31" t="str">
        <f>AJM3&amp;Comf!$I$2</f>
        <v>CoStep9StanceTimeT19</v>
      </c>
      <c r="AJN4" s="31" t="str">
        <f>AJN3&amp;Comf!$I$2</f>
        <v>CoStep10ColorT19</v>
      </c>
      <c r="AJO4" s="31" t="str">
        <f>AJO3&amp;Comf!$I$2</f>
        <v>CoStep10StepLengthT19</v>
      </c>
      <c r="AJP4" s="31" t="str">
        <f>AJP3&amp;Comf!$I$2</f>
        <v>CoStep10StepTimeT19</v>
      </c>
      <c r="AJQ4" s="31" t="str">
        <f>AJQ3&amp;Comf!$I$2</f>
        <v>CoStep10DoubleSupportTimeT19</v>
      </c>
      <c r="AJR4" s="31" t="str">
        <f>AJR3&amp;Comf!$I$2</f>
        <v>CoStep10StanceTimeT19</v>
      </c>
      <c r="AJS4" s="31" t="str">
        <f>AJS3&amp;Comf!$I$2</f>
        <v>CoStep1ColorT20</v>
      </c>
      <c r="AJT4" s="31" t="str">
        <f>AJT3&amp;Comf!$I$2</f>
        <v>CoStep1StepLengthT20</v>
      </c>
      <c r="AJU4" s="31" t="str">
        <f>AJU3&amp;Comf!$I$2</f>
        <v>CoStep1StepTimeT20</v>
      </c>
      <c r="AJV4" s="31" t="str">
        <f>AJV3&amp;Comf!$I$2</f>
        <v>CoStep1DoubleSupportTimeT20</v>
      </c>
      <c r="AJW4" s="31" t="str">
        <f>AJW3&amp;Comf!$I$2</f>
        <v>CoStep1StanceTimeT20</v>
      </c>
      <c r="AJX4" s="31" t="str">
        <f>AJX3&amp;Comf!$I$2</f>
        <v>CoStep2ColorT20</v>
      </c>
      <c r="AJY4" s="31" t="str">
        <f>AJY3&amp;Comf!$I$2</f>
        <v>CoStep2StepLengthT20</v>
      </c>
      <c r="AJZ4" s="31" t="str">
        <f>AJZ3&amp;Comf!$I$2</f>
        <v>CoStep2StepTimeT20</v>
      </c>
      <c r="AKA4" s="31" t="str">
        <f>AKA3&amp;Comf!$I$2</f>
        <v>CoStep2DoubleSupportTimeT20</v>
      </c>
      <c r="AKB4" s="31" t="str">
        <f>AKB3&amp;Comf!$I$2</f>
        <v>CoStep2StanceTimeT20</v>
      </c>
      <c r="AKC4" s="31" t="str">
        <f>AKC3&amp;Comf!$I$2</f>
        <v>CoStep3ColorT20</v>
      </c>
      <c r="AKD4" s="31" t="str">
        <f>AKD3&amp;Comf!$I$2</f>
        <v>CoStep3StepLengthT20</v>
      </c>
      <c r="AKE4" s="31" t="str">
        <f>AKE3&amp;Comf!$I$2</f>
        <v>CoStep3StepTimeT20</v>
      </c>
      <c r="AKF4" s="31" t="str">
        <f>AKF3&amp;Comf!$I$2</f>
        <v>CoStep3DoubleSupportTimeT20</v>
      </c>
      <c r="AKG4" s="31" t="str">
        <f>AKG3&amp;Comf!$I$2</f>
        <v>CoStep3StanceTimeT20</v>
      </c>
      <c r="AKH4" s="31" t="str">
        <f>AKH3&amp;Comf!$I$2</f>
        <v>CoStep4ColorT20</v>
      </c>
      <c r="AKI4" s="31" t="str">
        <f>AKI3&amp;Comf!$I$2</f>
        <v>CoStep4StepLengthT20</v>
      </c>
      <c r="AKJ4" s="31" t="str">
        <f>AKJ3&amp;Comf!$I$2</f>
        <v>CoStep4StepTimeT20</v>
      </c>
      <c r="AKK4" s="31" t="str">
        <f>AKK3&amp;Comf!$I$2</f>
        <v>CoStep4DoubleSupportTimeT20</v>
      </c>
      <c r="AKL4" s="31" t="str">
        <f>AKL3&amp;Comf!$I$2</f>
        <v>CoStep4StanceTimeT20</v>
      </c>
      <c r="AKM4" s="31" t="str">
        <f>AKM3&amp;Comf!$I$2</f>
        <v>CoStep5ColorT20</v>
      </c>
      <c r="AKN4" s="31" t="str">
        <f>AKN3&amp;Comf!$I$2</f>
        <v>CoStep5StepLengthT20</v>
      </c>
      <c r="AKO4" s="31" t="str">
        <f>AKO3&amp;Comf!$I$2</f>
        <v>CoStep5StepTimeT20</v>
      </c>
      <c r="AKP4" s="31" t="str">
        <f>AKP3&amp;Comf!$I$2</f>
        <v>CoStep5DoubleSupportTimeT20</v>
      </c>
      <c r="AKQ4" s="31" t="str">
        <f>AKQ3&amp;Comf!$I$2</f>
        <v>CoStep5StanceTimeT20</v>
      </c>
      <c r="AKR4" s="31" t="str">
        <f>AKR3&amp;Comf!$I$2</f>
        <v>CoStep6ColorT20</v>
      </c>
      <c r="AKS4" s="31" t="str">
        <f>AKS3&amp;Comf!$I$2</f>
        <v>CoStep6StepLengthT20</v>
      </c>
      <c r="AKT4" s="31" t="str">
        <f>AKT3&amp;Comf!$I$2</f>
        <v>CoStep6StepTimeT20</v>
      </c>
      <c r="AKU4" s="31" t="str">
        <f>AKU3&amp;Comf!$I$2</f>
        <v>CoStep6DoubleSupportTimeT20</v>
      </c>
      <c r="AKV4" s="31" t="str">
        <f>AKV3&amp;Comf!$I$2</f>
        <v>CoStep6StanceTimeT20</v>
      </c>
      <c r="AKW4" s="31" t="str">
        <f>AKW3&amp;Comf!$I$2</f>
        <v>CoStep7ColorT20</v>
      </c>
      <c r="AKX4" s="31" t="str">
        <f>AKX3&amp;Comf!$I$2</f>
        <v>CoStep7StepLengthT20</v>
      </c>
      <c r="AKY4" s="31" t="str">
        <f>AKY3&amp;Comf!$I$2</f>
        <v>CoStep7StepTimeT20</v>
      </c>
      <c r="AKZ4" s="31" t="str">
        <f>AKZ3&amp;Comf!$I$2</f>
        <v>CoStep7DoubleSupportTimeT20</v>
      </c>
      <c r="ALA4" s="31" t="str">
        <f>ALA3&amp;Comf!$I$2</f>
        <v>CoStep7StanceTimeT20</v>
      </c>
      <c r="ALB4" s="31" t="str">
        <f>ALB3&amp;Comf!$I$2</f>
        <v>CoStep8ColorT20</v>
      </c>
      <c r="ALC4" s="31" t="str">
        <f>ALC3&amp;Comf!$I$2</f>
        <v>CoStep8StepLengthT20</v>
      </c>
      <c r="ALD4" s="31" t="str">
        <f>ALD3&amp;Comf!$I$2</f>
        <v>CoStep8StepTimeT20</v>
      </c>
      <c r="ALE4" s="31" t="str">
        <f>ALE3&amp;Comf!$I$2</f>
        <v>CoStep8DoubleSupportTimeT20</v>
      </c>
      <c r="ALF4" s="31" t="str">
        <f>ALF3&amp;Comf!$I$2</f>
        <v>CoStep8StanceTimeT20</v>
      </c>
      <c r="ALG4" s="31" t="str">
        <f>ALG3&amp;Comf!$I$2</f>
        <v>CoStep9ColorT20</v>
      </c>
      <c r="ALH4" s="31" t="str">
        <f>ALH3&amp;Comf!$I$2</f>
        <v>CoStep9StepLengthT20</v>
      </c>
      <c r="ALI4" s="31" t="str">
        <f>ALI3&amp;Comf!$I$2</f>
        <v>CoStep9StepTimeT20</v>
      </c>
      <c r="ALJ4" s="31" t="str">
        <f>ALJ3&amp;Comf!$I$2</f>
        <v>CoStep9DoubleSupportTimeT20</v>
      </c>
      <c r="ALK4" s="31" t="str">
        <f>ALK3&amp;Comf!$I$2</f>
        <v>CoStep9StanceTimeT20</v>
      </c>
      <c r="ALL4" s="31" t="str">
        <f>ALL3&amp;Comf!$I$2</f>
        <v>CoStep10ColorT20</v>
      </c>
      <c r="ALM4" s="31" t="str">
        <f>ALM3&amp;Comf!$I$2</f>
        <v>CoStep10StepLengthT20</v>
      </c>
      <c r="ALN4" s="31" t="str">
        <f>ALN3&amp;Comf!$I$2</f>
        <v>CoStep10StepTimeT20</v>
      </c>
      <c r="ALO4" s="31" t="str">
        <f>ALO3&amp;Comf!$I$2</f>
        <v>CoStep10DoubleSupportTimeT20</v>
      </c>
      <c r="ALP4" s="31" t="str">
        <f>ALP3&amp;Comf!$I$2</f>
        <v>CoStep10StanceTimeT20</v>
      </c>
      <c r="ALQ4" s="31" t="str">
        <f>ALQ3&amp;Comf!$I$2</f>
        <v>CoStep1WalkwayT1</v>
      </c>
      <c r="ALR4" s="31" t="str">
        <f>ALR3&amp;Comf!$I$2</f>
        <v>CoStep1WalkwayT2</v>
      </c>
      <c r="ALS4" s="31" t="str">
        <f>ALS3&amp;Comf!$I$2</f>
        <v>CoStep1WalkwayT3</v>
      </c>
      <c r="ALT4" s="31" t="str">
        <f>ALT3&amp;Comf!$I$2</f>
        <v>CoStep1WalkwayT4</v>
      </c>
      <c r="ALU4" s="31" t="str">
        <f>ALU3&amp;Comf!$I$2</f>
        <v>CoStep1WalkwayT5</v>
      </c>
      <c r="ALV4" s="31" t="str">
        <f>ALV3&amp;Comf!$I$2</f>
        <v>CoStep1WalkwayT6</v>
      </c>
      <c r="ALW4" s="31" t="str">
        <f>ALW3&amp;Comf!$I$2</f>
        <v>CoStep1WalkwayT7</v>
      </c>
      <c r="ALX4" s="31" t="str">
        <f>ALX3&amp;Comf!$I$2</f>
        <v>CoStep1WalkwayT8</v>
      </c>
      <c r="ALY4" s="31" t="str">
        <f>ALY3&amp;Comf!$I$2</f>
        <v>CoStep1WalkwayT9</v>
      </c>
      <c r="ALZ4" s="31" t="str">
        <f>ALZ3&amp;Comf!$I$2</f>
        <v>CoStep1WalkwayT10</v>
      </c>
      <c r="AMA4" s="31" t="str">
        <f>AMA3&amp;Comf!$I$2</f>
        <v>CoStep1WalkwayT11</v>
      </c>
      <c r="AMB4" s="31" t="str">
        <f>AMB3&amp;Comf!$I$2</f>
        <v>CoStep1WalkwayT12</v>
      </c>
      <c r="AMC4" s="31" t="str">
        <f>AMC3&amp;Comf!$I$2</f>
        <v>CoStep1WalkwayT13</v>
      </c>
      <c r="AMD4" s="31" t="str">
        <f>AMD3&amp;Comf!$I$2</f>
        <v>CoStep1WalkwayT14</v>
      </c>
      <c r="AME4" s="31" t="str">
        <f>AME3&amp;Comf!$I$2</f>
        <v>CoStep1WalkwayT15</v>
      </c>
      <c r="AMF4" s="31" t="str">
        <f>AMF3&amp;Comf!$I$2</f>
        <v>CoStep1WalkwayT16</v>
      </c>
      <c r="AMG4" s="31" t="str">
        <f>AMG3&amp;Comf!$I$2</f>
        <v>CoStep1WalkwayT17</v>
      </c>
      <c r="AMH4" s="31" t="str">
        <f>AMH3&amp;Comf!$I$2</f>
        <v>CoStep1WalkwayT18</v>
      </c>
      <c r="AMI4" s="31" t="str">
        <f>AMI3&amp;Comf!$I$2</f>
        <v>CoStep1WalkwayT19</v>
      </c>
      <c r="AMJ4" s="31" t="str">
        <f>AMJ3&amp;Comf!$I$2</f>
        <v>CoStep1WalkwayT20</v>
      </c>
      <c r="AMK4" s="31" t="str">
        <f>AMK3&amp;Comf!$I$2</f>
        <v>CoStep2WalkwayT1</v>
      </c>
      <c r="AML4" s="31" t="str">
        <f>AML3&amp;Comf!$I$2</f>
        <v>CoStep2WalkwayT2</v>
      </c>
      <c r="AMM4" s="31" t="str">
        <f>AMM3&amp;Comf!$I$2</f>
        <v>CoStep2WalkwayT3</v>
      </c>
      <c r="AMN4" s="31" t="str">
        <f>AMN3&amp;Comf!$I$2</f>
        <v>CoStep2WalkwayT4</v>
      </c>
      <c r="AMO4" s="31" t="str">
        <f>AMO3&amp;Comf!$I$2</f>
        <v>CoStep2WalkwayT5</v>
      </c>
      <c r="AMP4" s="31" t="str">
        <f>AMP3&amp;Comf!$I$2</f>
        <v>CoStep2WalkwayT6</v>
      </c>
      <c r="AMQ4" s="31" t="str">
        <f>AMQ3&amp;Comf!$I$2</f>
        <v>CoStep2WalkwayT7</v>
      </c>
      <c r="AMR4" s="31" t="str">
        <f>AMR3&amp;Comf!$I$2</f>
        <v>CoStep2WalkwayT8</v>
      </c>
      <c r="AMS4" s="31" t="str">
        <f>AMS3&amp;Comf!$I$2</f>
        <v>CoStep2WalkwayT9</v>
      </c>
      <c r="AMT4" s="31" t="str">
        <f>AMT3&amp;Comf!$I$2</f>
        <v>CoStep2WalkwayT10</v>
      </c>
      <c r="AMU4" s="31" t="str">
        <f>AMU3&amp;Comf!$I$2</f>
        <v>CoStep2WalkwayT11</v>
      </c>
      <c r="AMV4" s="31" t="str">
        <f>AMV3&amp;Comf!$I$2</f>
        <v>CoStep2WalkwayT12</v>
      </c>
      <c r="AMW4" s="31" t="str">
        <f>AMW3&amp;Comf!$I$2</f>
        <v>CoStep2WalkwayT13</v>
      </c>
      <c r="AMX4" s="31" t="str">
        <f>AMX3&amp;Comf!$I$2</f>
        <v>CoStep2WalkwayT14</v>
      </c>
      <c r="AMY4" s="31" t="str">
        <f>AMY3&amp;Comf!$I$2</f>
        <v>CoStep2WalkwayT15</v>
      </c>
      <c r="AMZ4" s="31" t="str">
        <f>AMZ3&amp;Comf!$I$2</f>
        <v>CoStep2WalkwayT16</v>
      </c>
      <c r="ANA4" s="31" t="str">
        <f>ANA3&amp;Comf!$I$2</f>
        <v>CoStep2WalkwayT17</v>
      </c>
      <c r="ANB4" s="31" t="str">
        <f>ANB3&amp;Comf!$I$2</f>
        <v>CoStep2WalkwayT18</v>
      </c>
      <c r="ANC4" s="31" t="str">
        <f>ANC3&amp;Comf!$I$2</f>
        <v>CoStep2WalkwayT19</v>
      </c>
      <c r="AND4" s="31" t="str">
        <f>AND3&amp;Comf!$I$2</f>
        <v>CoStep2WalkwayT20</v>
      </c>
      <c r="ANE4" s="31" t="str">
        <f>ANE3&amp;Comf!$I$2</f>
        <v>CoStep3WalkwayT1</v>
      </c>
      <c r="ANF4" s="31" t="str">
        <f>ANF3&amp;Comf!$I$2</f>
        <v>CoStep3WalkwayT2</v>
      </c>
      <c r="ANG4" s="31" t="str">
        <f>ANG3&amp;Comf!$I$2</f>
        <v>CoStep3WalkwayT3</v>
      </c>
      <c r="ANH4" s="31" t="str">
        <f>ANH3&amp;Comf!$I$2</f>
        <v>CoStep3WalkwayT4</v>
      </c>
      <c r="ANI4" s="31" t="str">
        <f>ANI3&amp;Comf!$I$2</f>
        <v>CoStep3WalkwayT5</v>
      </c>
      <c r="ANJ4" s="31" t="str">
        <f>ANJ3&amp;Comf!$I$2</f>
        <v>CoStep3WalkwayT6</v>
      </c>
      <c r="ANK4" s="31" t="str">
        <f>ANK3&amp;Comf!$I$2</f>
        <v>CoStep3WalkwayT7</v>
      </c>
      <c r="ANL4" s="31" t="str">
        <f>ANL3&amp;Comf!$I$2</f>
        <v>CoStep3WalkwayT8</v>
      </c>
      <c r="ANM4" s="31" t="str">
        <f>ANM3&amp;Comf!$I$2</f>
        <v>CoStep3WalkwayT9</v>
      </c>
      <c r="ANN4" s="31" t="str">
        <f>ANN3&amp;Comf!$I$2</f>
        <v>CoStep3WalkwayT10</v>
      </c>
      <c r="ANO4" s="31" t="str">
        <f>ANO3&amp;Comf!$I$2</f>
        <v>CoStep3WalkwayT11</v>
      </c>
      <c r="ANP4" s="31" t="str">
        <f>ANP3&amp;Comf!$I$2</f>
        <v>CoStep3WalkwayT12</v>
      </c>
      <c r="ANQ4" s="31" t="str">
        <f>ANQ3&amp;Comf!$I$2</f>
        <v>CoStep3WalkwayT13</v>
      </c>
      <c r="ANR4" s="31" t="str">
        <f>ANR3&amp;Comf!$I$2</f>
        <v>CoStep3WalkwayT14</v>
      </c>
      <c r="ANS4" s="31" t="str">
        <f>ANS3&amp;Comf!$I$2</f>
        <v>CoStep3WalkwayT15</v>
      </c>
      <c r="ANT4" s="31" t="str">
        <f>ANT3&amp;Comf!$I$2</f>
        <v>CoStep3WalkwayT16</v>
      </c>
      <c r="ANU4" s="31" t="str">
        <f>ANU3&amp;Comf!$I$2</f>
        <v>CoStep3WalkwayT17</v>
      </c>
      <c r="ANV4" s="31" t="str">
        <f>ANV3&amp;Comf!$I$2</f>
        <v>CoStep3WalkwayT18</v>
      </c>
      <c r="ANW4" s="31" t="str">
        <f>ANW3&amp;Comf!$I$2</f>
        <v>CoStep3WalkwayT19</v>
      </c>
      <c r="ANX4" s="31" t="str">
        <f>ANX3&amp;Comf!$I$2</f>
        <v>CoStep3WalkwayT20</v>
      </c>
      <c r="ANY4" s="31" t="str">
        <f>ANY3&amp;Comf!$I$2</f>
        <v>CoStep4WalkwayT1</v>
      </c>
      <c r="ANZ4" s="31" t="str">
        <f>ANZ3&amp;Comf!$I$2</f>
        <v>CoStep4WalkwayT2</v>
      </c>
      <c r="AOA4" s="31" t="str">
        <f>AOA3&amp;Comf!$I$2</f>
        <v>CoStep4WalkwayT3</v>
      </c>
      <c r="AOB4" s="31" t="str">
        <f>AOB3&amp;Comf!$I$2</f>
        <v>CoStep4WalkwayT4</v>
      </c>
      <c r="AOC4" s="31" t="str">
        <f>AOC3&amp;Comf!$I$2</f>
        <v>CoStep4WalkwayT5</v>
      </c>
      <c r="AOD4" s="31" t="str">
        <f>AOD3&amp;Comf!$I$2</f>
        <v>CoStep4WalkwayT6</v>
      </c>
      <c r="AOE4" s="31" t="str">
        <f>AOE3&amp;Comf!$I$2</f>
        <v>CoStep4WalkwayT7</v>
      </c>
      <c r="AOF4" s="31" t="str">
        <f>AOF3&amp;Comf!$I$2</f>
        <v>CoStep4WalkwayT8</v>
      </c>
      <c r="AOG4" s="31" t="str">
        <f>AOG3&amp;Comf!$I$2</f>
        <v>CoStep4WalkwayT9</v>
      </c>
      <c r="AOH4" s="31" t="str">
        <f>AOH3&amp;Comf!$I$2</f>
        <v>CoStep4WalkwayT10</v>
      </c>
      <c r="AOI4" s="31" t="str">
        <f>AOI3&amp;Comf!$I$2</f>
        <v>CoStep4WalkwayT11</v>
      </c>
      <c r="AOJ4" s="31" t="str">
        <f>AOJ3&amp;Comf!$I$2</f>
        <v>CoStep4WalkwayT12</v>
      </c>
      <c r="AOK4" s="31" t="str">
        <f>AOK3&amp;Comf!$I$2</f>
        <v>CoStep4WalkwayT13</v>
      </c>
      <c r="AOL4" s="31" t="str">
        <f>AOL3&amp;Comf!$I$2</f>
        <v>CoStep4WalkwayT14</v>
      </c>
      <c r="AOM4" s="31" t="str">
        <f>AOM3&amp;Comf!$I$2</f>
        <v>CoStep4WalkwayT15</v>
      </c>
      <c r="AON4" s="31" t="str">
        <f>AON3&amp;Comf!$I$2</f>
        <v>CoStep4WalkwayT16</v>
      </c>
      <c r="AOO4" s="31" t="str">
        <f>AOO3&amp;Comf!$I$2</f>
        <v>CoStep4WalkwayT17</v>
      </c>
      <c r="AOP4" s="31" t="str">
        <f>AOP3&amp;Comf!$I$2</f>
        <v>CoStep4WalkwayT18</v>
      </c>
      <c r="AOQ4" s="31" t="str">
        <f>AOQ3&amp;Comf!$I$2</f>
        <v>CoStep4WalkwayT19</v>
      </c>
      <c r="AOR4" s="31" t="str">
        <f>AOR3&amp;Comf!$I$2</f>
        <v>CoStep4WalkwayT20</v>
      </c>
      <c r="AOS4" s="31" t="str">
        <f>AOS3&amp;Comf!$I$2</f>
        <v>CoStep5WalkwayT1</v>
      </c>
      <c r="AOT4" s="31" t="str">
        <f>AOT3&amp;Comf!$I$2</f>
        <v>CoStep5WalkwayT2</v>
      </c>
      <c r="AOU4" s="31" t="str">
        <f>AOU3&amp;Comf!$I$2</f>
        <v>CoStep5WalkwayT3</v>
      </c>
      <c r="AOV4" s="31" t="str">
        <f>AOV3&amp;Comf!$I$2</f>
        <v>CoStep5WalkwayT4</v>
      </c>
      <c r="AOW4" s="31" t="str">
        <f>AOW3&amp;Comf!$I$2</f>
        <v>CoStep5WalkwayT5</v>
      </c>
      <c r="AOX4" s="31" t="str">
        <f>AOX3&amp;Comf!$I$2</f>
        <v>CoStep5WalkwayT6</v>
      </c>
      <c r="AOY4" s="31" t="str">
        <f>AOY3&amp;Comf!$I$2</f>
        <v>CoStep5WalkwayT7</v>
      </c>
      <c r="AOZ4" s="31" t="str">
        <f>AOZ3&amp;Comf!$I$2</f>
        <v>CoStep5WalkwayT8</v>
      </c>
      <c r="APA4" s="31" t="str">
        <f>APA3&amp;Comf!$I$2</f>
        <v>CoStep5WalkwayT9</v>
      </c>
      <c r="APB4" s="31" t="str">
        <f>APB3&amp;Comf!$I$2</f>
        <v>CoStep5WalkwayT10</v>
      </c>
      <c r="APC4" s="31" t="str">
        <f>APC3&amp;Comf!$I$2</f>
        <v>CoStep5WalkwayT11</v>
      </c>
      <c r="APD4" s="31" t="str">
        <f>APD3&amp;Comf!$I$2</f>
        <v>CoStep5WalkwayT12</v>
      </c>
      <c r="APE4" s="31" t="str">
        <f>APE3&amp;Comf!$I$2</f>
        <v>CoStep5WalkwayT13</v>
      </c>
      <c r="APF4" s="31" t="str">
        <f>APF3&amp;Comf!$I$2</f>
        <v>CoStep5WalkwayT14</v>
      </c>
      <c r="APG4" s="31" t="str">
        <f>APG3&amp;Comf!$I$2</f>
        <v>CoStep5WalkwayT15</v>
      </c>
      <c r="APH4" s="31" t="str">
        <f>APH3&amp;Comf!$I$2</f>
        <v>CoStep5WalkwayT16</v>
      </c>
      <c r="API4" s="31" t="str">
        <f>API3&amp;Comf!$I$2</f>
        <v>CoStep5WalkwayT17</v>
      </c>
      <c r="APJ4" s="31" t="str">
        <f>APJ3&amp;Comf!$I$2</f>
        <v>CoStep5WalkwayT18</v>
      </c>
      <c r="APK4" s="31" t="str">
        <f>APK3&amp;Comf!$I$2</f>
        <v>CoStep5WalkwayT19</v>
      </c>
      <c r="APL4" s="31" t="str">
        <f>APL3&amp;Comf!$I$2</f>
        <v>CoStep5WalkwayT20</v>
      </c>
      <c r="APM4" s="31" t="str">
        <f>APM3&amp;Comf!$I$2</f>
        <v>CoStep6WalkwayT1</v>
      </c>
      <c r="APN4" s="31" t="str">
        <f>APN3&amp;Comf!$I$2</f>
        <v>CoStep6WalkwayT2</v>
      </c>
      <c r="APO4" s="31" t="str">
        <f>APO3&amp;Comf!$I$2</f>
        <v>CoStep6WalkwayT3</v>
      </c>
      <c r="APP4" s="31" t="str">
        <f>APP3&amp;Comf!$I$2</f>
        <v>CoStep6WalkwayT4</v>
      </c>
      <c r="APQ4" s="31" t="str">
        <f>APQ3&amp;Comf!$I$2</f>
        <v>CoStep6WalkwayT5</v>
      </c>
      <c r="APR4" s="31" t="str">
        <f>APR3&amp;Comf!$I$2</f>
        <v>CoStep6WalkwayT6</v>
      </c>
      <c r="APS4" s="31" t="str">
        <f>APS3&amp;Comf!$I$2</f>
        <v>CoStep6WalkwayT7</v>
      </c>
      <c r="APT4" s="31" t="str">
        <f>APT3&amp;Comf!$I$2</f>
        <v>CoStep6WalkwayT8</v>
      </c>
      <c r="APU4" s="31" t="str">
        <f>APU3&amp;Comf!$I$2</f>
        <v>CoStep6WalkwayT9</v>
      </c>
      <c r="APV4" s="31" t="str">
        <f>APV3&amp;Comf!$I$2</f>
        <v>CoStep6WalkwayT10</v>
      </c>
      <c r="APW4" s="31" t="str">
        <f>APW3&amp;Comf!$I$2</f>
        <v>CoStep6WalkwayT11</v>
      </c>
      <c r="APX4" s="31" t="str">
        <f>APX3&amp;Comf!$I$2</f>
        <v>CoStep6WalkwayT12</v>
      </c>
      <c r="APY4" s="31" t="str">
        <f>APY3&amp;Comf!$I$2</f>
        <v>CoStep6WalkwayT13</v>
      </c>
      <c r="APZ4" s="31" t="str">
        <f>APZ3&amp;Comf!$I$2</f>
        <v>CoStep6WalkwayT14</v>
      </c>
      <c r="AQA4" s="31" t="str">
        <f>AQA3&amp;Comf!$I$2</f>
        <v>CoStep6WalkwayT15</v>
      </c>
      <c r="AQB4" s="31" t="str">
        <f>AQB3&amp;Comf!$I$2</f>
        <v>CoStep6WalkwayT16</v>
      </c>
      <c r="AQC4" s="31" t="str">
        <f>AQC3&amp;Comf!$I$2</f>
        <v>CoStep6WalkwayT17</v>
      </c>
      <c r="AQD4" s="31" t="str">
        <f>AQD3&amp;Comf!$I$2</f>
        <v>CoStep6WalkwayT18</v>
      </c>
      <c r="AQE4" s="31" t="str">
        <f>AQE3&amp;Comf!$I$2</f>
        <v>CoStep6WalkwayT19</v>
      </c>
      <c r="AQF4" s="31" t="str">
        <f>AQF3&amp;Comf!$I$2</f>
        <v>CoStep6WalkwayT20</v>
      </c>
      <c r="AQG4" s="31" t="str">
        <f>AQG3&amp;Comf!$I$2</f>
        <v>CoStep7WalkwayT1</v>
      </c>
      <c r="AQH4" s="31" t="str">
        <f>AQH3&amp;Comf!$I$2</f>
        <v>CoStep7WalkwayT2</v>
      </c>
      <c r="AQI4" s="31" t="str">
        <f>AQI3&amp;Comf!$I$2</f>
        <v>CoStep7WalkwayT3</v>
      </c>
      <c r="AQJ4" s="31" t="str">
        <f>AQJ3&amp;Comf!$I$2</f>
        <v>CoStep7WalkwayT4</v>
      </c>
      <c r="AQK4" s="31" t="str">
        <f>AQK3&amp;Comf!$I$2</f>
        <v>CoStep7WalkwayT5</v>
      </c>
      <c r="AQL4" s="31" t="str">
        <f>AQL3&amp;Comf!$I$2</f>
        <v>CoStep7WalkwayT6</v>
      </c>
      <c r="AQM4" s="31" t="str">
        <f>AQM3&amp;Comf!$I$2</f>
        <v>CoStep7WalkwayT7</v>
      </c>
      <c r="AQN4" s="31" t="str">
        <f>AQN3&amp;Comf!$I$2</f>
        <v>CoStep7WalkwayT8</v>
      </c>
      <c r="AQO4" s="31" t="str">
        <f>AQO3&amp;Comf!$I$2</f>
        <v>CoStep7WalkwayT9</v>
      </c>
      <c r="AQP4" s="31" t="str">
        <f>AQP3&amp;Comf!$I$2</f>
        <v>CoStep7WalkwayT10</v>
      </c>
      <c r="AQQ4" s="31" t="str">
        <f>AQQ3&amp;Comf!$I$2</f>
        <v>CoStep7WalkwayT11</v>
      </c>
      <c r="AQR4" s="31" t="str">
        <f>AQR3&amp;Comf!$I$2</f>
        <v>CoStep7WalkwayT12</v>
      </c>
      <c r="AQS4" s="31" t="str">
        <f>AQS3&amp;Comf!$I$2</f>
        <v>CoStep7WalkwayT13</v>
      </c>
      <c r="AQT4" s="31" t="str">
        <f>AQT3&amp;Comf!$I$2</f>
        <v>CoStep7WalkwayT14</v>
      </c>
      <c r="AQU4" s="31" t="str">
        <f>AQU3&amp;Comf!$I$2</f>
        <v>CoStep7WalkwayT15</v>
      </c>
      <c r="AQV4" s="31" t="str">
        <f>AQV3&amp;Comf!$I$2</f>
        <v>CoStep7WalkwayT16</v>
      </c>
      <c r="AQW4" s="31" t="str">
        <f>AQW3&amp;Comf!$I$2</f>
        <v>CoStep7WalkwayT17</v>
      </c>
      <c r="AQX4" s="31" t="str">
        <f>AQX3&amp;Comf!$I$2</f>
        <v>CoStep7WalkwayT18</v>
      </c>
      <c r="AQY4" s="31" t="str">
        <f>AQY3&amp;Comf!$I$2</f>
        <v>CoStep7WalkwayT19</v>
      </c>
      <c r="AQZ4" s="31" t="str">
        <f>AQZ3&amp;Comf!$I$2</f>
        <v>CoStep7WalkwayT20</v>
      </c>
      <c r="ARA4" s="31" t="str">
        <f>ARA3&amp;Comf!$I$2</f>
        <v>CoStep8WalkwayT1</v>
      </c>
      <c r="ARB4" s="31" t="str">
        <f>ARB3&amp;Comf!$I$2</f>
        <v>CoStep8WalkwayT2</v>
      </c>
      <c r="ARC4" s="31" t="str">
        <f>ARC3&amp;Comf!$I$2</f>
        <v>CoStep8WalkwayT3</v>
      </c>
      <c r="ARD4" s="31" t="str">
        <f>ARD3&amp;Comf!$I$2</f>
        <v>CoStep8WalkwayT4</v>
      </c>
      <c r="ARE4" s="31" t="str">
        <f>ARE3&amp;Comf!$I$2</f>
        <v>CoStep8WalkwayT5</v>
      </c>
      <c r="ARF4" s="31" t="str">
        <f>ARF3&amp;Comf!$I$2</f>
        <v>CoStep8WalkwayT6</v>
      </c>
      <c r="ARG4" s="31" t="str">
        <f>ARG3&amp;Comf!$I$2</f>
        <v>CoStep8WalkwayT7</v>
      </c>
      <c r="ARH4" s="31" t="str">
        <f>ARH3&amp;Comf!$I$2</f>
        <v>CoStep8WalkwayT8</v>
      </c>
      <c r="ARI4" s="31" t="str">
        <f>ARI3&amp;Comf!$I$2</f>
        <v>CoStep8WalkwayT9</v>
      </c>
      <c r="ARJ4" s="31" t="str">
        <f>ARJ3&amp;Comf!$I$2</f>
        <v>CoStep8WalkwayT10</v>
      </c>
      <c r="ARK4" s="31" t="str">
        <f>ARK3&amp;Comf!$I$2</f>
        <v>CoStep8WalkwayT11</v>
      </c>
      <c r="ARL4" s="31" t="str">
        <f>ARL3&amp;Comf!$I$2</f>
        <v>CoStep8WalkwayT12</v>
      </c>
      <c r="ARM4" s="31" t="str">
        <f>ARM3&amp;Comf!$I$2</f>
        <v>CoStep8WalkwayT13</v>
      </c>
      <c r="ARN4" s="31" t="str">
        <f>ARN3&amp;Comf!$I$2</f>
        <v>CoStep8WalkwayT14</v>
      </c>
      <c r="ARO4" s="31" t="str">
        <f>ARO3&amp;Comf!$I$2</f>
        <v>CoStep8WalkwayT15</v>
      </c>
      <c r="ARP4" s="31" t="str">
        <f>ARP3&amp;Comf!$I$2</f>
        <v>CoStep8WalkwayT16</v>
      </c>
      <c r="ARQ4" s="31" t="str">
        <f>ARQ3&amp;Comf!$I$2</f>
        <v>CoStep8WalkwayT17</v>
      </c>
      <c r="ARR4" s="31" t="str">
        <f>ARR3&amp;Comf!$I$2</f>
        <v>CoStep8WalkwayT18</v>
      </c>
      <c r="ARS4" s="31" t="str">
        <f>ARS3&amp;Comf!$I$2</f>
        <v>CoStep8WalkwayT19</v>
      </c>
      <c r="ART4" s="31" t="str">
        <f>ART3&amp;Comf!$I$2</f>
        <v>CoStep8WalkwayT20</v>
      </c>
      <c r="ARU4" s="31" t="str">
        <f>ARU3&amp;Comf!$I$2</f>
        <v>CoStep9WalkwayT1</v>
      </c>
      <c r="ARV4" s="31" t="str">
        <f>ARV3&amp;Comf!$I$2</f>
        <v>CoStep9WalkwayT2</v>
      </c>
      <c r="ARW4" s="31" t="str">
        <f>ARW3&amp;Comf!$I$2</f>
        <v>CoStep9WalkwayT3</v>
      </c>
      <c r="ARX4" s="31" t="str">
        <f>ARX3&amp;Comf!$I$2</f>
        <v>CoStep9WalkwayT4</v>
      </c>
      <c r="ARY4" s="31" t="str">
        <f>ARY3&amp;Comf!$I$2</f>
        <v>CoStep9WalkwayT5</v>
      </c>
      <c r="ARZ4" s="31" t="str">
        <f>ARZ3&amp;Comf!$I$2</f>
        <v>CoStep9WalkwayT6</v>
      </c>
      <c r="ASA4" s="31" t="str">
        <f>ASA3&amp;Comf!$I$2</f>
        <v>CoStep9WalkwayT7</v>
      </c>
      <c r="ASB4" s="31" t="str">
        <f>ASB3&amp;Comf!$I$2</f>
        <v>CoStep9WalkwayT8</v>
      </c>
      <c r="ASC4" s="31" t="str">
        <f>ASC3&amp;Comf!$I$2</f>
        <v>CoStep9WalkwayT9</v>
      </c>
      <c r="ASD4" s="31" t="str">
        <f>ASD3&amp;Comf!$I$2</f>
        <v>CoStep9WalkwayT10</v>
      </c>
      <c r="ASE4" s="31" t="str">
        <f>ASE3&amp;Comf!$I$2</f>
        <v>CoStep9WalkwayT11</v>
      </c>
      <c r="ASF4" s="31" t="str">
        <f>ASF3&amp;Comf!$I$2</f>
        <v>CoStep9WalkwayT12</v>
      </c>
      <c r="ASG4" s="31" t="str">
        <f>ASG3&amp;Comf!$I$2</f>
        <v>CoStep9WalkwayT13</v>
      </c>
      <c r="ASH4" s="31" t="str">
        <f>ASH3&amp;Comf!$I$2</f>
        <v>CoStep9WalkwayT14</v>
      </c>
      <c r="ASI4" s="31" t="str">
        <f>ASI3&amp;Comf!$I$2</f>
        <v>CoStep9WalkwayT15</v>
      </c>
      <c r="ASJ4" s="31" t="str">
        <f>ASJ3&amp;Comf!$I$2</f>
        <v>CoStep9WalkwayT16</v>
      </c>
      <c r="ASK4" s="31" t="str">
        <f>ASK3&amp;Comf!$I$2</f>
        <v>CoStep9WalkwayT17</v>
      </c>
      <c r="ASL4" s="31" t="str">
        <f>ASL3&amp;Comf!$I$2</f>
        <v>CoStep9WalkwayT18</v>
      </c>
      <c r="ASM4" s="31" t="str">
        <f>ASM3&amp;Comf!$I$2</f>
        <v>CoStep9WalkwayT19</v>
      </c>
      <c r="ASN4" s="31" t="str">
        <f>ASN3&amp;Comf!$I$2</f>
        <v>CoStep9WalkwayT20</v>
      </c>
      <c r="ASO4" s="31" t="str">
        <f>ASO3&amp;Comf!$I$2</f>
        <v>CoStep10WalkwayT1</v>
      </c>
      <c r="ASP4" s="31" t="str">
        <f>ASP3&amp;Comf!$I$2</f>
        <v>CoStep10WalkwayT2</v>
      </c>
      <c r="ASQ4" s="31" t="str">
        <f>ASQ3&amp;Comf!$I$2</f>
        <v>CoStep10WalkwayT3</v>
      </c>
      <c r="ASR4" s="31" t="str">
        <f>ASR3&amp;Comf!$I$2</f>
        <v>CoStep10WalkwayT4</v>
      </c>
      <c r="ASS4" s="31" t="str">
        <f>ASS3&amp;Comf!$I$2</f>
        <v>CoStep10WalkwayT5</v>
      </c>
      <c r="AST4" s="31" t="str">
        <f>AST3&amp;Comf!$I$2</f>
        <v>CoStep10WalkwayT6</v>
      </c>
      <c r="ASU4" s="31" t="str">
        <f>ASU3&amp;Comf!$I$2</f>
        <v>CoStep10WalkwayT7</v>
      </c>
      <c r="ASV4" s="31" t="str">
        <f>ASV3&amp;Comf!$I$2</f>
        <v>CoStep10WalkwayT8</v>
      </c>
      <c r="ASW4" s="31" t="str">
        <f>ASW3&amp;Comf!$I$2</f>
        <v>CoStep10WalkwayT9</v>
      </c>
      <c r="ASX4" s="31" t="str">
        <f>ASX3&amp;Comf!$I$2</f>
        <v>CoStep10WalkwayT10</v>
      </c>
      <c r="ASY4" s="31" t="str">
        <f>ASY3&amp;Comf!$I$2</f>
        <v>CoStep10WalkwayT11</v>
      </c>
      <c r="ASZ4" s="31" t="str">
        <f>ASZ3&amp;Comf!$I$2</f>
        <v>CoStep10WalkwayT12</v>
      </c>
      <c r="ATA4" s="31" t="str">
        <f>ATA3&amp;Comf!$I$2</f>
        <v>CoStep10WalkwayT13</v>
      </c>
      <c r="ATB4" s="31" t="str">
        <f>ATB3&amp;Comf!$I$2</f>
        <v>CoStep10WalkwayT14</v>
      </c>
      <c r="ATC4" s="31" t="str">
        <f>ATC3&amp;Comf!$I$2</f>
        <v>CoStep10WalkwayT15</v>
      </c>
      <c r="ATD4" s="31" t="str">
        <f>ATD3&amp;Comf!$I$2</f>
        <v>CoStep10WalkwayT16</v>
      </c>
      <c r="ATE4" s="31" t="str">
        <f>ATE3&amp;Comf!$I$2</f>
        <v>CoStep10WalkwayT17</v>
      </c>
      <c r="ATF4" s="31" t="str">
        <f>ATF3&amp;Comf!$I$2</f>
        <v>CoStep10WalkwayT18</v>
      </c>
      <c r="ATG4" s="31" t="str">
        <f>ATG3&amp;Comf!$I$2</f>
        <v>CoStep10WalkwayT19</v>
      </c>
      <c r="ATH4" s="31" t="str">
        <f>ATH3&amp;Comf!$I$2</f>
        <v>CoStep10WalkwayT20</v>
      </c>
    </row>
    <row r="5" spans="1:1204" x14ac:dyDescent="0.2">
      <c r="A5" s="34" t="s">
        <v>70</v>
      </c>
      <c r="B5" s="5">
        <f ca="1">INDIRECT(CONCATENATE($A5,"!",LEFT($B$2,2),MID($B$2,3,256)))</f>
        <v>0</v>
      </c>
      <c r="C5" s="5">
        <f ca="1">INDIRECT(CONCATENATE($A5,"!",LEFT($C$2,2),MID($C$2,3,256)))</f>
        <v>0</v>
      </c>
      <c r="D5" s="5">
        <f ca="1">INDIRECT(CONCATENATE($A5,"!",LEFT($D$2,2),MID($D$2,3,256)))</f>
        <v>0</v>
      </c>
      <c r="E5" s="5">
        <f ca="1">INDIRECT(CONCATENATE($A5,"!",LEFT(E$2,1),MID(E$2,2,256)+E$1-1))</f>
        <v>9999</v>
      </c>
      <c r="F5" s="5">
        <f t="shared" ref="F5:BQ5" ca="1" si="0">INDIRECT(CONCATENATE($A5,"!",LEFT(F$2,1),MID(F$2,2,256)+F$1-1))</f>
        <v>9999</v>
      </c>
      <c r="G5" s="5">
        <f t="shared" ca="1" si="0"/>
        <v>9999</v>
      </c>
      <c r="H5" s="5">
        <f t="shared" ca="1" si="0"/>
        <v>9999</v>
      </c>
      <c r="I5" s="5">
        <f t="shared" ca="1" si="0"/>
        <v>9999</v>
      </c>
      <c r="J5" s="5">
        <f t="shared" ca="1" si="0"/>
        <v>9999</v>
      </c>
      <c r="K5" s="5">
        <f t="shared" ca="1" si="0"/>
        <v>9999</v>
      </c>
      <c r="L5" s="5">
        <f t="shared" ca="1" si="0"/>
        <v>9999</v>
      </c>
      <c r="M5" s="5">
        <f t="shared" ca="1" si="0"/>
        <v>9999</v>
      </c>
      <c r="N5" s="5">
        <f t="shared" ca="1" si="0"/>
        <v>9999</v>
      </c>
      <c r="O5" s="5">
        <f t="shared" ca="1" si="0"/>
        <v>9999</v>
      </c>
      <c r="P5" s="5">
        <f t="shared" ca="1" si="0"/>
        <v>9999</v>
      </c>
      <c r="Q5" s="5">
        <f t="shared" ca="1" si="0"/>
        <v>9999</v>
      </c>
      <c r="R5" s="5">
        <f t="shared" ca="1" si="0"/>
        <v>9999</v>
      </c>
      <c r="S5" s="5">
        <f t="shared" ca="1" si="0"/>
        <v>9999</v>
      </c>
      <c r="T5" s="5">
        <f t="shared" ca="1" si="0"/>
        <v>9999</v>
      </c>
      <c r="U5" s="5">
        <f t="shared" ca="1" si="0"/>
        <v>9999</v>
      </c>
      <c r="V5" s="5">
        <f t="shared" ca="1" si="0"/>
        <v>9999</v>
      </c>
      <c r="W5" s="5">
        <f t="shared" ca="1" si="0"/>
        <v>9999</v>
      </c>
      <c r="X5" s="5">
        <f t="shared" ca="1" si="0"/>
        <v>9999</v>
      </c>
      <c r="Y5" s="5">
        <f t="shared" ca="1" si="0"/>
        <v>9999</v>
      </c>
      <c r="Z5" s="5">
        <f t="shared" ca="1" si="0"/>
        <v>9999</v>
      </c>
      <c r="AA5" s="5">
        <f t="shared" ca="1" si="0"/>
        <v>9999</v>
      </c>
      <c r="AB5" s="5">
        <f t="shared" ca="1" si="0"/>
        <v>9999</v>
      </c>
      <c r="AC5" s="5">
        <f t="shared" ca="1" si="0"/>
        <v>9999</v>
      </c>
      <c r="AD5" s="5">
        <f t="shared" ca="1" si="0"/>
        <v>9999</v>
      </c>
      <c r="AE5" s="5">
        <f t="shared" ca="1" si="0"/>
        <v>9999</v>
      </c>
      <c r="AF5" s="5">
        <f t="shared" ca="1" si="0"/>
        <v>9999</v>
      </c>
      <c r="AG5" s="5">
        <f t="shared" ca="1" si="0"/>
        <v>9999</v>
      </c>
      <c r="AH5" s="5">
        <f t="shared" ca="1" si="0"/>
        <v>9999</v>
      </c>
      <c r="AI5" s="5">
        <f t="shared" ca="1" si="0"/>
        <v>9999</v>
      </c>
      <c r="AJ5" s="5">
        <f t="shared" ca="1" si="0"/>
        <v>9999</v>
      </c>
      <c r="AK5" s="5">
        <f t="shared" ca="1" si="0"/>
        <v>9999</v>
      </c>
      <c r="AL5" s="5">
        <f t="shared" ca="1" si="0"/>
        <v>9999</v>
      </c>
      <c r="AM5" s="5">
        <f t="shared" ca="1" si="0"/>
        <v>9999</v>
      </c>
      <c r="AN5" s="5">
        <f t="shared" ca="1" si="0"/>
        <v>9999</v>
      </c>
      <c r="AO5" s="5">
        <f t="shared" ca="1" si="0"/>
        <v>9999</v>
      </c>
      <c r="AP5" s="5">
        <f t="shared" ca="1" si="0"/>
        <v>9999</v>
      </c>
      <c r="AQ5" s="5">
        <f t="shared" ca="1" si="0"/>
        <v>9999</v>
      </c>
      <c r="AR5" s="5">
        <f t="shared" ca="1" si="0"/>
        <v>9999</v>
      </c>
      <c r="AS5" s="5">
        <f t="shared" ca="1" si="0"/>
        <v>9999</v>
      </c>
      <c r="AT5" s="5">
        <f t="shared" ca="1" si="0"/>
        <v>9999</v>
      </c>
      <c r="AU5" s="5">
        <f t="shared" ca="1" si="0"/>
        <v>9999</v>
      </c>
      <c r="AV5" s="5">
        <f t="shared" ca="1" si="0"/>
        <v>9999</v>
      </c>
      <c r="AW5" s="5">
        <f t="shared" ca="1" si="0"/>
        <v>9999</v>
      </c>
      <c r="AX5" s="5">
        <f t="shared" ca="1" si="0"/>
        <v>9999</v>
      </c>
      <c r="AY5" s="5">
        <f t="shared" ca="1" si="0"/>
        <v>9999</v>
      </c>
      <c r="AZ5" s="5">
        <f t="shared" ca="1" si="0"/>
        <v>9999</v>
      </c>
      <c r="BA5" s="5">
        <f t="shared" ca="1" si="0"/>
        <v>9999</v>
      </c>
      <c r="BB5" s="5">
        <f t="shared" ca="1" si="0"/>
        <v>9999</v>
      </c>
      <c r="BC5" s="5">
        <f t="shared" ca="1" si="0"/>
        <v>9999</v>
      </c>
      <c r="BD5" s="5">
        <f t="shared" ca="1" si="0"/>
        <v>9999</v>
      </c>
      <c r="BE5" s="5">
        <f t="shared" ca="1" si="0"/>
        <v>9999</v>
      </c>
      <c r="BF5" s="5">
        <f t="shared" ca="1" si="0"/>
        <v>9999</v>
      </c>
      <c r="BG5" s="5">
        <f t="shared" ca="1" si="0"/>
        <v>9999</v>
      </c>
      <c r="BH5" s="5">
        <f t="shared" ca="1" si="0"/>
        <v>9999</v>
      </c>
      <c r="BI5" s="5">
        <f t="shared" ca="1" si="0"/>
        <v>9999</v>
      </c>
      <c r="BJ5" s="5">
        <f t="shared" ca="1" si="0"/>
        <v>9999</v>
      </c>
      <c r="BK5" s="5">
        <f t="shared" ca="1" si="0"/>
        <v>9999</v>
      </c>
      <c r="BL5" s="5">
        <f t="shared" ca="1" si="0"/>
        <v>9999</v>
      </c>
      <c r="BM5" s="5">
        <f t="shared" ca="1" si="0"/>
        <v>9999</v>
      </c>
      <c r="BN5" s="5">
        <f t="shared" ca="1" si="0"/>
        <v>9999</v>
      </c>
      <c r="BO5" s="5">
        <f t="shared" ca="1" si="0"/>
        <v>9999</v>
      </c>
      <c r="BP5" s="5">
        <f t="shared" ca="1" si="0"/>
        <v>9999</v>
      </c>
      <c r="BQ5" s="5">
        <f t="shared" ca="1" si="0"/>
        <v>9999</v>
      </c>
      <c r="BR5" s="5">
        <f t="shared" ref="BR5:EC5" ca="1" si="1">INDIRECT(CONCATENATE($A5,"!",LEFT(BR$2,1),MID(BR$2,2,256)+BR$1-1))</f>
        <v>9999</v>
      </c>
      <c r="BS5" s="5">
        <f t="shared" ca="1" si="1"/>
        <v>9999</v>
      </c>
      <c r="BT5" s="5">
        <f t="shared" ca="1" si="1"/>
        <v>9999</v>
      </c>
      <c r="BU5" s="5">
        <f t="shared" ca="1" si="1"/>
        <v>9999</v>
      </c>
      <c r="BV5" s="5">
        <f t="shared" ca="1" si="1"/>
        <v>9999</v>
      </c>
      <c r="BW5" s="5">
        <f t="shared" ca="1" si="1"/>
        <v>9999</v>
      </c>
      <c r="BX5" s="5">
        <f t="shared" ca="1" si="1"/>
        <v>9999</v>
      </c>
      <c r="BY5" s="5">
        <f t="shared" ca="1" si="1"/>
        <v>9999</v>
      </c>
      <c r="BZ5" s="5">
        <f t="shared" ca="1" si="1"/>
        <v>9999</v>
      </c>
      <c r="CA5" s="5">
        <f t="shared" ca="1" si="1"/>
        <v>9999</v>
      </c>
      <c r="CB5" s="5">
        <f t="shared" ca="1" si="1"/>
        <v>9999</v>
      </c>
      <c r="CC5" s="5">
        <f t="shared" ca="1" si="1"/>
        <v>9999</v>
      </c>
      <c r="CD5" s="5">
        <f t="shared" ca="1" si="1"/>
        <v>9999</v>
      </c>
      <c r="CE5" s="5">
        <f t="shared" ca="1" si="1"/>
        <v>9999</v>
      </c>
      <c r="CF5" s="5">
        <f t="shared" ca="1" si="1"/>
        <v>9999</v>
      </c>
      <c r="CG5" s="5">
        <f t="shared" ca="1" si="1"/>
        <v>9999</v>
      </c>
      <c r="CH5" s="5">
        <f t="shared" ca="1" si="1"/>
        <v>9999</v>
      </c>
      <c r="CI5" s="5">
        <f t="shared" ca="1" si="1"/>
        <v>9999</v>
      </c>
      <c r="CJ5" s="5">
        <f t="shared" ca="1" si="1"/>
        <v>9999</v>
      </c>
      <c r="CK5" s="5">
        <f t="shared" ca="1" si="1"/>
        <v>9999</v>
      </c>
      <c r="CL5" s="5">
        <f t="shared" ca="1" si="1"/>
        <v>9999</v>
      </c>
      <c r="CM5" s="5">
        <f t="shared" ca="1" si="1"/>
        <v>9999</v>
      </c>
      <c r="CN5" s="5">
        <f t="shared" ca="1" si="1"/>
        <v>9999</v>
      </c>
      <c r="CO5" s="5">
        <f t="shared" ca="1" si="1"/>
        <v>9999</v>
      </c>
      <c r="CP5" s="5">
        <f t="shared" ca="1" si="1"/>
        <v>9999</v>
      </c>
      <c r="CQ5" s="5">
        <f t="shared" ca="1" si="1"/>
        <v>9999</v>
      </c>
      <c r="CR5" s="5">
        <f t="shared" ca="1" si="1"/>
        <v>9999</v>
      </c>
      <c r="CS5" s="5">
        <f t="shared" ca="1" si="1"/>
        <v>9999</v>
      </c>
      <c r="CT5" s="5">
        <f t="shared" ca="1" si="1"/>
        <v>9999</v>
      </c>
      <c r="CU5" s="5">
        <f t="shared" ca="1" si="1"/>
        <v>9999</v>
      </c>
      <c r="CV5" s="5">
        <f t="shared" ca="1" si="1"/>
        <v>9999</v>
      </c>
      <c r="CW5" s="5">
        <f t="shared" ca="1" si="1"/>
        <v>9999</v>
      </c>
      <c r="CX5" s="5">
        <f t="shared" ca="1" si="1"/>
        <v>9999</v>
      </c>
      <c r="CY5" s="5">
        <f t="shared" ca="1" si="1"/>
        <v>9999</v>
      </c>
      <c r="CZ5" s="5">
        <f t="shared" ca="1" si="1"/>
        <v>9999</v>
      </c>
      <c r="DA5" s="5">
        <f t="shared" ca="1" si="1"/>
        <v>9999</v>
      </c>
      <c r="DB5" s="5">
        <f t="shared" ca="1" si="1"/>
        <v>9999</v>
      </c>
      <c r="DC5" s="5">
        <f t="shared" ca="1" si="1"/>
        <v>9999</v>
      </c>
      <c r="DD5" s="5">
        <f t="shared" ca="1" si="1"/>
        <v>9999</v>
      </c>
      <c r="DE5" s="5">
        <f t="shared" ca="1" si="1"/>
        <v>9999</v>
      </c>
      <c r="DF5" s="5">
        <f t="shared" ca="1" si="1"/>
        <v>9999</v>
      </c>
      <c r="DG5" s="5">
        <f t="shared" ca="1" si="1"/>
        <v>9999</v>
      </c>
      <c r="DH5" s="5">
        <f t="shared" ca="1" si="1"/>
        <v>9999</v>
      </c>
      <c r="DI5" s="5">
        <f t="shared" ca="1" si="1"/>
        <v>9999</v>
      </c>
      <c r="DJ5" s="5">
        <f t="shared" ca="1" si="1"/>
        <v>9999</v>
      </c>
      <c r="DK5" s="5">
        <f t="shared" ca="1" si="1"/>
        <v>9999</v>
      </c>
      <c r="DL5" s="5">
        <f t="shared" ca="1" si="1"/>
        <v>9999</v>
      </c>
      <c r="DM5" s="5">
        <f t="shared" ca="1" si="1"/>
        <v>9999</v>
      </c>
      <c r="DN5" s="5">
        <f t="shared" ca="1" si="1"/>
        <v>9999</v>
      </c>
      <c r="DO5" s="5">
        <f t="shared" ca="1" si="1"/>
        <v>9999</v>
      </c>
      <c r="DP5" s="5">
        <f t="shared" ca="1" si="1"/>
        <v>9999</v>
      </c>
      <c r="DQ5" s="5">
        <f t="shared" ca="1" si="1"/>
        <v>9999</v>
      </c>
      <c r="DR5" s="5">
        <f t="shared" ca="1" si="1"/>
        <v>9999</v>
      </c>
      <c r="DS5" s="5">
        <f t="shared" ca="1" si="1"/>
        <v>9999</v>
      </c>
      <c r="DT5" s="5">
        <f t="shared" ca="1" si="1"/>
        <v>9999</v>
      </c>
      <c r="DU5" s="5">
        <f t="shared" ca="1" si="1"/>
        <v>9999</v>
      </c>
      <c r="DV5" s="5">
        <f t="shared" ca="1" si="1"/>
        <v>9999</v>
      </c>
      <c r="DW5" s="5">
        <f t="shared" ca="1" si="1"/>
        <v>9999</v>
      </c>
      <c r="DX5" s="5">
        <f t="shared" ca="1" si="1"/>
        <v>9999</v>
      </c>
      <c r="DY5" s="5">
        <f t="shared" ca="1" si="1"/>
        <v>9999</v>
      </c>
      <c r="DZ5" s="5">
        <f t="shared" ca="1" si="1"/>
        <v>9999</v>
      </c>
      <c r="EA5" s="5">
        <f t="shared" ca="1" si="1"/>
        <v>9999</v>
      </c>
      <c r="EB5" s="5">
        <f t="shared" ca="1" si="1"/>
        <v>9999</v>
      </c>
      <c r="EC5" s="5">
        <f t="shared" ca="1" si="1"/>
        <v>9999</v>
      </c>
      <c r="ED5" s="5">
        <f t="shared" ref="ED5:GO5" ca="1" si="2">INDIRECT(CONCATENATE($A5,"!",LEFT(ED$2,1),MID(ED$2,2,256)+ED$1-1))</f>
        <v>9999</v>
      </c>
      <c r="EE5" s="5">
        <f t="shared" ca="1" si="2"/>
        <v>9999</v>
      </c>
      <c r="EF5" s="5">
        <f t="shared" ca="1" si="2"/>
        <v>9999</v>
      </c>
      <c r="EG5" s="5">
        <f t="shared" ca="1" si="2"/>
        <v>9999</v>
      </c>
      <c r="EH5" s="5">
        <f t="shared" ca="1" si="2"/>
        <v>9999</v>
      </c>
      <c r="EI5" s="5">
        <f t="shared" ca="1" si="2"/>
        <v>9999</v>
      </c>
      <c r="EJ5" s="5">
        <f t="shared" ca="1" si="2"/>
        <v>9999</v>
      </c>
      <c r="EK5" s="5">
        <f t="shared" ca="1" si="2"/>
        <v>9999</v>
      </c>
      <c r="EL5" s="5">
        <f t="shared" ca="1" si="2"/>
        <v>9999</v>
      </c>
      <c r="EM5" s="5">
        <f t="shared" ca="1" si="2"/>
        <v>9999</v>
      </c>
      <c r="EN5" s="5">
        <f t="shared" ca="1" si="2"/>
        <v>9999</v>
      </c>
      <c r="EO5" s="5">
        <f t="shared" ca="1" si="2"/>
        <v>9999</v>
      </c>
      <c r="EP5" s="5">
        <f t="shared" ca="1" si="2"/>
        <v>9999</v>
      </c>
      <c r="EQ5" s="5">
        <f t="shared" ca="1" si="2"/>
        <v>9999</v>
      </c>
      <c r="ER5" s="5">
        <f t="shared" ca="1" si="2"/>
        <v>9999</v>
      </c>
      <c r="ES5" s="5">
        <f t="shared" ca="1" si="2"/>
        <v>9999</v>
      </c>
      <c r="ET5" s="5">
        <f t="shared" ca="1" si="2"/>
        <v>9999</v>
      </c>
      <c r="EU5" s="5">
        <f t="shared" ca="1" si="2"/>
        <v>9999</v>
      </c>
      <c r="EV5" s="5">
        <f t="shared" ca="1" si="2"/>
        <v>9999</v>
      </c>
      <c r="EW5" s="5">
        <f t="shared" ca="1" si="2"/>
        <v>9999</v>
      </c>
      <c r="EX5" s="5">
        <f t="shared" ca="1" si="2"/>
        <v>9999</v>
      </c>
      <c r="EY5" s="5">
        <f t="shared" ca="1" si="2"/>
        <v>9999</v>
      </c>
      <c r="EZ5" s="5">
        <f t="shared" ca="1" si="2"/>
        <v>9999</v>
      </c>
      <c r="FA5" s="5">
        <f t="shared" ca="1" si="2"/>
        <v>9999</v>
      </c>
      <c r="FB5" s="5">
        <f t="shared" ca="1" si="2"/>
        <v>9999</v>
      </c>
      <c r="FC5" s="5">
        <f t="shared" ca="1" si="2"/>
        <v>9999</v>
      </c>
      <c r="FD5" s="5">
        <f t="shared" ca="1" si="2"/>
        <v>9999</v>
      </c>
      <c r="FE5" s="5">
        <f t="shared" ca="1" si="2"/>
        <v>9999</v>
      </c>
      <c r="FF5" s="5">
        <f t="shared" ca="1" si="2"/>
        <v>9999</v>
      </c>
      <c r="FG5" s="5">
        <f t="shared" ca="1" si="2"/>
        <v>9999</v>
      </c>
      <c r="FH5" s="5">
        <f t="shared" ca="1" si="2"/>
        <v>9999</v>
      </c>
      <c r="FI5" s="5">
        <f t="shared" ca="1" si="2"/>
        <v>9999</v>
      </c>
      <c r="FJ5" s="5">
        <f t="shared" ca="1" si="2"/>
        <v>9999</v>
      </c>
      <c r="FK5" s="5">
        <f t="shared" ca="1" si="2"/>
        <v>9999</v>
      </c>
      <c r="FL5" s="5">
        <f t="shared" ca="1" si="2"/>
        <v>9999</v>
      </c>
      <c r="FM5" s="5">
        <f t="shared" ca="1" si="2"/>
        <v>9999</v>
      </c>
      <c r="FN5" s="5">
        <f t="shared" ca="1" si="2"/>
        <v>9999</v>
      </c>
      <c r="FO5" s="5">
        <f t="shared" ca="1" si="2"/>
        <v>9999</v>
      </c>
      <c r="FP5" s="5">
        <f t="shared" ca="1" si="2"/>
        <v>9999</v>
      </c>
      <c r="FQ5" s="5">
        <f t="shared" ca="1" si="2"/>
        <v>9999</v>
      </c>
      <c r="FR5" s="5">
        <f t="shared" ca="1" si="2"/>
        <v>9999</v>
      </c>
      <c r="FS5" s="5">
        <f t="shared" ca="1" si="2"/>
        <v>9999</v>
      </c>
      <c r="FT5" s="5">
        <f t="shared" ca="1" si="2"/>
        <v>9999</v>
      </c>
      <c r="FU5" s="5">
        <f t="shared" ca="1" si="2"/>
        <v>9999</v>
      </c>
      <c r="FV5" s="5">
        <f t="shared" ca="1" si="2"/>
        <v>9999</v>
      </c>
      <c r="FW5" s="5">
        <f t="shared" ca="1" si="2"/>
        <v>9999</v>
      </c>
      <c r="FX5" s="5">
        <f t="shared" ca="1" si="2"/>
        <v>9999</v>
      </c>
      <c r="FY5" s="5">
        <f t="shared" ca="1" si="2"/>
        <v>9999</v>
      </c>
      <c r="FZ5" s="5">
        <f t="shared" ca="1" si="2"/>
        <v>9999</v>
      </c>
      <c r="GA5" s="5">
        <f t="shared" ca="1" si="2"/>
        <v>9999</v>
      </c>
      <c r="GB5" s="5">
        <f t="shared" ca="1" si="2"/>
        <v>9999</v>
      </c>
      <c r="GC5" s="5">
        <f t="shared" ca="1" si="2"/>
        <v>9999</v>
      </c>
      <c r="GD5" s="5">
        <f t="shared" ca="1" si="2"/>
        <v>9999</v>
      </c>
      <c r="GE5" s="5">
        <f t="shared" ca="1" si="2"/>
        <v>9999</v>
      </c>
      <c r="GF5" s="5">
        <f t="shared" ca="1" si="2"/>
        <v>9999</v>
      </c>
      <c r="GG5" s="5">
        <f t="shared" ca="1" si="2"/>
        <v>9999</v>
      </c>
      <c r="GH5" s="5">
        <f t="shared" ca="1" si="2"/>
        <v>9999</v>
      </c>
      <c r="GI5" s="5">
        <f t="shared" ca="1" si="2"/>
        <v>9999</v>
      </c>
      <c r="GJ5" s="5">
        <f t="shared" ca="1" si="2"/>
        <v>9999</v>
      </c>
      <c r="GK5" s="5">
        <f t="shared" ca="1" si="2"/>
        <v>9999</v>
      </c>
      <c r="GL5" s="5">
        <f t="shared" ca="1" si="2"/>
        <v>9999</v>
      </c>
      <c r="GM5" s="5">
        <f t="shared" ca="1" si="2"/>
        <v>9999</v>
      </c>
      <c r="GN5" s="5">
        <f t="shared" ca="1" si="2"/>
        <v>9999</v>
      </c>
      <c r="GO5" s="5">
        <f t="shared" ca="1" si="2"/>
        <v>9999</v>
      </c>
      <c r="GP5" s="5">
        <f t="shared" ref="GP5:JA5" ca="1" si="3">INDIRECT(CONCATENATE($A5,"!",LEFT(GP$2,1),MID(GP$2,2,256)+GP$1-1))</f>
        <v>9999</v>
      </c>
      <c r="GQ5" s="5">
        <f t="shared" ca="1" si="3"/>
        <v>9999</v>
      </c>
      <c r="GR5" s="5">
        <f t="shared" ca="1" si="3"/>
        <v>9999</v>
      </c>
      <c r="GS5" s="5">
        <f t="shared" ca="1" si="3"/>
        <v>9999</v>
      </c>
      <c r="GT5" s="5">
        <f t="shared" ca="1" si="3"/>
        <v>9999</v>
      </c>
      <c r="GU5" s="5">
        <f t="shared" ca="1" si="3"/>
        <v>9999</v>
      </c>
      <c r="GV5" s="5">
        <f t="shared" ca="1" si="3"/>
        <v>9999</v>
      </c>
      <c r="GW5" s="5">
        <f t="shared" ca="1" si="3"/>
        <v>9999</v>
      </c>
      <c r="GX5" s="5">
        <f t="shared" ca="1" si="3"/>
        <v>9999</v>
      </c>
      <c r="GY5" s="5">
        <f t="shared" ca="1" si="3"/>
        <v>9999</v>
      </c>
      <c r="GZ5" s="5">
        <f t="shared" ca="1" si="3"/>
        <v>9999</v>
      </c>
      <c r="HA5" s="5">
        <f t="shared" ca="1" si="3"/>
        <v>9999</v>
      </c>
      <c r="HB5" s="5">
        <f t="shared" ca="1" si="3"/>
        <v>9999</v>
      </c>
      <c r="HC5" s="5">
        <f t="shared" ca="1" si="3"/>
        <v>9999</v>
      </c>
      <c r="HD5" s="5">
        <f t="shared" ca="1" si="3"/>
        <v>9999</v>
      </c>
      <c r="HE5" s="5">
        <f t="shared" ca="1" si="3"/>
        <v>9999</v>
      </c>
      <c r="HF5" s="5">
        <f t="shared" ca="1" si="3"/>
        <v>9999</v>
      </c>
      <c r="HG5" s="5">
        <f t="shared" ca="1" si="3"/>
        <v>9999</v>
      </c>
      <c r="HH5" s="5">
        <f t="shared" ca="1" si="3"/>
        <v>9999</v>
      </c>
      <c r="HI5" s="5">
        <f t="shared" ca="1" si="3"/>
        <v>9999</v>
      </c>
      <c r="HJ5" s="5">
        <f t="shared" ca="1" si="3"/>
        <v>9999</v>
      </c>
      <c r="HK5" s="5">
        <f t="shared" ca="1" si="3"/>
        <v>9999</v>
      </c>
      <c r="HL5" s="5">
        <f t="shared" ca="1" si="3"/>
        <v>9999</v>
      </c>
      <c r="HM5" s="5">
        <f t="shared" ca="1" si="3"/>
        <v>9999</v>
      </c>
      <c r="HN5" s="5">
        <f t="shared" ca="1" si="3"/>
        <v>9999</v>
      </c>
      <c r="HO5" s="5">
        <f t="shared" ca="1" si="3"/>
        <v>9999</v>
      </c>
      <c r="HP5" s="5">
        <f t="shared" ca="1" si="3"/>
        <v>9999</v>
      </c>
      <c r="HQ5" s="5">
        <f t="shared" ca="1" si="3"/>
        <v>9999</v>
      </c>
      <c r="HR5" s="5">
        <f t="shared" ca="1" si="3"/>
        <v>9999</v>
      </c>
      <c r="HS5" s="5">
        <f t="shared" ca="1" si="3"/>
        <v>9999</v>
      </c>
      <c r="HT5" s="5">
        <f t="shared" ca="1" si="3"/>
        <v>9999</v>
      </c>
      <c r="HU5" s="5">
        <f t="shared" ca="1" si="3"/>
        <v>9999</v>
      </c>
      <c r="HV5" s="5">
        <f t="shared" ca="1" si="3"/>
        <v>9999</v>
      </c>
      <c r="HW5" s="5">
        <f t="shared" ca="1" si="3"/>
        <v>9999</v>
      </c>
      <c r="HX5" s="5">
        <f t="shared" ca="1" si="3"/>
        <v>9999</v>
      </c>
      <c r="HY5" s="5">
        <f t="shared" ca="1" si="3"/>
        <v>9999</v>
      </c>
      <c r="HZ5" s="5">
        <f t="shared" ca="1" si="3"/>
        <v>9999</v>
      </c>
      <c r="IA5" s="5">
        <f t="shared" ca="1" si="3"/>
        <v>9999</v>
      </c>
      <c r="IB5" s="5">
        <f t="shared" ca="1" si="3"/>
        <v>9999</v>
      </c>
      <c r="IC5" s="5">
        <f t="shared" ca="1" si="3"/>
        <v>9999</v>
      </c>
      <c r="ID5" s="5">
        <f t="shared" ca="1" si="3"/>
        <v>9999</v>
      </c>
      <c r="IE5" s="5">
        <f t="shared" ca="1" si="3"/>
        <v>9999</v>
      </c>
      <c r="IF5" s="5">
        <f t="shared" ca="1" si="3"/>
        <v>9999</v>
      </c>
      <c r="IG5" s="5">
        <f t="shared" ca="1" si="3"/>
        <v>9999</v>
      </c>
      <c r="IH5" s="5">
        <f t="shared" ca="1" si="3"/>
        <v>9999</v>
      </c>
      <c r="II5" s="5">
        <f t="shared" ca="1" si="3"/>
        <v>9999</v>
      </c>
      <c r="IJ5" s="5">
        <f t="shared" ca="1" si="3"/>
        <v>9999</v>
      </c>
      <c r="IK5" s="5">
        <f t="shared" ca="1" si="3"/>
        <v>9999</v>
      </c>
      <c r="IL5" s="5">
        <f t="shared" ca="1" si="3"/>
        <v>9999</v>
      </c>
      <c r="IM5" s="5">
        <f t="shared" ca="1" si="3"/>
        <v>9999</v>
      </c>
      <c r="IN5" s="5">
        <f t="shared" ca="1" si="3"/>
        <v>9999</v>
      </c>
      <c r="IO5" s="5">
        <f t="shared" ca="1" si="3"/>
        <v>9999</v>
      </c>
      <c r="IP5" s="5">
        <f t="shared" ca="1" si="3"/>
        <v>9999</v>
      </c>
      <c r="IQ5" s="5">
        <f t="shared" ca="1" si="3"/>
        <v>9999</v>
      </c>
      <c r="IR5" s="5">
        <f t="shared" ca="1" si="3"/>
        <v>9999</v>
      </c>
      <c r="IS5" s="5">
        <f t="shared" ca="1" si="3"/>
        <v>9999</v>
      </c>
      <c r="IT5" s="5">
        <f t="shared" ca="1" si="3"/>
        <v>9999</v>
      </c>
      <c r="IU5" s="5">
        <f t="shared" ca="1" si="3"/>
        <v>9999</v>
      </c>
      <c r="IV5" s="5">
        <f t="shared" ca="1" si="3"/>
        <v>9999</v>
      </c>
      <c r="IW5" s="5">
        <f t="shared" ca="1" si="3"/>
        <v>9999</v>
      </c>
      <c r="IX5" s="5">
        <f t="shared" ca="1" si="3"/>
        <v>9999</v>
      </c>
      <c r="IY5" s="5">
        <f t="shared" ca="1" si="3"/>
        <v>9999</v>
      </c>
      <c r="IZ5" s="5">
        <f t="shared" ca="1" si="3"/>
        <v>9999</v>
      </c>
      <c r="JA5" s="5">
        <f t="shared" ca="1" si="3"/>
        <v>9999</v>
      </c>
      <c r="JB5" s="5">
        <f t="shared" ref="JB5:LM5" ca="1" si="4">INDIRECT(CONCATENATE($A5,"!",LEFT(JB$2,1),MID(JB$2,2,256)+JB$1-1))</f>
        <v>9999</v>
      </c>
      <c r="JC5" s="5">
        <f t="shared" ca="1" si="4"/>
        <v>9999</v>
      </c>
      <c r="JD5" s="5">
        <f t="shared" ca="1" si="4"/>
        <v>9999</v>
      </c>
      <c r="JE5" s="5">
        <f t="shared" ca="1" si="4"/>
        <v>9999</v>
      </c>
      <c r="JF5" s="5">
        <f t="shared" ca="1" si="4"/>
        <v>9999</v>
      </c>
      <c r="JG5" s="5">
        <f t="shared" ca="1" si="4"/>
        <v>9999</v>
      </c>
      <c r="JH5" s="5">
        <f t="shared" ca="1" si="4"/>
        <v>9999</v>
      </c>
      <c r="JI5" s="5">
        <f t="shared" ca="1" si="4"/>
        <v>9999</v>
      </c>
      <c r="JJ5" s="5">
        <f t="shared" ca="1" si="4"/>
        <v>9999</v>
      </c>
      <c r="JK5" s="5">
        <f t="shared" ca="1" si="4"/>
        <v>9999</v>
      </c>
      <c r="JL5" s="5">
        <f t="shared" ca="1" si="4"/>
        <v>9999</v>
      </c>
      <c r="JM5" s="5">
        <f t="shared" ca="1" si="4"/>
        <v>9999</v>
      </c>
      <c r="JN5" s="5">
        <f t="shared" ca="1" si="4"/>
        <v>9999</v>
      </c>
      <c r="JO5" s="5">
        <f t="shared" ca="1" si="4"/>
        <v>9999</v>
      </c>
      <c r="JP5" s="5">
        <f t="shared" ca="1" si="4"/>
        <v>9999</v>
      </c>
      <c r="JQ5" s="5">
        <f t="shared" ca="1" si="4"/>
        <v>9999</v>
      </c>
      <c r="JR5" s="5">
        <f t="shared" ca="1" si="4"/>
        <v>9999</v>
      </c>
      <c r="JS5" s="5">
        <f t="shared" ca="1" si="4"/>
        <v>9999</v>
      </c>
      <c r="JT5" s="5">
        <f t="shared" ca="1" si="4"/>
        <v>9999</v>
      </c>
      <c r="JU5" s="5">
        <f t="shared" ca="1" si="4"/>
        <v>9999</v>
      </c>
      <c r="JV5" s="5">
        <f t="shared" ca="1" si="4"/>
        <v>9999</v>
      </c>
      <c r="JW5" s="5">
        <f t="shared" ca="1" si="4"/>
        <v>9999</v>
      </c>
      <c r="JX5" s="5">
        <f t="shared" ca="1" si="4"/>
        <v>9999</v>
      </c>
      <c r="JY5" s="5">
        <f t="shared" ca="1" si="4"/>
        <v>9999</v>
      </c>
      <c r="JZ5" s="5">
        <f t="shared" ca="1" si="4"/>
        <v>9999</v>
      </c>
      <c r="KA5" s="5">
        <f t="shared" ca="1" si="4"/>
        <v>9999</v>
      </c>
      <c r="KB5" s="5">
        <f t="shared" ca="1" si="4"/>
        <v>9999</v>
      </c>
      <c r="KC5" s="5">
        <f t="shared" ca="1" si="4"/>
        <v>9999</v>
      </c>
      <c r="KD5" s="5">
        <f t="shared" ca="1" si="4"/>
        <v>9999</v>
      </c>
      <c r="KE5" s="5">
        <f t="shared" ca="1" si="4"/>
        <v>9999</v>
      </c>
      <c r="KF5" s="5">
        <f t="shared" ca="1" si="4"/>
        <v>9999</v>
      </c>
      <c r="KG5" s="5">
        <f t="shared" ca="1" si="4"/>
        <v>9999</v>
      </c>
      <c r="KH5" s="5">
        <f t="shared" ca="1" si="4"/>
        <v>9999</v>
      </c>
      <c r="KI5" s="5">
        <f t="shared" ca="1" si="4"/>
        <v>9999</v>
      </c>
      <c r="KJ5" s="5">
        <f t="shared" ca="1" si="4"/>
        <v>9999</v>
      </c>
      <c r="KK5" s="5">
        <f t="shared" ca="1" si="4"/>
        <v>9999</v>
      </c>
      <c r="KL5" s="5">
        <f t="shared" ca="1" si="4"/>
        <v>9999</v>
      </c>
      <c r="KM5" s="5">
        <f t="shared" ca="1" si="4"/>
        <v>9999</v>
      </c>
      <c r="KN5" s="5">
        <f t="shared" ca="1" si="4"/>
        <v>9999</v>
      </c>
      <c r="KO5" s="5">
        <f t="shared" ca="1" si="4"/>
        <v>9999</v>
      </c>
      <c r="KP5" s="5">
        <f t="shared" ca="1" si="4"/>
        <v>9999</v>
      </c>
      <c r="KQ5" s="5">
        <f t="shared" ca="1" si="4"/>
        <v>9999</v>
      </c>
      <c r="KR5" s="5">
        <f t="shared" ca="1" si="4"/>
        <v>9999</v>
      </c>
      <c r="KS5" s="5">
        <f t="shared" ca="1" si="4"/>
        <v>9999</v>
      </c>
      <c r="KT5" s="5">
        <f t="shared" ca="1" si="4"/>
        <v>9999</v>
      </c>
      <c r="KU5" s="5">
        <f t="shared" ca="1" si="4"/>
        <v>9999</v>
      </c>
      <c r="KV5" s="5">
        <f t="shared" ca="1" si="4"/>
        <v>9999</v>
      </c>
      <c r="KW5" s="5">
        <f t="shared" ca="1" si="4"/>
        <v>9999</v>
      </c>
      <c r="KX5" s="5">
        <f t="shared" ca="1" si="4"/>
        <v>9999</v>
      </c>
      <c r="KY5" s="5">
        <f t="shared" ca="1" si="4"/>
        <v>9999</v>
      </c>
      <c r="KZ5" s="5">
        <f t="shared" ca="1" si="4"/>
        <v>9999</v>
      </c>
      <c r="LA5" s="5">
        <f t="shared" ca="1" si="4"/>
        <v>9999</v>
      </c>
      <c r="LB5" s="5">
        <f t="shared" ca="1" si="4"/>
        <v>9999</v>
      </c>
      <c r="LC5" s="5">
        <f t="shared" ca="1" si="4"/>
        <v>9999</v>
      </c>
      <c r="LD5" s="5">
        <f t="shared" ca="1" si="4"/>
        <v>9999</v>
      </c>
      <c r="LE5" s="5">
        <f t="shared" ca="1" si="4"/>
        <v>9999</v>
      </c>
      <c r="LF5" s="5">
        <f t="shared" ca="1" si="4"/>
        <v>9999</v>
      </c>
      <c r="LG5" s="5">
        <f t="shared" ca="1" si="4"/>
        <v>9999</v>
      </c>
      <c r="LH5" s="5">
        <f t="shared" ca="1" si="4"/>
        <v>9999</v>
      </c>
      <c r="LI5" s="5">
        <f t="shared" ca="1" si="4"/>
        <v>9999</v>
      </c>
      <c r="LJ5" s="5">
        <f t="shared" ca="1" si="4"/>
        <v>9999</v>
      </c>
      <c r="LK5" s="5">
        <f t="shared" ca="1" si="4"/>
        <v>9999</v>
      </c>
      <c r="LL5" s="5">
        <f t="shared" ca="1" si="4"/>
        <v>9999</v>
      </c>
      <c r="LM5" s="5">
        <f t="shared" ca="1" si="4"/>
        <v>9999</v>
      </c>
      <c r="LN5" s="5">
        <f t="shared" ref="LN5:NY5" ca="1" si="5">INDIRECT(CONCATENATE($A5,"!",LEFT(LN$2,1),MID(LN$2,2,256)+LN$1-1))</f>
        <v>9999</v>
      </c>
      <c r="LO5" s="5">
        <f t="shared" ca="1" si="5"/>
        <v>9999</v>
      </c>
      <c r="LP5" s="5">
        <f t="shared" ca="1" si="5"/>
        <v>9999</v>
      </c>
      <c r="LQ5" s="5">
        <f t="shared" ca="1" si="5"/>
        <v>9999</v>
      </c>
      <c r="LR5" s="5">
        <f t="shared" ca="1" si="5"/>
        <v>9999</v>
      </c>
      <c r="LS5" s="5">
        <f t="shared" ca="1" si="5"/>
        <v>9999</v>
      </c>
      <c r="LT5" s="5">
        <f t="shared" ca="1" si="5"/>
        <v>9999</v>
      </c>
      <c r="LU5" s="5">
        <f t="shared" ca="1" si="5"/>
        <v>9999</v>
      </c>
      <c r="LV5" s="5">
        <f t="shared" ca="1" si="5"/>
        <v>9999</v>
      </c>
      <c r="LW5" s="5">
        <f t="shared" ca="1" si="5"/>
        <v>9999</v>
      </c>
      <c r="LX5" s="5">
        <f t="shared" ca="1" si="5"/>
        <v>9999</v>
      </c>
      <c r="LY5" s="5">
        <f t="shared" ca="1" si="5"/>
        <v>9999</v>
      </c>
      <c r="LZ5" s="5">
        <f t="shared" ca="1" si="5"/>
        <v>9999</v>
      </c>
      <c r="MA5" s="5">
        <f t="shared" ca="1" si="5"/>
        <v>9999</v>
      </c>
      <c r="MB5" s="5">
        <f t="shared" ca="1" si="5"/>
        <v>9999</v>
      </c>
      <c r="MC5" s="5">
        <f t="shared" ca="1" si="5"/>
        <v>9999</v>
      </c>
      <c r="MD5" s="5">
        <f t="shared" ca="1" si="5"/>
        <v>9999</v>
      </c>
      <c r="ME5" s="5">
        <f t="shared" ca="1" si="5"/>
        <v>9999</v>
      </c>
      <c r="MF5" s="5">
        <f t="shared" ca="1" si="5"/>
        <v>9999</v>
      </c>
      <c r="MG5" s="5">
        <f t="shared" ca="1" si="5"/>
        <v>9999</v>
      </c>
      <c r="MH5" s="5">
        <f t="shared" ca="1" si="5"/>
        <v>9999</v>
      </c>
      <c r="MI5" s="5">
        <f t="shared" ca="1" si="5"/>
        <v>9999</v>
      </c>
      <c r="MJ5" s="5">
        <f t="shared" ca="1" si="5"/>
        <v>9999</v>
      </c>
      <c r="MK5" s="5">
        <f t="shared" ca="1" si="5"/>
        <v>9999</v>
      </c>
      <c r="ML5" s="5">
        <f t="shared" ca="1" si="5"/>
        <v>9999</v>
      </c>
      <c r="MM5" s="5">
        <f t="shared" ca="1" si="5"/>
        <v>9999</v>
      </c>
      <c r="MN5" s="5">
        <f t="shared" ca="1" si="5"/>
        <v>9999</v>
      </c>
      <c r="MO5" s="5">
        <f t="shared" ca="1" si="5"/>
        <v>9999</v>
      </c>
      <c r="MP5" s="5">
        <f t="shared" ca="1" si="5"/>
        <v>9999</v>
      </c>
      <c r="MQ5" s="5">
        <f t="shared" ca="1" si="5"/>
        <v>9999</v>
      </c>
      <c r="MR5" s="5">
        <f t="shared" ca="1" si="5"/>
        <v>9999</v>
      </c>
      <c r="MS5" s="5">
        <f t="shared" ca="1" si="5"/>
        <v>9999</v>
      </c>
      <c r="MT5" s="5">
        <f t="shared" ca="1" si="5"/>
        <v>9999</v>
      </c>
      <c r="MU5" s="5">
        <f t="shared" ca="1" si="5"/>
        <v>9999</v>
      </c>
      <c r="MV5" s="5">
        <f t="shared" ca="1" si="5"/>
        <v>9999</v>
      </c>
      <c r="MW5" s="5">
        <f t="shared" ca="1" si="5"/>
        <v>9999</v>
      </c>
      <c r="MX5" s="5">
        <f t="shared" ca="1" si="5"/>
        <v>9999</v>
      </c>
      <c r="MY5" s="5">
        <f t="shared" ca="1" si="5"/>
        <v>9999</v>
      </c>
      <c r="MZ5" s="5">
        <f t="shared" ca="1" si="5"/>
        <v>9999</v>
      </c>
      <c r="NA5" s="5">
        <f t="shared" ca="1" si="5"/>
        <v>9999</v>
      </c>
      <c r="NB5" s="5">
        <f t="shared" ca="1" si="5"/>
        <v>9999</v>
      </c>
      <c r="NC5" s="5">
        <f t="shared" ca="1" si="5"/>
        <v>9999</v>
      </c>
      <c r="ND5" s="5">
        <f t="shared" ca="1" si="5"/>
        <v>9999</v>
      </c>
      <c r="NE5" s="5">
        <f t="shared" ca="1" si="5"/>
        <v>9999</v>
      </c>
      <c r="NF5" s="5">
        <f t="shared" ca="1" si="5"/>
        <v>9999</v>
      </c>
      <c r="NG5" s="5">
        <f t="shared" ca="1" si="5"/>
        <v>9999</v>
      </c>
      <c r="NH5" s="5">
        <f t="shared" ca="1" si="5"/>
        <v>9999</v>
      </c>
      <c r="NI5" s="5">
        <f t="shared" ca="1" si="5"/>
        <v>9999</v>
      </c>
      <c r="NJ5" s="5">
        <f t="shared" ca="1" si="5"/>
        <v>9999</v>
      </c>
      <c r="NK5" s="5">
        <f t="shared" ca="1" si="5"/>
        <v>9999</v>
      </c>
      <c r="NL5" s="5">
        <f t="shared" ca="1" si="5"/>
        <v>9999</v>
      </c>
      <c r="NM5" s="5">
        <f t="shared" ca="1" si="5"/>
        <v>9999</v>
      </c>
      <c r="NN5" s="5">
        <f t="shared" ca="1" si="5"/>
        <v>9999</v>
      </c>
      <c r="NO5" s="5">
        <f t="shared" ca="1" si="5"/>
        <v>9999</v>
      </c>
      <c r="NP5" s="5">
        <f t="shared" ca="1" si="5"/>
        <v>9999</v>
      </c>
      <c r="NQ5" s="5">
        <f t="shared" ca="1" si="5"/>
        <v>9999</v>
      </c>
      <c r="NR5" s="5">
        <f t="shared" ca="1" si="5"/>
        <v>9999</v>
      </c>
      <c r="NS5" s="5">
        <f t="shared" ca="1" si="5"/>
        <v>9999</v>
      </c>
      <c r="NT5" s="5">
        <f t="shared" ca="1" si="5"/>
        <v>9999</v>
      </c>
      <c r="NU5" s="5">
        <f t="shared" ca="1" si="5"/>
        <v>9999</v>
      </c>
      <c r="NV5" s="5">
        <f t="shared" ca="1" si="5"/>
        <v>9999</v>
      </c>
      <c r="NW5" s="5">
        <f t="shared" ca="1" si="5"/>
        <v>9999</v>
      </c>
      <c r="NX5" s="5">
        <f t="shared" ca="1" si="5"/>
        <v>9999</v>
      </c>
      <c r="NY5" s="5">
        <f t="shared" ca="1" si="5"/>
        <v>9999</v>
      </c>
      <c r="NZ5" s="5">
        <f t="shared" ref="NZ5:QK5" ca="1" si="6">INDIRECT(CONCATENATE($A5,"!",LEFT(NZ$2,1),MID(NZ$2,2,256)+NZ$1-1))</f>
        <v>9999</v>
      </c>
      <c r="OA5" s="5">
        <f t="shared" ca="1" si="6"/>
        <v>9999</v>
      </c>
      <c r="OB5" s="5">
        <f t="shared" ca="1" si="6"/>
        <v>9999</v>
      </c>
      <c r="OC5" s="5">
        <f t="shared" ca="1" si="6"/>
        <v>9999</v>
      </c>
      <c r="OD5" s="5">
        <f t="shared" ca="1" si="6"/>
        <v>9999</v>
      </c>
      <c r="OE5" s="5">
        <f t="shared" ca="1" si="6"/>
        <v>9999</v>
      </c>
      <c r="OF5" s="5">
        <f t="shared" ca="1" si="6"/>
        <v>9999</v>
      </c>
      <c r="OG5" s="5">
        <f t="shared" ca="1" si="6"/>
        <v>9999</v>
      </c>
      <c r="OH5" s="5">
        <f t="shared" ca="1" si="6"/>
        <v>9999</v>
      </c>
      <c r="OI5" s="5">
        <f t="shared" ca="1" si="6"/>
        <v>9999</v>
      </c>
      <c r="OJ5" s="5">
        <f t="shared" ca="1" si="6"/>
        <v>9999</v>
      </c>
      <c r="OK5" s="5">
        <f t="shared" ca="1" si="6"/>
        <v>9999</v>
      </c>
      <c r="OL5" s="5">
        <f t="shared" ca="1" si="6"/>
        <v>9999</v>
      </c>
      <c r="OM5" s="5">
        <f t="shared" ca="1" si="6"/>
        <v>9999</v>
      </c>
      <c r="ON5" s="5">
        <f t="shared" ca="1" si="6"/>
        <v>9999</v>
      </c>
      <c r="OO5" s="5">
        <f t="shared" ca="1" si="6"/>
        <v>9999</v>
      </c>
      <c r="OP5" s="5">
        <f t="shared" ca="1" si="6"/>
        <v>9999</v>
      </c>
      <c r="OQ5" s="5">
        <f t="shared" ca="1" si="6"/>
        <v>9999</v>
      </c>
      <c r="OR5" s="5">
        <f t="shared" ca="1" si="6"/>
        <v>9999</v>
      </c>
      <c r="OS5" s="5">
        <f t="shared" ca="1" si="6"/>
        <v>9999</v>
      </c>
      <c r="OT5" s="5">
        <f t="shared" ca="1" si="6"/>
        <v>9999</v>
      </c>
      <c r="OU5" s="5">
        <f t="shared" ca="1" si="6"/>
        <v>9999</v>
      </c>
      <c r="OV5" s="5">
        <f t="shared" ca="1" si="6"/>
        <v>9999</v>
      </c>
      <c r="OW5" s="5">
        <f t="shared" ca="1" si="6"/>
        <v>9999</v>
      </c>
      <c r="OX5" s="5">
        <f t="shared" ca="1" si="6"/>
        <v>9999</v>
      </c>
      <c r="OY5" s="5">
        <f t="shared" ca="1" si="6"/>
        <v>9999</v>
      </c>
      <c r="OZ5" s="5">
        <f t="shared" ca="1" si="6"/>
        <v>9999</v>
      </c>
      <c r="PA5" s="5">
        <f t="shared" ca="1" si="6"/>
        <v>9999</v>
      </c>
      <c r="PB5" s="5">
        <f t="shared" ca="1" si="6"/>
        <v>9999</v>
      </c>
      <c r="PC5" s="5">
        <f t="shared" ca="1" si="6"/>
        <v>9999</v>
      </c>
      <c r="PD5" s="5">
        <f t="shared" ca="1" si="6"/>
        <v>9999</v>
      </c>
      <c r="PE5" s="5">
        <f t="shared" ca="1" si="6"/>
        <v>9999</v>
      </c>
      <c r="PF5" s="5">
        <f t="shared" ca="1" si="6"/>
        <v>9999</v>
      </c>
      <c r="PG5" s="5">
        <f t="shared" ca="1" si="6"/>
        <v>9999</v>
      </c>
      <c r="PH5" s="5">
        <f t="shared" ca="1" si="6"/>
        <v>9999</v>
      </c>
      <c r="PI5" s="5">
        <f t="shared" ca="1" si="6"/>
        <v>9999</v>
      </c>
      <c r="PJ5" s="5">
        <f t="shared" ca="1" si="6"/>
        <v>9999</v>
      </c>
      <c r="PK5" s="5">
        <f t="shared" ca="1" si="6"/>
        <v>9999</v>
      </c>
      <c r="PL5" s="5">
        <f t="shared" ca="1" si="6"/>
        <v>9999</v>
      </c>
      <c r="PM5" s="5">
        <f t="shared" ca="1" si="6"/>
        <v>9999</v>
      </c>
      <c r="PN5" s="5">
        <f t="shared" ca="1" si="6"/>
        <v>9999</v>
      </c>
      <c r="PO5" s="5">
        <f t="shared" ca="1" si="6"/>
        <v>9999</v>
      </c>
      <c r="PP5" s="5">
        <f t="shared" ca="1" si="6"/>
        <v>9999</v>
      </c>
      <c r="PQ5" s="5">
        <f t="shared" ca="1" si="6"/>
        <v>9999</v>
      </c>
      <c r="PR5" s="5">
        <f t="shared" ca="1" si="6"/>
        <v>9999</v>
      </c>
      <c r="PS5" s="5">
        <f t="shared" ca="1" si="6"/>
        <v>9999</v>
      </c>
      <c r="PT5" s="5">
        <f t="shared" ca="1" si="6"/>
        <v>9999</v>
      </c>
      <c r="PU5" s="5">
        <f t="shared" ca="1" si="6"/>
        <v>9999</v>
      </c>
      <c r="PV5" s="5">
        <f t="shared" ca="1" si="6"/>
        <v>9999</v>
      </c>
      <c r="PW5" s="5">
        <f t="shared" ca="1" si="6"/>
        <v>9999</v>
      </c>
      <c r="PX5" s="5">
        <f t="shared" ca="1" si="6"/>
        <v>9999</v>
      </c>
      <c r="PY5" s="5">
        <f t="shared" ca="1" si="6"/>
        <v>9999</v>
      </c>
      <c r="PZ5" s="5">
        <f t="shared" ca="1" si="6"/>
        <v>9999</v>
      </c>
      <c r="QA5" s="5">
        <f t="shared" ca="1" si="6"/>
        <v>9999</v>
      </c>
      <c r="QB5" s="5">
        <f t="shared" ca="1" si="6"/>
        <v>9999</v>
      </c>
      <c r="QC5" s="5">
        <f t="shared" ca="1" si="6"/>
        <v>9999</v>
      </c>
      <c r="QD5" s="5">
        <f t="shared" ca="1" si="6"/>
        <v>9999</v>
      </c>
      <c r="QE5" s="5">
        <f t="shared" ca="1" si="6"/>
        <v>9999</v>
      </c>
      <c r="QF5" s="5">
        <f t="shared" ca="1" si="6"/>
        <v>9999</v>
      </c>
      <c r="QG5" s="5">
        <f t="shared" ca="1" si="6"/>
        <v>9999</v>
      </c>
      <c r="QH5" s="5">
        <f t="shared" ca="1" si="6"/>
        <v>9999</v>
      </c>
      <c r="QI5" s="5">
        <f t="shared" ca="1" si="6"/>
        <v>9999</v>
      </c>
      <c r="QJ5" s="5">
        <f t="shared" ca="1" si="6"/>
        <v>9999</v>
      </c>
      <c r="QK5" s="5">
        <f t="shared" ca="1" si="6"/>
        <v>9999</v>
      </c>
      <c r="QL5" s="5">
        <f t="shared" ref="QL5:SW5" ca="1" si="7">INDIRECT(CONCATENATE($A5,"!",LEFT(QL$2,1),MID(QL$2,2,256)+QL$1-1))</f>
        <v>9999</v>
      </c>
      <c r="QM5" s="5">
        <f t="shared" ca="1" si="7"/>
        <v>9999</v>
      </c>
      <c r="QN5" s="5">
        <f t="shared" ca="1" si="7"/>
        <v>9999</v>
      </c>
      <c r="QO5" s="5">
        <f t="shared" ca="1" si="7"/>
        <v>9999</v>
      </c>
      <c r="QP5" s="5">
        <f t="shared" ca="1" si="7"/>
        <v>9999</v>
      </c>
      <c r="QQ5" s="5">
        <f t="shared" ca="1" si="7"/>
        <v>9999</v>
      </c>
      <c r="QR5" s="5">
        <f t="shared" ca="1" si="7"/>
        <v>9999</v>
      </c>
      <c r="QS5" s="5">
        <f t="shared" ca="1" si="7"/>
        <v>9999</v>
      </c>
      <c r="QT5" s="5">
        <f t="shared" ca="1" si="7"/>
        <v>9999</v>
      </c>
      <c r="QU5" s="5">
        <f t="shared" ca="1" si="7"/>
        <v>9999</v>
      </c>
      <c r="QV5" s="5">
        <f t="shared" ca="1" si="7"/>
        <v>9999</v>
      </c>
      <c r="QW5" s="5">
        <f t="shared" ca="1" si="7"/>
        <v>9999</v>
      </c>
      <c r="QX5" s="5">
        <f t="shared" ca="1" si="7"/>
        <v>9999</v>
      </c>
      <c r="QY5" s="5">
        <f t="shared" ca="1" si="7"/>
        <v>9999</v>
      </c>
      <c r="QZ5" s="5">
        <f t="shared" ca="1" si="7"/>
        <v>9999</v>
      </c>
      <c r="RA5" s="5">
        <f t="shared" ca="1" si="7"/>
        <v>9999</v>
      </c>
      <c r="RB5" s="5">
        <f t="shared" ca="1" si="7"/>
        <v>9999</v>
      </c>
      <c r="RC5" s="5">
        <f t="shared" ca="1" si="7"/>
        <v>9999</v>
      </c>
      <c r="RD5" s="5">
        <f t="shared" ca="1" si="7"/>
        <v>9999</v>
      </c>
      <c r="RE5" s="5">
        <f t="shared" ca="1" si="7"/>
        <v>9999</v>
      </c>
      <c r="RF5" s="5">
        <f t="shared" ca="1" si="7"/>
        <v>9999</v>
      </c>
      <c r="RG5" s="5">
        <f t="shared" ca="1" si="7"/>
        <v>9999</v>
      </c>
      <c r="RH5" s="5">
        <f t="shared" ca="1" si="7"/>
        <v>9999</v>
      </c>
      <c r="RI5" s="5">
        <f t="shared" ca="1" si="7"/>
        <v>9999</v>
      </c>
      <c r="RJ5" s="5">
        <f t="shared" ca="1" si="7"/>
        <v>9999</v>
      </c>
      <c r="RK5" s="5">
        <f t="shared" ca="1" si="7"/>
        <v>9999</v>
      </c>
      <c r="RL5" s="5">
        <f t="shared" ca="1" si="7"/>
        <v>9999</v>
      </c>
      <c r="RM5" s="5">
        <f t="shared" ca="1" si="7"/>
        <v>9999</v>
      </c>
      <c r="RN5" s="5">
        <f t="shared" ca="1" si="7"/>
        <v>9999</v>
      </c>
      <c r="RO5" s="5">
        <f t="shared" ca="1" si="7"/>
        <v>9999</v>
      </c>
      <c r="RP5" s="5">
        <f t="shared" ca="1" si="7"/>
        <v>9999</v>
      </c>
      <c r="RQ5" s="5">
        <f t="shared" ca="1" si="7"/>
        <v>9999</v>
      </c>
      <c r="RR5" s="5">
        <f t="shared" ca="1" si="7"/>
        <v>9999</v>
      </c>
      <c r="RS5" s="5">
        <f t="shared" ca="1" si="7"/>
        <v>9999</v>
      </c>
      <c r="RT5" s="5">
        <f t="shared" ca="1" si="7"/>
        <v>9999</v>
      </c>
      <c r="RU5" s="5">
        <f t="shared" ca="1" si="7"/>
        <v>9999</v>
      </c>
      <c r="RV5" s="5">
        <f t="shared" ca="1" si="7"/>
        <v>9999</v>
      </c>
      <c r="RW5" s="5">
        <f t="shared" ca="1" si="7"/>
        <v>9999</v>
      </c>
      <c r="RX5" s="5">
        <f t="shared" ca="1" si="7"/>
        <v>9999</v>
      </c>
      <c r="RY5" s="5">
        <f t="shared" ca="1" si="7"/>
        <v>9999</v>
      </c>
      <c r="RZ5" s="5">
        <f t="shared" ca="1" si="7"/>
        <v>9999</v>
      </c>
      <c r="SA5" s="5">
        <f t="shared" ca="1" si="7"/>
        <v>9999</v>
      </c>
      <c r="SB5" s="5">
        <f t="shared" ca="1" si="7"/>
        <v>9999</v>
      </c>
      <c r="SC5" s="5">
        <f t="shared" ca="1" si="7"/>
        <v>9999</v>
      </c>
      <c r="SD5" s="5">
        <f t="shared" ca="1" si="7"/>
        <v>9999</v>
      </c>
      <c r="SE5" s="5">
        <f t="shared" ca="1" si="7"/>
        <v>9999</v>
      </c>
      <c r="SF5" s="5">
        <f t="shared" ca="1" si="7"/>
        <v>9999</v>
      </c>
      <c r="SG5" s="5">
        <f t="shared" ca="1" si="7"/>
        <v>9999</v>
      </c>
      <c r="SH5" s="5">
        <f t="shared" ca="1" si="7"/>
        <v>9999</v>
      </c>
      <c r="SI5" s="5">
        <f t="shared" ca="1" si="7"/>
        <v>9999</v>
      </c>
      <c r="SJ5" s="5">
        <f t="shared" ca="1" si="7"/>
        <v>9999</v>
      </c>
      <c r="SK5" s="5">
        <f t="shared" ca="1" si="7"/>
        <v>9999</v>
      </c>
      <c r="SL5" s="5">
        <f t="shared" ca="1" si="7"/>
        <v>9999</v>
      </c>
      <c r="SM5" s="5">
        <f t="shared" ca="1" si="7"/>
        <v>9999</v>
      </c>
      <c r="SN5" s="5">
        <f t="shared" ca="1" si="7"/>
        <v>9999</v>
      </c>
      <c r="SO5" s="5">
        <f t="shared" ca="1" si="7"/>
        <v>9999</v>
      </c>
      <c r="SP5" s="5">
        <f t="shared" ca="1" si="7"/>
        <v>9999</v>
      </c>
      <c r="SQ5" s="5">
        <f t="shared" ca="1" si="7"/>
        <v>9999</v>
      </c>
      <c r="SR5" s="5">
        <f t="shared" ca="1" si="7"/>
        <v>9999</v>
      </c>
      <c r="SS5" s="5">
        <f t="shared" ca="1" si="7"/>
        <v>9999</v>
      </c>
      <c r="ST5" s="5">
        <f t="shared" ca="1" si="7"/>
        <v>9999</v>
      </c>
      <c r="SU5" s="5">
        <f t="shared" ca="1" si="7"/>
        <v>9999</v>
      </c>
      <c r="SV5" s="5">
        <f t="shared" ca="1" si="7"/>
        <v>9999</v>
      </c>
      <c r="SW5" s="5">
        <f t="shared" ca="1" si="7"/>
        <v>9999</v>
      </c>
      <c r="SX5" s="5">
        <f t="shared" ref="SX5:VI5" ca="1" si="8">INDIRECT(CONCATENATE($A5,"!",LEFT(SX$2,1),MID(SX$2,2,256)+SX$1-1))</f>
        <v>9999</v>
      </c>
      <c r="SY5" s="5">
        <f t="shared" ca="1" si="8"/>
        <v>9999</v>
      </c>
      <c r="SZ5" s="5">
        <f t="shared" ca="1" si="8"/>
        <v>9999</v>
      </c>
      <c r="TA5" s="5">
        <f t="shared" ca="1" si="8"/>
        <v>9999</v>
      </c>
      <c r="TB5" s="5">
        <f t="shared" ca="1" si="8"/>
        <v>9999</v>
      </c>
      <c r="TC5" s="5">
        <f t="shared" ca="1" si="8"/>
        <v>9999</v>
      </c>
      <c r="TD5" s="5">
        <f t="shared" ca="1" si="8"/>
        <v>9999</v>
      </c>
      <c r="TE5" s="5">
        <f t="shared" ca="1" si="8"/>
        <v>9999</v>
      </c>
      <c r="TF5" s="5">
        <f t="shared" ca="1" si="8"/>
        <v>9999</v>
      </c>
      <c r="TG5" s="5">
        <f t="shared" ca="1" si="8"/>
        <v>9999</v>
      </c>
      <c r="TH5" s="5">
        <f t="shared" ca="1" si="8"/>
        <v>9999</v>
      </c>
      <c r="TI5" s="5">
        <f t="shared" ca="1" si="8"/>
        <v>9999</v>
      </c>
      <c r="TJ5" s="5">
        <f t="shared" ca="1" si="8"/>
        <v>9999</v>
      </c>
      <c r="TK5" s="5">
        <f t="shared" ca="1" si="8"/>
        <v>9999</v>
      </c>
      <c r="TL5" s="5">
        <f t="shared" ca="1" si="8"/>
        <v>9999</v>
      </c>
      <c r="TM5" s="5">
        <f t="shared" ca="1" si="8"/>
        <v>9999</v>
      </c>
      <c r="TN5" s="5">
        <f t="shared" ca="1" si="8"/>
        <v>9999</v>
      </c>
      <c r="TO5" s="5">
        <f t="shared" ca="1" si="8"/>
        <v>9999</v>
      </c>
      <c r="TP5" s="5">
        <f t="shared" ca="1" si="8"/>
        <v>9999</v>
      </c>
      <c r="TQ5" s="5">
        <f t="shared" ca="1" si="8"/>
        <v>9999</v>
      </c>
      <c r="TR5" s="5">
        <f t="shared" ca="1" si="8"/>
        <v>9999</v>
      </c>
      <c r="TS5" s="5">
        <f t="shared" ca="1" si="8"/>
        <v>9999</v>
      </c>
      <c r="TT5" s="5">
        <f t="shared" ca="1" si="8"/>
        <v>9999</v>
      </c>
      <c r="TU5" s="5">
        <f t="shared" ca="1" si="8"/>
        <v>9999</v>
      </c>
      <c r="TV5" s="5">
        <f t="shared" ca="1" si="8"/>
        <v>9999</v>
      </c>
      <c r="TW5" s="5">
        <f t="shared" ca="1" si="8"/>
        <v>9999</v>
      </c>
      <c r="TX5" s="5">
        <f t="shared" ca="1" si="8"/>
        <v>9999</v>
      </c>
      <c r="TY5" s="5">
        <f t="shared" ca="1" si="8"/>
        <v>9999</v>
      </c>
      <c r="TZ5" s="5">
        <f t="shared" ca="1" si="8"/>
        <v>9999</v>
      </c>
      <c r="UA5" s="5">
        <f t="shared" ca="1" si="8"/>
        <v>9999</v>
      </c>
      <c r="UB5" s="5">
        <f t="shared" ca="1" si="8"/>
        <v>9999</v>
      </c>
      <c r="UC5" s="5">
        <f t="shared" ca="1" si="8"/>
        <v>9999</v>
      </c>
      <c r="UD5" s="5">
        <f t="shared" ca="1" si="8"/>
        <v>9999</v>
      </c>
      <c r="UE5" s="5">
        <f t="shared" ca="1" si="8"/>
        <v>9999</v>
      </c>
      <c r="UF5" s="5">
        <f t="shared" ca="1" si="8"/>
        <v>9999</v>
      </c>
      <c r="UG5" s="5">
        <f t="shared" ca="1" si="8"/>
        <v>9999</v>
      </c>
      <c r="UH5" s="5">
        <f t="shared" ca="1" si="8"/>
        <v>9999</v>
      </c>
      <c r="UI5" s="5">
        <f t="shared" ca="1" si="8"/>
        <v>9999</v>
      </c>
      <c r="UJ5" s="5">
        <f t="shared" ca="1" si="8"/>
        <v>9999</v>
      </c>
      <c r="UK5" s="5">
        <f t="shared" ca="1" si="8"/>
        <v>9999</v>
      </c>
      <c r="UL5" s="5">
        <f t="shared" ca="1" si="8"/>
        <v>9999</v>
      </c>
      <c r="UM5" s="5">
        <f t="shared" ca="1" si="8"/>
        <v>9999</v>
      </c>
      <c r="UN5" s="5">
        <f t="shared" ca="1" si="8"/>
        <v>9999</v>
      </c>
      <c r="UO5" s="5">
        <f t="shared" ca="1" si="8"/>
        <v>9999</v>
      </c>
      <c r="UP5" s="5">
        <f t="shared" ca="1" si="8"/>
        <v>9999</v>
      </c>
      <c r="UQ5" s="5">
        <f t="shared" ca="1" si="8"/>
        <v>9999</v>
      </c>
      <c r="UR5" s="5">
        <f t="shared" ca="1" si="8"/>
        <v>9999</v>
      </c>
      <c r="US5" s="5">
        <f t="shared" ca="1" si="8"/>
        <v>9999</v>
      </c>
      <c r="UT5" s="5">
        <f t="shared" ca="1" si="8"/>
        <v>9999</v>
      </c>
      <c r="UU5" s="5">
        <f t="shared" ca="1" si="8"/>
        <v>9999</v>
      </c>
      <c r="UV5" s="5">
        <f t="shared" ca="1" si="8"/>
        <v>9999</v>
      </c>
      <c r="UW5" s="5">
        <f t="shared" ca="1" si="8"/>
        <v>9999</v>
      </c>
      <c r="UX5" s="5">
        <f t="shared" ca="1" si="8"/>
        <v>9999</v>
      </c>
      <c r="UY5" s="5">
        <f t="shared" ca="1" si="8"/>
        <v>9999</v>
      </c>
      <c r="UZ5" s="5">
        <f t="shared" ca="1" si="8"/>
        <v>9999</v>
      </c>
      <c r="VA5" s="5">
        <f t="shared" ca="1" si="8"/>
        <v>9999</v>
      </c>
      <c r="VB5" s="5">
        <f t="shared" ca="1" si="8"/>
        <v>9999</v>
      </c>
      <c r="VC5" s="5">
        <f t="shared" ca="1" si="8"/>
        <v>9999</v>
      </c>
      <c r="VD5" s="5">
        <f t="shared" ca="1" si="8"/>
        <v>9999</v>
      </c>
      <c r="VE5" s="5">
        <f t="shared" ca="1" si="8"/>
        <v>9999</v>
      </c>
      <c r="VF5" s="5">
        <f t="shared" ca="1" si="8"/>
        <v>9999</v>
      </c>
      <c r="VG5" s="5">
        <f t="shared" ca="1" si="8"/>
        <v>9999</v>
      </c>
      <c r="VH5" s="5">
        <f t="shared" ca="1" si="8"/>
        <v>9999</v>
      </c>
      <c r="VI5" s="5">
        <f t="shared" ca="1" si="8"/>
        <v>9999</v>
      </c>
      <c r="VJ5" s="5">
        <f t="shared" ref="VJ5:XU5" ca="1" si="9">INDIRECT(CONCATENATE($A5,"!",LEFT(VJ$2,1),MID(VJ$2,2,256)+VJ$1-1))</f>
        <v>9999</v>
      </c>
      <c r="VK5" s="5">
        <f t="shared" ca="1" si="9"/>
        <v>9999</v>
      </c>
      <c r="VL5" s="5">
        <f t="shared" ca="1" si="9"/>
        <v>9999</v>
      </c>
      <c r="VM5" s="5">
        <f t="shared" ca="1" si="9"/>
        <v>9999</v>
      </c>
      <c r="VN5" s="5">
        <f t="shared" ca="1" si="9"/>
        <v>9999</v>
      </c>
      <c r="VO5" s="5">
        <f t="shared" ca="1" si="9"/>
        <v>9999</v>
      </c>
      <c r="VP5" s="5">
        <f t="shared" ca="1" si="9"/>
        <v>9999</v>
      </c>
      <c r="VQ5" s="5">
        <f t="shared" ca="1" si="9"/>
        <v>9999</v>
      </c>
      <c r="VR5" s="5">
        <f t="shared" ca="1" si="9"/>
        <v>9999</v>
      </c>
      <c r="VS5" s="5">
        <f t="shared" ca="1" si="9"/>
        <v>9999</v>
      </c>
      <c r="VT5" s="5">
        <f t="shared" ca="1" si="9"/>
        <v>9999</v>
      </c>
      <c r="VU5" s="5">
        <f t="shared" ca="1" si="9"/>
        <v>9999</v>
      </c>
      <c r="VV5" s="5">
        <f t="shared" ca="1" si="9"/>
        <v>9999</v>
      </c>
      <c r="VW5" s="5">
        <f t="shared" ca="1" si="9"/>
        <v>9999</v>
      </c>
      <c r="VX5" s="5">
        <f t="shared" ca="1" si="9"/>
        <v>9999</v>
      </c>
      <c r="VY5" s="5">
        <f t="shared" ca="1" si="9"/>
        <v>9999</v>
      </c>
      <c r="VZ5" s="5">
        <f t="shared" ca="1" si="9"/>
        <v>9999</v>
      </c>
      <c r="WA5" s="5">
        <f t="shared" ca="1" si="9"/>
        <v>9999</v>
      </c>
      <c r="WB5" s="5">
        <f t="shared" ca="1" si="9"/>
        <v>9999</v>
      </c>
      <c r="WC5" s="5">
        <f t="shared" ca="1" si="9"/>
        <v>9999</v>
      </c>
      <c r="WD5" s="5">
        <f t="shared" ca="1" si="9"/>
        <v>9999</v>
      </c>
      <c r="WE5" s="5">
        <f t="shared" ca="1" si="9"/>
        <v>9999</v>
      </c>
      <c r="WF5" s="5">
        <f t="shared" ca="1" si="9"/>
        <v>9999</v>
      </c>
      <c r="WG5" s="5">
        <f t="shared" ca="1" si="9"/>
        <v>9999</v>
      </c>
      <c r="WH5" s="5">
        <f t="shared" ca="1" si="9"/>
        <v>9999</v>
      </c>
      <c r="WI5" s="5">
        <f t="shared" ca="1" si="9"/>
        <v>9999</v>
      </c>
      <c r="WJ5" s="5">
        <f t="shared" ca="1" si="9"/>
        <v>9999</v>
      </c>
      <c r="WK5" s="5">
        <f t="shared" ca="1" si="9"/>
        <v>9999</v>
      </c>
      <c r="WL5" s="5">
        <f t="shared" ca="1" si="9"/>
        <v>9999</v>
      </c>
      <c r="WM5" s="5">
        <f t="shared" ca="1" si="9"/>
        <v>9999</v>
      </c>
      <c r="WN5" s="5">
        <f t="shared" ca="1" si="9"/>
        <v>9999</v>
      </c>
      <c r="WO5" s="5">
        <f t="shared" ca="1" si="9"/>
        <v>9999</v>
      </c>
      <c r="WP5" s="5">
        <f t="shared" ca="1" si="9"/>
        <v>9999</v>
      </c>
      <c r="WQ5" s="5">
        <f t="shared" ca="1" si="9"/>
        <v>9999</v>
      </c>
      <c r="WR5" s="5">
        <f t="shared" ca="1" si="9"/>
        <v>9999</v>
      </c>
      <c r="WS5" s="5">
        <f t="shared" ca="1" si="9"/>
        <v>9999</v>
      </c>
      <c r="WT5" s="5">
        <f t="shared" ca="1" si="9"/>
        <v>9999</v>
      </c>
      <c r="WU5" s="5">
        <f t="shared" ca="1" si="9"/>
        <v>9999</v>
      </c>
      <c r="WV5" s="5">
        <f t="shared" ca="1" si="9"/>
        <v>9999</v>
      </c>
      <c r="WW5" s="5">
        <f t="shared" ca="1" si="9"/>
        <v>9999</v>
      </c>
      <c r="WX5" s="5">
        <f t="shared" ca="1" si="9"/>
        <v>9999</v>
      </c>
      <c r="WY5" s="5">
        <f t="shared" ca="1" si="9"/>
        <v>9999</v>
      </c>
      <c r="WZ5" s="5">
        <f t="shared" ca="1" si="9"/>
        <v>9999</v>
      </c>
      <c r="XA5" s="5">
        <f t="shared" ca="1" si="9"/>
        <v>9999</v>
      </c>
      <c r="XB5" s="5">
        <f t="shared" ca="1" si="9"/>
        <v>9999</v>
      </c>
      <c r="XC5" s="5">
        <f t="shared" ca="1" si="9"/>
        <v>9999</v>
      </c>
      <c r="XD5" s="5">
        <f t="shared" ca="1" si="9"/>
        <v>9999</v>
      </c>
      <c r="XE5" s="5">
        <f t="shared" ca="1" si="9"/>
        <v>9999</v>
      </c>
      <c r="XF5" s="5">
        <f t="shared" ca="1" si="9"/>
        <v>9999</v>
      </c>
      <c r="XG5" s="5">
        <f t="shared" ca="1" si="9"/>
        <v>9999</v>
      </c>
      <c r="XH5" s="5">
        <f t="shared" ca="1" si="9"/>
        <v>9999</v>
      </c>
      <c r="XI5" s="5">
        <f t="shared" ca="1" si="9"/>
        <v>9999</v>
      </c>
      <c r="XJ5" s="5">
        <f t="shared" ca="1" si="9"/>
        <v>9999</v>
      </c>
      <c r="XK5" s="5">
        <f t="shared" ca="1" si="9"/>
        <v>0</v>
      </c>
      <c r="XL5" s="5">
        <f t="shared" ca="1" si="9"/>
        <v>0</v>
      </c>
      <c r="XM5" s="5">
        <f t="shared" ca="1" si="9"/>
        <v>0</v>
      </c>
      <c r="XN5" s="5">
        <f t="shared" ca="1" si="9"/>
        <v>0</v>
      </c>
      <c r="XO5" s="5">
        <f t="shared" ca="1" si="9"/>
        <v>0</v>
      </c>
      <c r="XP5" s="5">
        <f t="shared" ca="1" si="9"/>
        <v>9999</v>
      </c>
      <c r="XQ5" s="5">
        <f t="shared" ca="1" si="9"/>
        <v>9999</v>
      </c>
      <c r="XR5" s="5">
        <f t="shared" ca="1" si="9"/>
        <v>9999</v>
      </c>
      <c r="XS5" s="5">
        <f t="shared" ca="1" si="9"/>
        <v>9999</v>
      </c>
      <c r="XT5" s="5">
        <f t="shared" ca="1" si="9"/>
        <v>9999</v>
      </c>
      <c r="XU5" s="5">
        <f t="shared" ca="1" si="9"/>
        <v>9999</v>
      </c>
      <c r="XV5" s="5">
        <f t="shared" ref="XV5:AAG5" ca="1" si="10">INDIRECT(CONCATENATE($A5,"!",LEFT(XV$2,1),MID(XV$2,2,256)+XV$1-1))</f>
        <v>9999</v>
      </c>
      <c r="XW5" s="5">
        <f t="shared" ca="1" si="10"/>
        <v>9999</v>
      </c>
      <c r="XX5" s="5">
        <f t="shared" ca="1" si="10"/>
        <v>9999</v>
      </c>
      <c r="XY5" s="5">
        <f t="shared" ca="1" si="10"/>
        <v>9999</v>
      </c>
      <c r="XZ5" s="5">
        <f t="shared" ca="1" si="10"/>
        <v>9999</v>
      </c>
      <c r="YA5" s="5">
        <f t="shared" ca="1" si="10"/>
        <v>9999</v>
      </c>
      <c r="YB5" s="5">
        <f t="shared" ca="1" si="10"/>
        <v>9999</v>
      </c>
      <c r="YC5" s="5">
        <f t="shared" ca="1" si="10"/>
        <v>9999</v>
      </c>
      <c r="YD5" s="5">
        <f t="shared" ca="1" si="10"/>
        <v>9999</v>
      </c>
      <c r="YE5" s="5">
        <f t="shared" ca="1" si="10"/>
        <v>9999</v>
      </c>
      <c r="YF5" s="5">
        <f t="shared" ca="1" si="10"/>
        <v>9999</v>
      </c>
      <c r="YG5" s="5">
        <f t="shared" ca="1" si="10"/>
        <v>9999</v>
      </c>
      <c r="YH5" s="5">
        <f t="shared" ca="1" si="10"/>
        <v>9999</v>
      </c>
      <c r="YI5" s="5">
        <f t="shared" ca="1" si="10"/>
        <v>9999</v>
      </c>
      <c r="YJ5" s="5">
        <f t="shared" ca="1" si="10"/>
        <v>9999</v>
      </c>
      <c r="YK5" s="5">
        <f t="shared" ca="1" si="10"/>
        <v>9999</v>
      </c>
      <c r="YL5" s="5">
        <f t="shared" ca="1" si="10"/>
        <v>9999</v>
      </c>
      <c r="YM5" s="5">
        <f t="shared" ca="1" si="10"/>
        <v>9999</v>
      </c>
      <c r="YN5" s="5">
        <f t="shared" ca="1" si="10"/>
        <v>9999</v>
      </c>
      <c r="YO5" s="5">
        <f t="shared" ca="1" si="10"/>
        <v>9999</v>
      </c>
      <c r="YP5" s="5">
        <f t="shared" ca="1" si="10"/>
        <v>9999</v>
      </c>
      <c r="YQ5" s="5">
        <f t="shared" ca="1" si="10"/>
        <v>9999</v>
      </c>
      <c r="YR5" s="5">
        <f t="shared" ca="1" si="10"/>
        <v>9999</v>
      </c>
      <c r="YS5" s="5">
        <f t="shared" ca="1" si="10"/>
        <v>9999</v>
      </c>
      <c r="YT5" s="5">
        <f t="shared" ca="1" si="10"/>
        <v>9999</v>
      </c>
      <c r="YU5" s="5">
        <f t="shared" ca="1" si="10"/>
        <v>9999</v>
      </c>
      <c r="YV5" s="5">
        <f t="shared" ca="1" si="10"/>
        <v>9999</v>
      </c>
      <c r="YW5" s="5">
        <f t="shared" ca="1" si="10"/>
        <v>9999</v>
      </c>
      <c r="YX5" s="5">
        <f t="shared" ca="1" si="10"/>
        <v>9999</v>
      </c>
      <c r="YY5" s="5">
        <f t="shared" ca="1" si="10"/>
        <v>9999</v>
      </c>
      <c r="YZ5" s="5">
        <f t="shared" ca="1" si="10"/>
        <v>9999</v>
      </c>
      <c r="ZA5" s="5">
        <f t="shared" ca="1" si="10"/>
        <v>9999</v>
      </c>
      <c r="ZB5" s="5">
        <f t="shared" ca="1" si="10"/>
        <v>9999</v>
      </c>
      <c r="ZC5" s="5">
        <f t="shared" ca="1" si="10"/>
        <v>9999</v>
      </c>
      <c r="ZD5" s="5">
        <f t="shared" ca="1" si="10"/>
        <v>9999</v>
      </c>
      <c r="ZE5" s="5">
        <f t="shared" ca="1" si="10"/>
        <v>9999</v>
      </c>
      <c r="ZF5" s="5">
        <f t="shared" ca="1" si="10"/>
        <v>9999</v>
      </c>
      <c r="ZG5" s="5">
        <f t="shared" ca="1" si="10"/>
        <v>9999</v>
      </c>
      <c r="ZH5" s="5">
        <f t="shared" ca="1" si="10"/>
        <v>9999</v>
      </c>
      <c r="ZI5" s="5">
        <f t="shared" ca="1" si="10"/>
        <v>0</v>
      </c>
      <c r="ZJ5" s="5">
        <f t="shared" ca="1" si="10"/>
        <v>0</v>
      </c>
      <c r="ZK5" s="5">
        <f t="shared" ca="1" si="10"/>
        <v>0</v>
      </c>
      <c r="ZL5" s="5">
        <f t="shared" ca="1" si="10"/>
        <v>0</v>
      </c>
      <c r="ZM5" s="5">
        <f t="shared" ca="1" si="10"/>
        <v>0</v>
      </c>
      <c r="ZN5" s="5">
        <f t="shared" ca="1" si="10"/>
        <v>9999</v>
      </c>
      <c r="ZO5" s="5">
        <f t="shared" ca="1" si="10"/>
        <v>9999</v>
      </c>
      <c r="ZP5" s="5">
        <f t="shared" ca="1" si="10"/>
        <v>9999</v>
      </c>
      <c r="ZQ5" s="5">
        <f t="shared" ca="1" si="10"/>
        <v>9999</v>
      </c>
      <c r="ZR5" s="5">
        <f t="shared" ca="1" si="10"/>
        <v>9999</v>
      </c>
      <c r="ZS5" s="5">
        <f t="shared" ca="1" si="10"/>
        <v>9999</v>
      </c>
      <c r="ZT5" s="5">
        <f t="shared" ca="1" si="10"/>
        <v>9999</v>
      </c>
      <c r="ZU5" s="5">
        <f t="shared" ca="1" si="10"/>
        <v>9999</v>
      </c>
      <c r="ZV5" s="5">
        <f t="shared" ca="1" si="10"/>
        <v>9999</v>
      </c>
      <c r="ZW5" s="5">
        <f t="shared" ca="1" si="10"/>
        <v>9999</v>
      </c>
      <c r="ZX5" s="5">
        <f t="shared" ca="1" si="10"/>
        <v>9999</v>
      </c>
      <c r="ZY5" s="5">
        <f t="shared" ca="1" si="10"/>
        <v>9999</v>
      </c>
      <c r="ZZ5" s="5">
        <f t="shared" ca="1" si="10"/>
        <v>9999</v>
      </c>
      <c r="AAA5" s="5">
        <f t="shared" ca="1" si="10"/>
        <v>9999</v>
      </c>
      <c r="AAB5" s="5">
        <f t="shared" ca="1" si="10"/>
        <v>9999</v>
      </c>
      <c r="AAC5" s="5">
        <f t="shared" ca="1" si="10"/>
        <v>9999</v>
      </c>
      <c r="AAD5" s="5">
        <f t="shared" ca="1" si="10"/>
        <v>9999</v>
      </c>
      <c r="AAE5" s="5">
        <f t="shared" ca="1" si="10"/>
        <v>9999</v>
      </c>
      <c r="AAF5" s="5">
        <f t="shared" ca="1" si="10"/>
        <v>9999</v>
      </c>
      <c r="AAG5" s="5">
        <f t="shared" ca="1" si="10"/>
        <v>9999</v>
      </c>
      <c r="AAH5" s="5">
        <f t="shared" ref="AAH5:ACS5" ca="1" si="11">INDIRECT(CONCATENATE($A5,"!",LEFT(AAH$2,1),MID(AAH$2,2,256)+AAH$1-1))</f>
        <v>9999</v>
      </c>
      <c r="AAI5" s="5">
        <f t="shared" ca="1" si="11"/>
        <v>9999</v>
      </c>
      <c r="AAJ5" s="5">
        <f t="shared" ca="1" si="11"/>
        <v>9999</v>
      </c>
      <c r="AAK5" s="5">
        <f t="shared" ca="1" si="11"/>
        <v>9999</v>
      </c>
      <c r="AAL5" s="5">
        <f t="shared" ca="1" si="11"/>
        <v>9999</v>
      </c>
      <c r="AAM5" s="5">
        <f t="shared" ca="1" si="11"/>
        <v>9999</v>
      </c>
      <c r="AAN5" s="5">
        <f t="shared" ca="1" si="11"/>
        <v>9999</v>
      </c>
      <c r="AAO5" s="5">
        <f t="shared" ca="1" si="11"/>
        <v>9999</v>
      </c>
      <c r="AAP5" s="5">
        <f t="shared" ca="1" si="11"/>
        <v>9999</v>
      </c>
      <c r="AAQ5" s="5">
        <f t="shared" ca="1" si="11"/>
        <v>9999</v>
      </c>
      <c r="AAR5" s="5">
        <f t="shared" ca="1" si="11"/>
        <v>9999</v>
      </c>
      <c r="AAS5" s="5">
        <f t="shared" ca="1" si="11"/>
        <v>9999</v>
      </c>
      <c r="AAT5" s="5">
        <f t="shared" ca="1" si="11"/>
        <v>9999</v>
      </c>
      <c r="AAU5" s="5">
        <f t="shared" ca="1" si="11"/>
        <v>9999</v>
      </c>
      <c r="AAV5" s="5">
        <f t="shared" ca="1" si="11"/>
        <v>9999</v>
      </c>
      <c r="AAW5" s="5">
        <f t="shared" ca="1" si="11"/>
        <v>9999</v>
      </c>
      <c r="AAX5" s="5">
        <f t="shared" ca="1" si="11"/>
        <v>9999</v>
      </c>
      <c r="AAY5" s="5">
        <f t="shared" ca="1" si="11"/>
        <v>9999</v>
      </c>
      <c r="AAZ5" s="5">
        <f t="shared" ca="1" si="11"/>
        <v>9999</v>
      </c>
      <c r="ABA5" s="5">
        <f t="shared" ca="1" si="11"/>
        <v>9999</v>
      </c>
      <c r="ABB5" s="5">
        <f t="shared" ca="1" si="11"/>
        <v>9999</v>
      </c>
      <c r="ABC5" s="5">
        <f t="shared" ca="1" si="11"/>
        <v>9999</v>
      </c>
      <c r="ABD5" s="5">
        <f t="shared" ca="1" si="11"/>
        <v>9999</v>
      </c>
      <c r="ABE5" s="5">
        <f t="shared" ca="1" si="11"/>
        <v>9999</v>
      </c>
      <c r="ABF5" s="5">
        <f t="shared" ca="1" si="11"/>
        <v>9999</v>
      </c>
      <c r="ABG5" s="5">
        <f t="shared" ca="1" si="11"/>
        <v>0</v>
      </c>
      <c r="ABH5" s="5">
        <f t="shared" ca="1" si="11"/>
        <v>0</v>
      </c>
      <c r="ABI5" s="5">
        <f t="shared" ca="1" si="11"/>
        <v>0</v>
      </c>
      <c r="ABJ5" s="5">
        <f t="shared" ca="1" si="11"/>
        <v>0</v>
      </c>
      <c r="ABK5" s="5">
        <f t="shared" ca="1" si="11"/>
        <v>0</v>
      </c>
      <c r="ABL5" s="5">
        <f t="shared" ca="1" si="11"/>
        <v>9999</v>
      </c>
      <c r="ABM5" s="5">
        <f t="shared" ca="1" si="11"/>
        <v>9999</v>
      </c>
      <c r="ABN5" s="5">
        <f t="shared" ca="1" si="11"/>
        <v>9999</v>
      </c>
      <c r="ABO5" s="5">
        <f t="shared" ca="1" si="11"/>
        <v>9999</v>
      </c>
      <c r="ABP5" s="5">
        <f t="shared" ca="1" si="11"/>
        <v>9999</v>
      </c>
      <c r="ABQ5" s="5">
        <f t="shared" ca="1" si="11"/>
        <v>9999</v>
      </c>
      <c r="ABR5" s="5">
        <f t="shared" ca="1" si="11"/>
        <v>9999</v>
      </c>
      <c r="ABS5" s="5">
        <f t="shared" ca="1" si="11"/>
        <v>9999</v>
      </c>
      <c r="ABT5" s="5">
        <f t="shared" ca="1" si="11"/>
        <v>9999</v>
      </c>
      <c r="ABU5" s="5">
        <f t="shared" ca="1" si="11"/>
        <v>9999</v>
      </c>
      <c r="ABV5" s="5">
        <f t="shared" ca="1" si="11"/>
        <v>9999</v>
      </c>
      <c r="ABW5" s="5">
        <f t="shared" ca="1" si="11"/>
        <v>9999</v>
      </c>
      <c r="ABX5" s="5">
        <f t="shared" ca="1" si="11"/>
        <v>9999</v>
      </c>
      <c r="ABY5" s="5">
        <f t="shared" ca="1" si="11"/>
        <v>9999</v>
      </c>
      <c r="ABZ5" s="5">
        <f t="shared" ca="1" si="11"/>
        <v>9999</v>
      </c>
      <c r="ACA5" s="5">
        <f t="shared" ca="1" si="11"/>
        <v>9999</v>
      </c>
      <c r="ACB5" s="5">
        <f t="shared" ca="1" si="11"/>
        <v>9999</v>
      </c>
      <c r="ACC5" s="5">
        <f t="shared" ca="1" si="11"/>
        <v>9999</v>
      </c>
      <c r="ACD5" s="5">
        <f t="shared" ca="1" si="11"/>
        <v>9999</v>
      </c>
      <c r="ACE5" s="5">
        <f t="shared" ca="1" si="11"/>
        <v>9999</v>
      </c>
      <c r="ACF5" s="5">
        <f t="shared" ca="1" si="11"/>
        <v>9999</v>
      </c>
      <c r="ACG5" s="5">
        <f t="shared" ca="1" si="11"/>
        <v>9999</v>
      </c>
      <c r="ACH5" s="5">
        <f t="shared" ca="1" si="11"/>
        <v>9999</v>
      </c>
      <c r="ACI5" s="5">
        <f t="shared" ca="1" si="11"/>
        <v>9999</v>
      </c>
      <c r="ACJ5" s="5">
        <f t="shared" ca="1" si="11"/>
        <v>9999</v>
      </c>
      <c r="ACK5" s="5">
        <f t="shared" ca="1" si="11"/>
        <v>9999</v>
      </c>
      <c r="ACL5" s="5">
        <f t="shared" ca="1" si="11"/>
        <v>9999</v>
      </c>
      <c r="ACM5" s="5">
        <f t="shared" ca="1" si="11"/>
        <v>9999</v>
      </c>
      <c r="ACN5" s="5">
        <f t="shared" ca="1" si="11"/>
        <v>9999</v>
      </c>
      <c r="ACO5" s="5">
        <f t="shared" ca="1" si="11"/>
        <v>9999</v>
      </c>
      <c r="ACP5" s="5">
        <f t="shared" ca="1" si="11"/>
        <v>9999</v>
      </c>
      <c r="ACQ5" s="5">
        <f t="shared" ca="1" si="11"/>
        <v>9999</v>
      </c>
      <c r="ACR5" s="5">
        <f t="shared" ca="1" si="11"/>
        <v>9999</v>
      </c>
      <c r="ACS5" s="5">
        <f t="shared" ca="1" si="11"/>
        <v>9999</v>
      </c>
      <c r="ACT5" s="5">
        <f t="shared" ref="ACT5:AFE5" ca="1" si="12">INDIRECT(CONCATENATE($A5,"!",LEFT(ACT$2,1),MID(ACT$2,2,256)+ACT$1-1))</f>
        <v>9999</v>
      </c>
      <c r="ACU5" s="5">
        <f t="shared" ca="1" si="12"/>
        <v>9999</v>
      </c>
      <c r="ACV5" s="5">
        <f t="shared" ca="1" si="12"/>
        <v>9999</v>
      </c>
      <c r="ACW5" s="5">
        <f t="shared" ca="1" si="12"/>
        <v>9999</v>
      </c>
      <c r="ACX5" s="5">
        <f t="shared" ca="1" si="12"/>
        <v>9999</v>
      </c>
      <c r="ACY5" s="5">
        <f t="shared" ca="1" si="12"/>
        <v>9999</v>
      </c>
      <c r="ACZ5" s="5">
        <f t="shared" ca="1" si="12"/>
        <v>9999</v>
      </c>
      <c r="ADA5" s="5">
        <f t="shared" ca="1" si="12"/>
        <v>9999</v>
      </c>
      <c r="ADB5" s="5">
        <f t="shared" ca="1" si="12"/>
        <v>9999</v>
      </c>
      <c r="ADC5" s="5">
        <f t="shared" ca="1" si="12"/>
        <v>9999</v>
      </c>
      <c r="ADD5" s="5">
        <f t="shared" ca="1" si="12"/>
        <v>9999</v>
      </c>
      <c r="ADE5" s="5">
        <f t="shared" ca="1" si="12"/>
        <v>0</v>
      </c>
      <c r="ADF5" s="5">
        <f t="shared" ca="1" si="12"/>
        <v>0</v>
      </c>
      <c r="ADG5" s="5">
        <f t="shared" ca="1" si="12"/>
        <v>0</v>
      </c>
      <c r="ADH5" s="5">
        <f t="shared" ca="1" si="12"/>
        <v>0</v>
      </c>
      <c r="ADI5" s="5">
        <f t="shared" ca="1" si="12"/>
        <v>0</v>
      </c>
      <c r="ADJ5" s="5">
        <f t="shared" ca="1" si="12"/>
        <v>9999</v>
      </c>
      <c r="ADK5" s="5">
        <f t="shared" ca="1" si="12"/>
        <v>9999</v>
      </c>
      <c r="ADL5" s="5">
        <f t="shared" ca="1" si="12"/>
        <v>9999</v>
      </c>
      <c r="ADM5" s="5">
        <f t="shared" ca="1" si="12"/>
        <v>9999</v>
      </c>
      <c r="ADN5" s="5">
        <f t="shared" ca="1" si="12"/>
        <v>9999</v>
      </c>
      <c r="ADO5" s="5">
        <f t="shared" ca="1" si="12"/>
        <v>9999</v>
      </c>
      <c r="ADP5" s="5">
        <f t="shared" ca="1" si="12"/>
        <v>9999</v>
      </c>
      <c r="ADQ5" s="5">
        <f t="shared" ca="1" si="12"/>
        <v>9999</v>
      </c>
      <c r="ADR5" s="5">
        <f t="shared" ca="1" si="12"/>
        <v>9999</v>
      </c>
      <c r="ADS5" s="5">
        <f t="shared" ca="1" si="12"/>
        <v>9999</v>
      </c>
      <c r="ADT5" s="5">
        <f t="shared" ca="1" si="12"/>
        <v>9999</v>
      </c>
      <c r="ADU5" s="5">
        <f t="shared" ca="1" si="12"/>
        <v>9999</v>
      </c>
      <c r="ADV5" s="5">
        <f t="shared" ca="1" si="12"/>
        <v>9999</v>
      </c>
      <c r="ADW5" s="5">
        <f t="shared" ca="1" si="12"/>
        <v>9999</v>
      </c>
      <c r="ADX5" s="5">
        <f t="shared" ca="1" si="12"/>
        <v>9999</v>
      </c>
      <c r="ADY5" s="5">
        <f t="shared" ca="1" si="12"/>
        <v>9999</v>
      </c>
      <c r="ADZ5" s="5">
        <f t="shared" ca="1" si="12"/>
        <v>9999</v>
      </c>
      <c r="AEA5" s="5">
        <f t="shared" ca="1" si="12"/>
        <v>9999</v>
      </c>
      <c r="AEB5" s="5">
        <f t="shared" ca="1" si="12"/>
        <v>9999</v>
      </c>
      <c r="AEC5" s="5">
        <f t="shared" ca="1" si="12"/>
        <v>9999</v>
      </c>
      <c r="AED5" s="5">
        <f t="shared" ca="1" si="12"/>
        <v>9999</v>
      </c>
      <c r="AEE5" s="5">
        <f t="shared" ca="1" si="12"/>
        <v>9999</v>
      </c>
      <c r="AEF5" s="5">
        <f t="shared" ca="1" si="12"/>
        <v>9999</v>
      </c>
      <c r="AEG5" s="5">
        <f t="shared" ca="1" si="12"/>
        <v>9999</v>
      </c>
      <c r="AEH5" s="5">
        <f t="shared" ca="1" si="12"/>
        <v>9999</v>
      </c>
      <c r="AEI5" s="5">
        <f t="shared" ca="1" si="12"/>
        <v>9999</v>
      </c>
      <c r="AEJ5" s="5">
        <f t="shared" ca="1" si="12"/>
        <v>9999</v>
      </c>
      <c r="AEK5" s="5">
        <f t="shared" ca="1" si="12"/>
        <v>9999</v>
      </c>
      <c r="AEL5" s="5">
        <f t="shared" ca="1" si="12"/>
        <v>9999</v>
      </c>
      <c r="AEM5" s="5">
        <f t="shared" ca="1" si="12"/>
        <v>9999</v>
      </c>
      <c r="AEN5" s="5">
        <f t="shared" ca="1" si="12"/>
        <v>9999</v>
      </c>
      <c r="AEO5" s="5">
        <f t="shared" ca="1" si="12"/>
        <v>9999</v>
      </c>
      <c r="AEP5" s="5">
        <f t="shared" ca="1" si="12"/>
        <v>9999</v>
      </c>
      <c r="AEQ5" s="5">
        <f t="shared" ca="1" si="12"/>
        <v>9999</v>
      </c>
      <c r="AER5" s="5">
        <f t="shared" ca="1" si="12"/>
        <v>9999</v>
      </c>
      <c r="AES5" s="5">
        <f t="shared" ca="1" si="12"/>
        <v>9999</v>
      </c>
      <c r="AET5" s="5">
        <f t="shared" ca="1" si="12"/>
        <v>9999</v>
      </c>
      <c r="AEU5" s="5">
        <f t="shared" ca="1" si="12"/>
        <v>9999</v>
      </c>
      <c r="AEV5" s="5">
        <f t="shared" ca="1" si="12"/>
        <v>9999</v>
      </c>
      <c r="AEW5" s="5">
        <f t="shared" ca="1" si="12"/>
        <v>9999</v>
      </c>
      <c r="AEX5" s="5">
        <f t="shared" ca="1" si="12"/>
        <v>9999</v>
      </c>
      <c r="AEY5" s="5">
        <f t="shared" ca="1" si="12"/>
        <v>9999</v>
      </c>
      <c r="AEZ5" s="5">
        <f t="shared" ca="1" si="12"/>
        <v>9999</v>
      </c>
      <c r="AFA5" s="5">
        <f t="shared" ca="1" si="12"/>
        <v>9999</v>
      </c>
      <c r="AFB5" s="5">
        <f t="shared" ca="1" si="12"/>
        <v>9999</v>
      </c>
      <c r="AFC5" s="5" t="str">
        <f t="shared" ca="1" si="12"/>
        <v>Color</v>
      </c>
      <c r="AFD5" s="5" t="str">
        <f t="shared" ca="1" si="12"/>
        <v>Distance</v>
      </c>
      <c r="AFE5" s="5" t="str">
        <f t="shared" ca="1" si="12"/>
        <v>Time</v>
      </c>
      <c r="AFF5" s="5" t="str">
        <f t="shared" ref="AFF5:AHQ5" ca="1" si="13">INDIRECT(CONCATENATE($A5,"!",LEFT(AFF$2,1),MID(AFF$2,2,256)+AFF$1-1))</f>
        <v>Time</v>
      </c>
      <c r="AFG5" s="5" t="str">
        <f t="shared" ca="1" si="13"/>
        <v>Time</v>
      </c>
      <c r="AFH5" s="5">
        <f t="shared" ca="1" si="13"/>
        <v>9999</v>
      </c>
      <c r="AFI5" s="5">
        <f t="shared" ca="1" si="13"/>
        <v>9999</v>
      </c>
      <c r="AFJ5" s="5">
        <f t="shared" ca="1" si="13"/>
        <v>9999</v>
      </c>
      <c r="AFK5" s="5">
        <f t="shared" ca="1" si="13"/>
        <v>9999</v>
      </c>
      <c r="AFL5" s="5">
        <f t="shared" ca="1" si="13"/>
        <v>9999</v>
      </c>
      <c r="AFM5" s="5">
        <f t="shared" ca="1" si="13"/>
        <v>9999</v>
      </c>
      <c r="AFN5" s="5">
        <f t="shared" ca="1" si="13"/>
        <v>9999</v>
      </c>
      <c r="AFO5" s="5">
        <f t="shared" ca="1" si="13"/>
        <v>9999</v>
      </c>
      <c r="AFP5" s="5">
        <f t="shared" ca="1" si="13"/>
        <v>9999</v>
      </c>
      <c r="AFQ5" s="5">
        <f t="shared" ca="1" si="13"/>
        <v>9999</v>
      </c>
      <c r="AFR5" s="5">
        <f t="shared" ca="1" si="13"/>
        <v>9999</v>
      </c>
      <c r="AFS5" s="5">
        <f t="shared" ca="1" si="13"/>
        <v>9999</v>
      </c>
      <c r="AFT5" s="5">
        <f t="shared" ca="1" si="13"/>
        <v>9999</v>
      </c>
      <c r="AFU5" s="5">
        <f t="shared" ca="1" si="13"/>
        <v>9999</v>
      </c>
      <c r="AFV5" s="5">
        <f t="shared" ca="1" si="13"/>
        <v>9999</v>
      </c>
      <c r="AFW5" s="5">
        <f t="shared" ca="1" si="13"/>
        <v>9999</v>
      </c>
      <c r="AFX5" s="5">
        <f t="shared" ca="1" si="13"/>
        <v>9999</v>
      </c>
      <c r="AFY5" s="5">
        <f t="shared" ca="1" si="13"/>
        <v>9999</v>
      </c>
      <c r="AFZ5" s="5">
        <f t="shared" ca="1" si="13"/>
        <v>9999</v>
      </c>
      <c r="AGA5" s="5">
        <f t="shared" ca="1" si="13"/>
        <v>9999</v>
      </c>
      <c r="AGB5" s="5">
        <f t="shared" ca="1" si="13"/>
        <v>9999</v>
      </c>
      <c r="AGC5" s="5">
        <f t="shared" ca="1" si="13"/>
        <v>9999</v>
      </c>
      <c r="AGD5" s="5">
        <f t="shared" ca="1" si="13"/>
        <v>9999</v>
      </c>
      <c r="AGE5" s="5">
        <f t="shared" ca="1" si="13"/>
        <v>9999</v>
      </c>
      <c r="AGF5" s="5">
        <f t="shared" ca="1" si="13"/>
        <v>9999</v>
      </c>
      <c r="AGG5" s="5">
        <f t="shared" ca="1" si="13"/>
        <v>9999</v>
      </c>
      <c r="AGH5" s="5">
        <f t="shared" ca="1" si="13"/>
        <v>9999</v>
      </c>
      <c r="AGI5" s="5">
        <f t="shared" ca="1" si="13"/>
        <v>9999</v>
      </c>
      <c r="AGJ5" s="5">
        <f t="shared" ca="1" si="13"/>
        <v>9999</v>
      </c>
      <c r="AGK5" s="5">
        <f t="shared" ca="1" si="13"/>
        <v>9999</v>
      </c>
      <c r="AGL5" s="5">
        <f t="shared" ca="1" si="13"/>
        <v>9999</v>
      </c>
      <c r="AGM5" s="5">
        <f t="shared" ca="1" si="13"/>
        <v>9999</v>
      </c>
      <c r="AGN5" s="5">
        <f t="shared" ca="1" si="13"/>
        <v>9999</v>
      </c>
      <c r="AGO5" s="5">
        <f t="shared" ca="1" si="13"/>
        <v>9999</v>
      </c>
      <c r="AGP5" s="5">
        <f t="shared" ca="1" si="13"/>
        <v>9999</v>
      </c>
      <c r="AGQ5" s="5">
        <f t="shared" ca="1" si="13"/>
        <v>9999</v>
      </c>
      <c r="AGR5" s="5">
        <f t="shared" ca="1" si="13"/>
        <v>9999</v>
      </c>
      <c r="AGS5" s="5">
        <f t="shared" ca="1" si="13"/>
        <v>9999</v>
      </c>
      <c r="AGT5" s="5">
        <f t="shared" ca="1" si="13"/>
        <v>9999</v>
      </c>
      <c r="AGU5" s="5">
        <f t="shared" ca="1" si="13"/>
        <v>9999</v>
      </c>
      <c r="AGV5" s="5">
        <f t="shared" ca="1" si="13"/>
        <v>9999</v>
      </c>
      <c r="AGW5" s="5">
        <f t="shared" ca="1" si="13"/>
        <v>9999</v>
      </c>
      <c r="AGX5" s="5">
        <f t="shared" ca="1" si="13"/>
        <v>9999</v>
      </c>
      <c r="AGY5" s="5">
        <f t="shared" ca="1" si="13"/>
        <v>9999</v>
      </c>
      <c r="AGZ5" s="5">
        <f t="shared" ca="1" si="13"/>
        <v>9999</v>
      </c>
      <c r="AHA5" s="5">
        <f t="shared" ca="1" si="13"/>
        <v>9999</v>
      </c>
      <c r="AHB5" s="5">
        <f t="shared" ca="1" si="13"/>
        <v>9999</v>
      </c>
      <c r="AHC5" s="5">
        <f t="shared" ca="1" si="13"/>
        <v>9999</v>
      </c>
      <c r="AHD5" s="5">
        <f t="shared" ca="1" si="13"/>
        <v>9999</v>
      </c>
      <c r="AHE5" s="5">
        <f t="shared" ca="1" si="13"/>
        <v>9999</v>
      </c>
      <c r="AHF5" s="5">
        <f t="shared" ca="1" si="13"/>
        <v>9999</v>
      </c>
      <c r="AHG5" s="5">
        <f t="shared" ca="1" si="13"/>
        <v>9999</v>
      </c>
      <c r="AHH5" s="5">
        <f t="shared" ca="1" si="13"/>
        <v>9999</v>
      </c>
      <c r="AHI5" s="5">
        <f t="shared" ca="1" si="13"/>
        <v>9999</v>
      </c>
      <c r="AHJ5" s="5">
        <f t="shared" ca="1" si="13"/>
        <v>9999</v>
      </c>
      <c r="AHK5" s="5">
        <f t="shared" ca="1" si="13"/>
        <v>9999</v>
      </c>
      <c r="AHL5" s="5">
        <f t="shared" ca="1" si="13"/>
        <v>9999</v>
      </c>
      <c r="AHM5" s="5">
        <f t="shared" ca="1" si="13"/>
        <v>9999</v>
      </c>
      <c r="AHN5" s="5">
        <f t="shared" ca="1" si="13"/>
        <v>9999</v>
      </c>
      <c r="AHO5" s="5">
        <f t="shared" ca="1" si="13"/>
        <v>9999</v>
      </c>
      <c r="AHP5" s="5">
        <f t="shared" ca="1" si="13"/>
        <v>9999</v>
      </c>
      <c r="AHQ5" s="5">
        <f t="shared" ca="1" si="13"/>
        <v>9999</v>
      </c>
      <c r="AHR5" s="5">
        <f t="shared" ref="AHR5:AKC5" ca="1" si="14">INDIRECT(CONCATENATE($A5,"!",LEFT(AHR$2,1),MID(AHR$2,2,256)+AHR$1-1))</f>
        <v>9999</v>
      </c>
      <c r="AHS5" s="5">
        <f t="shared" ca="1" si="14"/>
        <v>9999</v>
      </c>
      <c r="AHT5" s="5">
        <f t="shared" ca="1" si="14"/>
        <v>9999</v>
      </c>
      <c r="AHU5" s="5">
        <f t="shared" ca="1" si="14"/>
        <v>9999</v>
      </c>
      <c r="AHV5" s="5">
        <f t="shared" ca="1" si="14"/>
        <v>9999</v>
      </c>
      <c r="AHW5" s="5">
        <f t="shared" ca="1" si="14"/>
        <v>9999</v>
      </c>
      <c r="AHX5" s="5">
        <f t="shared" ca="1" si="14"/>
        <v>9999</v>
      </c>
      <c r="AHY5" s="5">
        <f t="shared" ca="1" si="14"/>
        <v>9999</v>
      </c>
      <c r="AHZ5" s="5">
        <f t="shared" ca="1" si="14"/>
        <v>9999</v>
      </c>
      <c r="AIA5" s="5">
        <f t="shared" ca="1" si="14"/>
        <v>9999</v>
      </c>
      <c r="AIB5" s="5">
        <f t="shared" ca="1" si="14"/>
        <v>9999</v>
      </c>
      <c r="AIC5" s="5">
        <f t="shared" ca="1" si="14"/>
        <v>9999</v>
      </c>
      <c r="AID5" s="5">
        <f t="shared" ca="1" si="14"/>
        <v>9999</v>
      </c>
      <c r="AIE5" s="5">
        <f t="shared" ca="1" si="14"/>
        <v>9999</v>
      </c>
      <c r="AIF5" s="5">
        <f t="shared" ca="1" si="14"/>
        <v>9999</v>
      </c>
      <c r="AIG5" s="5">
        <f t="shared" ca="1" si="14"/>
        <v>9999</v>
      </c>
      <c r="AIH5" s="5">
        <f t="shared" ca="1" si="14"/>
        <v>9999</v>
      </c>
      <c r="AII5" s="5">
        <f t="shared" ca="1" si="14"/>
        <v>9999</v>
      </c>
      <c r="AIJ5" s="5">
        <f t="shared" ca="1" si="14"/>
        <v>9999</v>
      </c>
      <c r="AIK5" s="5">
        <f t="shared" ca="1" si="14"/>
        <v>9999</v>
      </c>
      <c r="AIL5" s="5">
        <f t="shared" ca="1" si="14"/>
        <v>9999</v>
      </c>
      <c r="AIM5" s="5">
        <f t="shared" ca="1" si="14"/>
        <v>9999</v>
      </c>
      <c r="AIN5" s="5">
        <f t="shared" ca="1" si="14"/>
        <v>9999</v>
      </c>
      <c r="AIO5" s="5">
        <f t="shared" ca="1" si="14"/>
        <v>9999</v>
      </c>
      <c r="AIP5" s="5">
        <f t="shared" ca="1" si="14"/>
        <v>9999</v>
      </c>
      <c r="AIQ5" s="5">
        <f t="shared" ca="1" si="14"/>
        <v>9999</v>
      </c>
      <c r="AIR5" s="5">
        <f t="shared" ca="1" si="14"/>
        <v>9999</v>
      </c>
      <c r="AIS5" s="5">
        <f t="shared" ca="1" si="14"/>
        <v>9999</v>
      </c>
      <c r="AIT5" s="5">
        <f t="shared" ca="1" si="14"/>
        <v>9999</v>
      </c>
      <c r="AIU5" s="5">
        <f t="shared" ca="1" si="14"/>
        <v>9999</v>
      </c>
      <c r="AIV5" s="5">
        <f t="shared" ca="1" si="14"/>
        <v>9999</v>
      </c>
      <c r="AIW5" s="5">
        <f t="shared" ca="1" si="14"/>
        <v>9999</v>
      </c>
      <c r="AIX5" s="5">
        <f t="shared" ca="1" si="14"/>
        <v>9999</v>
      </c>
      <c r="AIY5" s="5">
        <f t="shared" ca="1" si="14"/>
        <v>9999</v>
      </c>
      <c r="AIZ5" s="5">
        <f t="shared" ca="1" si="14"/>
        <v>9999</v>
      </c>
      <c r="AJA5" s="5">
        <f t="shared" ca="1" si="14"/>
        <v>9999</v>
      </c>
      <c r="AJB5" s="5">
        <f t="shared" ca="1" si="14"/>
        <v>9999</v>
      </c>
      <c r="AJC5" s="5">
        <f t="shared" ca="1" si="14"/>
        <v>9999</v>
      </c>
      <c r="AJD5" s="5">
        <f t="shared" ca="1" si="14"/>
        <v>9999</v>
      </c>
      <c r="AJE5" s="5">
        <f t="shared" ca="1" si="14"/>
        <v>9999</v>
      </c>
      <c r="AJF5" s="5">
        <f t="shared" ca="1" si="14"/>
        <v>9999</v>
      </c>
      <c r="AJG5" s="5">
        <f t="shared" ca="1" si="14"/>
        <v>9999</v>
      </c>
      <c r="AJH5" s="5">
        <f t="shared" ca="1" si="14"/>
        <v>9999</v>
      </c>
      <c r="AJI5" s="5">
        <f t="shared" ca="1" si="14"/>
        <v>9999</v>
      </c>
      <c r="AJJ5" s="5">
        <f t="shared" ca="1" si="14"/>
        <v>9999</v>
      </c>
      <c r="AJK5" s="5">
        <f t="shared" ca="1" si="14"/>
        <v>9999</v>
      </c>
      <c r="AJL5" s="5">
        <f t="shared" ca="1" si="14"/>
        <v>9999</v>
      </c>
      <c r="AJM5" s="5">
        <f t="shared" ca="1" si="14"/>
        <v>9999</v>
      </c>
      <c r="AJN5" s="5">
        <f t="shared" ca="1" si="14"/>
        <v>9999</v>
      </c>
      <c r="AJO5" s="5">
        <f t="shared" ca="1" si="14"/>
        <v>9999</v>
      </c>
      <c r="AJP5" s="5">
        <f t="shared" ca="1" si="14"/>
        <v>9999</v>
      </c>
      <c r="AJQ5" s="5">
        <f t="shared" ca="1" si="14"/>
        <v>9999</v>
      </c>
      <c r="AJR5" s="5">
        <f t="shared" ca="1" si="14"/>
        <v>9999</v>
      </c>
      <c r="AJS5" s="5">
        <f t="shared" ca="1" si="14"/>
        <v>9999</v>
      </c>
      <c r="AJT5" s="5">
        <f t="shared" ca="1" si="14"/>
        <v>9999</v>
      </c>
      <c r="AJU5" s="5">
        <f t="shared" ca="1" si="14"/>
        <v>9999</v>
      </c>
      <c r="AJV5" s="5">
        <f t="shared" ca="1" si="14"/>
        <v>9999</v>
      </c>
      <c r="AJW5" s="5">
        <f t="shared" ca="1" si="14"/>
        <v>9999</v>
      </c>
      <c r="AJX5" s="5">
        <f t="shared" ca="1" si="14"/>
        <v>9999</v>
      </c>
      <c r="AJY5" s="5">
        <f t="shared" ca="1" si="14"/>
        <v>9999</v>
      </c>
      <c r="AJZ5" s="5">
        <f t="shared" ca="1" si="14"/>
        <v>9999</v>
      </c>
      <c r="AKA5" s="5">
        <f t="shared" ca="1" si="14"/>
        <v>9999</v>
      </c>
      <c r="AKB5" s="5">
        <f t="shared" ca="1" si="14"/>
        <v>9999</v>
      </c>
      <c r="AKC5" s="5">
        <f t="shared" ca="1" si="14"/>
        <v>9999</v>
      </c>
      <c r="AKD5" s="5">
        <f t="shared" ref="AKD5:AMO5" ca="1" si="15">INDIRECT(CONCATENATE($A5,"!",LEFT(AKD$2,1),MID(AKD$2,2,256)+AKD$1-1))</f>
        <v>9999</v>
      </c>
      <c r="AKE5" s="5">
        <f t="shared" ca="1" si="15"/>
        <v>9999</v>
      </c>
      <c r="AKF5" s="5">
        <f t="shared" ca="1" si="15"/>
        <v>9999</v>
      </c>
      <c r="AKG5" s="5">
        <f t="shared" ca="1" si="15"/>
        <v>9999</v>
      </c>
      <c r="AKH5" s="5">
        <f t="shared" ca="1" si="15"/>
        <v>9999</v>
      </c>
      <c r="AKI5" s="5">
        <f t="shared" ca="1" si="15"/>
        <v>9999</v>
      </c>
      <c r="AKJ5" s="5">
        <f t="shared" ca="1" si="15"/>
        <v>9999</v>
      </c>
      <c r="AKK5" s="5">
        <f t="shared" ca="1" si="15"/>
        <v>9999</v>
      </c>
      <c r="AKL5" s="5">
        <f t="shared" ca="1" si="15"/>
        <v>9999</v>
      </c>
      <c r="AKM5" s="5">
        <f t="shared" ca="1" si="15"/>
        <v>9999</v>
      </c>
      <c r="AKN5" s="5">
        <f t="shared" ca="1" si="15"/>
        <v>9999</v>
      </c>
      <c r="AKO5" s="5">
        <f t="shared" ca="1" si="15"/>
        <v>9999</v>
      </c>
      <c r="AKP5" s="5">
        <f t="shared" ca="1" si="15"/>
        <v>9999</v>
      </c>
      <c r="AKQ5" s="5">
        <f t="shared" ca="1" si="15"/>
        <v>9999</v>
      </c>
      <c r="AKR5" s="5">
        <f t="shared" ca="1" si="15"/>
        <v>9999</v>
      </c>
      <c r="AKS5" s="5">
        <f t="shared" ca="1" si="15"/>
        <v>9999</v>
      </c>
      <c r="AKT5" s="5">
        <f t="shared" ca="1" si="15"/>
        <v>9999</v>
      </c>
      <c r="AKU5" s="5">
        <f t="shared" ca="1" si="15"/>
        <v>9999</v>
      </c>
      <c r="AKV5" s="5">
        <f t="shared" ca="1" si="15"/>
        <v>9999</v>
      </c>
      <c r="AKW5" s="5">
        <f t="shared" ca="1" si="15"/>
        <v>9999</v>
      </c>
      <c r="AKX5" s="5">
        <f t="shared" ca="1" si="15"/>
        <v>9999</v>
      </c>
      <c r="AKY5" s="5">
        <f t="shared" ca="1" si="15"/>
        <v>9999</v>
      </c>
      <c r="AKZ5" s="5">
        <f t="shared" ca="1" si="15"/>
        <v>9999</v>
      </c>
      <c r="ALA5" s="5">
        <f t="shared" ca="1" si="15"/>
        <v>9999</v>
      </c>
      <c r="ALB5" s="5">
        <f t="shared" ca="1" si="15"/>
        <v>9999</v>
      </c>
      <c r="ALC5" s="5">
        <f t="shared" ca="1" si="15"/>
        <v>9999</v>
      </c>
      <c r="ALD5" s="5">
        <f t="shared" ca="1" si="15"/>
        <v>9999</v>
      </c>
      <c r="ALE5" s="5">
        <f t="shared" ca="1" si="15"/>
        <v>9999</v>
      </c>
      <c r="ALF5" s="5">
        <f t="shared" ca="1" si="15"/>
        <v>9999</v>
      </c>
      <c r="ALG5" s="5">
        <f t="shared" ca="1" si="15"/>
        <v>9999</v>
      </c>
      <c r="ALH5" s="5">
        <f t="shared" ca="1" si="15"/>
        <v>9999</v>
      </c>
      <c r="ALI5" s="5">
        <f t="shared" ca="1" si="15"/>
        <v>9999</v>
      </c>
      <c r="ALJ5" s="5">
        <f t="shared" ca="1" si="15"/>
        <v>9999</v>
      </c>
      <c r="ALK5" s="5">
        <f t="shared" ca="1" si="15"/>
        <v>9999</v>
      </c>
      <c r="ALL5" s="5">
        <f t="shared" ca="1" si="15"/>
        <v>9999</v>
      </c>
      <c r="ALM5" s="5">
        <f t="shared" ca="1" si="15"/>
        <v>9999</v>
      </c>
      <c r="ALN5" s="5">
        <f t="shared" ca="1" si="15"/>
        <v>9999</v>
      </c>
      <c r="ALO5" s="5">
        <f t="shared" ca="1" si="15"/>
        <v>9999</v>
      </c>
      <c r="ALP5" s="5">
        <f t="shared" ca="1" si="15"/>
        <v>9999</v>
      </c>
      <c r="ALQ5" s="5">
        <f t="shared" ca="1" si="15"/>
        <v>0</v>
      </c>
      <c r="ALR5" s="5">
        <f t="shared" ca="1" si="15"/>
        <v>0</v>
      </c>
      <c r="ALS5" s="5">
        <f t="shared" ca="1" si="15"/>
        <v>0</v>
      </c>
      <c r="ALT5" s="5">
        <f t="shared" ca="1" si="15"/>
        <v>0</v>
      </c>
      <c r="ALU5" s="5">
        <f t="shared" ca="1" si="15"/>
        <v>0</v>
      </c>
      <c r="ALV5" s="5">
        <f t="shared" ca="1" si="15"/>
        <v>0</v>
      </c>
      <c r="ALW5" s="5">
        <f t="shared" ca="1" si="15"/>
        <v>0</v>
      </c>
      <c r="ALX5" s="5">
        <f t="shared" ca="1" si="15"/>
        <v>0</v>
      </c>
      <c r="ALY5" s="5">
        <f t="shared" ca="1" si="15"/>
        <v>0</v>
      </c>
      <c r="ALZ5" s="5">
        <f t="shared" ca="1" si="15"/>
        <v>0</v>
      </c>
      <c r="AMA5" s="5">
        <f t="shared" ca="1" si="15"/>
        <v>0</v>
      </c>
      <c r="AMB5" s="5">
        <f t="shared" ca="1" si="15"/>
        <v>0</v>
      </c>
      <c r="AMC5" s="5">
        <f t="shared" ca="1" si="15"/>
        <v>0</v>
      </c>
      <c r="AMD5" s="5">
        <f t="shared" ca="1" si="15"/>
        <v>0</v>
      </c>
      <c r="AME5" s="5">
        <f t="shared" ca="1" si="15"/>
        <v>0</v>
      </c>
      <c r="AMF5" s="5">
        <f t="shared" ca="1" si="15"/>
        <v>0</v>
      </c>
      <c r="AMG5" s="5">
        <f t="shared" ca="1" si="15"/>
        <v>0</v>
      </c>
      <c r="AMH5" s="5">
        <f t="shared" ca="1" si="15"/>
        <v>0</v>
      </c>
      <c r="AMI5" s="5">
        <f t="shared" ca="1" si="15"/>
        <v>0</v>
      </c>
      <c r="AMJ5" s="5">
        <f t="shared" ca="1" si="15"/>
        <v>0</v>
      </c>
      <c r="AMK5" s="5">
        <f t="shared" ca="1" si="15"/>
        <v>0</v>
      </c>
      <c r="AML5" s="5">
        <f t="shared" ca="1" si="15"/>
        <v>0</v>
      </c>
      <c r="AMM5" s="5">
        <f t="shared" ca="1" si="15"/>
        <v>0</v>
      </c>
      <c r="AMN5" s="5">
        <f t="shared" ca="1" si="15"/>
        <v>0</v>
      </c>
      <c r="AMO5" s="5">
        <f t="shared" ca="1" si="15"/>
        <v>0</v>
      </c>
      <c r="AMP5" s="5">
        <f t="shared" ref="AMP5:APA5" ca="1" si="16">INDIRECT(CONCATENATE($A5,"!",LEFT(AMP$2,1),MID(AMP$2,2,256)+AMP$1-1))</f>
        <v>0</v>
      </c>
      <c r="AMQ5" s="5">
        <f t="shared" ca="1" si="16"/>
        <v>0</v>
      </c>
      <c r="AMR5" s="5">
        <f t="shared" ca="1" si="16"/>
        <v>0</v>
      </c>
      <c r="AMS5" s="5">
        <f t="shared" ca="1" si="16"/>
        <v>0</v>
      </c>
      <c r="AMT5" s="5">
        <f t="shared" ca="1" si="16"/>
        <v>0</v>
      </c>
      <c r="AMU5" s="5">
        <f t="shared" ca="1" si="16"/>
        <v>0</v>
      </c>
      <c r="AMV5" s="5">
        <f t="shared" ca="1" si="16"/>
        <v>0</v>
      </c>
      <c r="AMW5" s="5">
        <f t="shared" ca="1" si="16"/>
        <v>0</v>
      </c>
      <c r="AMX5" s="5">
        <f t="shared" ca="1" si="16"/>
        <v>0</v>
      </c>
      <c r="AMY5" s="5">
        <f t="shared" ca="1" si="16"/>
        <v>0</v>
      </c>
      <c r="AMZ5" s="5">
        <f t="shared" ca="1" si="16"/>
        <v>0</v>
      </c>
      <c r="ANA5" s="5">
        <f t="shared" ca="1" si="16"/>
        <v>0</v>
      </c>
      <c r="ANB5" s="5">
        <f t="shared" ca="1" si="16"/>
        <v>0</v>
      </c>
      <c r="ANC5" s="5">
        <f t="shared" ca="1" si="16"/>
        <v>0</v>
      </c>
      <c r="AND5" s="5">
        <f t="shared" ca="1" si="16"/>
        <v>0</v>
      </c>
      <c r="ANE5" s="5">
        <f t="shared" ca="1" si="16"/>
        <v>0</v>
      </c>
      <c r="ANF5" s="5">
        <f t="shared" ca="1" si="16"/>
        <v>0</v>
      </c>
      <c r="ANG5" s="5">
        <f t="shared" ca="1" si="16"/>
        <v>0</v>
      </c>
      <c r="ANH5" s="5">
        <f t="shared" ca="1" si="16"/>
        <v>0</v>
      </c>
      <c r="ANI5" s="5">
        <f t="shared" ca="1" si="16"/>
        <v>0</v>
      </c>
      <c r="ANJ5" s="5">
        <f t="shared" ca="1" si="16"/>
        <v>0</v>
      </c>
      <c r="ANK5" s="5">
        <f t="shared" ca="1" si="16"/>
        <v>0</v>
      </c>
      <c r="ANL5" s="5">
        <f t="shared" ca="1" si="16"/>
        <v>0</v>
      </c>
      <c r="ANM5" s="5">
        <f t="shared" ca="1" si="16"/>
        <v>0</v>
      </c>
      <c r="ANN5" s="5">
        <f t="shared" ca="1" si="16"/>
        <v>0</v>
      </c>
      <c r="ANO5" s="5">
        <f t="shared" ca="1" si="16"/>
        <v>0</v>
      </c>
      <c r="ANP5" s="5">
        <f t="shared" ca="1" si="16"/>
        <v>0</v>
      </c>
      <c r="ANQ5" s="5">
        <f t="shared" ca="1" si="16"/>
        <v>0</v>
      </c>
      <c r="ANR5" s="5">
        <f t="shared" ca="1" si="16"/>
        <v>0</v>
      </c>
      <c r="ANS5" s="5">
        <f t="shared" ca="1" si="16"/>
        <v>0</v>
      </c>
      <c r="ANT5" s="5">
        <f t="shared" ca="1" si="16"/>
        <v>0</v>
      </c>
      <c r="ANU5" s="5">
        <f t="shared" ca="1" si="16"/>
        <v>0</v>
      </c>
      <c r="ANV5" s="5">
        <f t="shared" ca="1" si="16"/>
        <v>0</v>
      </c>
      <c r="ANW5" s="5">
        <f t="shared" ca="1" si="16"/>
        <v>0</v>
      </c>
      <c r="ANX5" s="5">
        <f t="shared" ca="1" si="16"/>
        <v>0</v>
      </c>
      <c r="ANY5" s="5">
        <f t="shared" ca="1" si="16"/>
        <v>0</v>
      </c>
      <c r="ANZ5" s="5">
        <f t="shared" ca="1" si="16"/>
        <v>0</v>
      </c>
      <c r="AOA5" s="5">
        <f t="shared" ca="1" si="16"/>
        <v>0</v>
      </c>
      <c r="AOB5" s="5">
        <f t="shared" ca="1" si="16"/>
        <v>0</v>
      </c>
      <c r="AOC5" s="5">
        <f t="shared" ca="1" si="16"/>
        <v>0</v>
      </c>
      <c r="AOD5" s="5">
        <f t="shared" ca="1" si="16"/>
        <v>0</v>
      </c>
      <c r="AOE5" s="5">
        <f t="shared" ca="1" si="16"/>
        <v>0</v>
      </c>
      <c r="AOF5" s="5">
        <f t="shared" ca="1" si="16"/>
        <v>0</v>
      </c>
      <c r="AOG5" s="5">
        <f t="shared" ca="1" si="16"/>
        <v>0</v>
      </c>
      <c r="AOH5" s="5">
        <f t="shared" ca="1" si="16"/>
        <v>0</v>
      </c>
      <c r="AOI5" s="5">
        <f t="shared" ca="1" si="16"/>
        <v>0</v>
      </c>
      <c r="AOJ5" s="5">
        <f t="shared" ca="1" si="16"/>
        <v>0</v>
      </c>
      <c r="AOK5" s="5">
        <f t="shared" ca="1" si="16"/>
        <v>0</v>
      </c>
      <c r="AOL5" s="5">
        <f t="shared" ca="1" si="16"/>
        <v>0</v>
      </c>
      <c r="AOM5" s="5">
        <f t="shared" ca="1" si="16"/>
        <v>0</v>
      </c>
      <c r="AON5" s="5">
        <f t="shared" ca="1" si="16"/>
        <v>0</v>
      </c>
      <c r="AOO5" s="5">
        <f t="shared" ca="1" si="16"/>
        <v>0</v>
      </c>
      <c r="AOP5" s="5">
        <f t="shared" ca="1" si="16"/>
        <v>0</v>
      </c>
      <c r="AOQ5" s="5">
        <f t="shared" ca="1" si="16"/>
        <v>0</v>
      </c>
      <c r="AOR5" s="5">
        <f t="shared" ca="1" si="16"/>
        <v>0</v>
      </c>
      <c r="AOS5" s="5">
        <f t="shared" ca="1" si="16"/>
        <v>0</v>
      </c>
      <c r="AOT5" s="5">
        <f t="shared" ca="1" si="16"/>
        <v>0</v>
      </c>
      <c r="AOU5" s="5">
        <f t="shared" ca="1" si="16"/>
        <v>0</v>
      </c>
      <c r="AOV5" s="5">
        <f t="shared" ca="1" si="16"/>
        <v>0</v>
      </c>
      <c r="AOW5" s="5">
        <f t="shared" ca="1" si="16"/>
        <v>0</v>
      </c>
      <c r="AOX5" s="5">
        <f t="shared" ca="1" si="16"/>
        <v>0</v>
      </c>
      <c r="AOY5" s="5">
        <f t="shared" ca="1" si="16"/>
        <v>0</v>
      </c>
      <c r="AOZ5" s="5">
        <f t="shared" ca="1" si="16"/>
        <v>0</v>
      </c>
      <c r="APA5" s="5">
        <f t="shared" ca="1" si="16"/>
        <v>0</v>
      </c>
      <c r="APB5" s="5">
        <f t="shared" ref="APB5:ARM5" ca="1" si="17">INDIRECT(CONCATENATE($A5,"!",LEFT(APB$2,1),MID(APB$2,2,256)+APB$1-1))</f>
        <v>0</v>
      </c>
      <c r="APC5" s="5">
        <f t="shared" ca="1" si="17"/>
        <v>0</v>
      </c>
      <c r="APD5" s="5">
        <f t="shared" ca="1" si="17"/>
        <v>0</v>
      </c>
      <c r="APE5" s="5">
        <f t="shared" ca="1" si="17"/>
        <v>0</v>
      </c>
      <c r="APF5" s="5">
        <f t="shared" ca="1" si="17"/>
        <v>0</v>
      </c>
      <c r="APG5" s="5">
        <f t="shared" ca="1" si="17"/>
        <v>0</v>
      </c>
      <c r="APH5" s="5">
        <f t="shared" ca="1" si="17"/>
        <v>0</v>
      </c>
      <c r="API5" s="5">
        <f t="shared" ca="1" si="17"/>
        <v>0</v>
      </c>
      <c r="APJ5" s="5">
        <f t="shared" ca="1" si="17"/>
        <v>0</v>
      </c>
      <c r="APK5" s="5">
        <f t="shared" ca="1" si="17"/>
        <v>0</v>
      </c>
      <c r="APL5" s="5">
        <f t="shared" ca="1" si="17"/>
        <v>0</v>
      </c>
      <c r="APM5" s="5">
        <f t="shared" ca="1" si="17"/>
        <v>0</v>
      </c>
      <c r="APN5" s="5">
        <f t="shared" ca="1" si="17"/>
        <v>0</v>
      </c>
      <c r="APO5" s="5">
        <f t="shared" ca="1" si="17"/>
        <v>0</v>
      </c>
      <c r="APP5" s="5">
        <f t="shared" ca="1" si="17"/>
        <v>0</v>
      </c>
      <c r="APQ5" s="5">
        <f t="shared" ca="1" si="17"/>
        <v>0</v>
      </c>
      <c r="APR5" s="5">
        <f t="shared" ca="1" si="17"/>
        <v>0</v>
      </c>
      <c r="APS5" s="5">
        <f t="shared" ca="1" si="17"/>
        <v>0</v>
      </c>
      <c r="APT5" s="5">
        <f t="shared" ca="1" si="17"/>
        <v>0</v>
      </c>
      <c r="APU5" s="5">
        <f t="shared" ca="1" si="17"/>
        <v>0</v>
      </c>
      <c r="APV5" s="5">
        <f t="shared" ca="1" si="17"/>
        <v>0</v>
      </c>
      <c r="APW5" s="5">
        <f t="shared" ca="1" si="17"/>
        <v>0</v>
      </c>
      <c r="APX5" s="5">
        <f t="shared" ca="1" si="17"/>
        <v>0</v>
      </c>
      <c r="APY5" s="5">
        <f t="shared" ca="1" si="17"/>
        <v>0</v>
      </c>
      <c r="APZ5" s="5">
        <f t="shared" ca="1" si="17"/>
        <v>0</v>
      </c>
      <c r="AQA5" s="5">
        <f t="shared" ca="1" si="17"/>
        <v>0</v>
      </c>
      <c r="AQB5" s="5">
        <f t="shared" ca="1" si="17"/>
        <v>0</v>
      </c>
      <c r="AQC5" s="5">
        <f t="shared" ca="1" si="17"/>
        <v>0</v>
      </c>
      <c r="AQD5" s="5">
        <f t="shared" ca="1" si="17"/>
        <v>0</v>
      </c>
      <c r="AQE5" s="5">
        <f t="shared" ca="1" si="17"/>
        <v>0</v>
      </c>
      <c r="AQF5" s="5">
        <f t="shared" ca="1" si="17"/>
        <v>0</v>
      </c>
      <c r="AQG5" s="5">
        <f t="shared" ca="1" si="17"/>
        <v>0</v>
      </c>
      <c r="AQH5" s="5">
        <f t="shared" ca="1" si="17"/>
        <v>0</v>
      </c>
      <c r="AQI5" s="5">
        <f t="shared" ca="1" si="17"/>
        <v>0</v>
      </c>
      <c r="AQJ5" s="5">
        <f t="shared" ca="1" si="17"/>
        <v>0</v>
      </c>
      <c r="AQK5" s="5">
        <f t="shared" ca="1" si="17"/>
        <v>0</v>
      </c>
      <c r="AQL5" s="5">
        <f t="shared" ca="1" si="17"/>
        <v>0</v>
      </c>
      <c r="AQM5" s="5">
        <f t="shared" ca="1" si="17"/>
        <v>0</v>
      </c>
      <c r="AQN5" s="5">
        <f t="shared" ca="1" si="17"/>
        <v>0</v>
      </c>
      <c r="AQO5" s="5">
        <f t="shared" ca="1" si="17"/>
        <v>0</v>
      </c>
      <c r="AQP5" s="5">
        <f t="shared" ca="1" si="17"/>
        <v>0</v>
      </c>
      <c r="AQQ5" s="5">
        <f t="shared" ca="1" si="17"/>
        <v>0</v>
      </c>
      <c r="AQR5" s="5">
        <f t="shared" ca="1" si="17"/>
        <v>0</v>
      </c>
      <c r="AQS5" s="5">
        <f t="shared" ca="1" si="17"/>
        <v>0</v>
      </c>
      <c r="AQT5" s="5">
        <f t="shared" ca="1" si="17"/>
        <v>0</v>
      </c>
      <c r="AQU5" s="5">
        <f t="shared" ca="1" si="17"/>
        <v>0</v>
      </c>
      <c r="AQV5" s="5">
        <f t="shared" ca="1" si="17"/>
        <v>0</v>
      </c>
      <c r="AQW5" s="5">
        <f t="shared" ca="1" si="17"/>
        <v>0</v>
      </c>
      <c r="AQX5" s="5">
        <f t="shared" ca="1" si="17"/>
        <v>0</v>
      </c>
      <c r="AQY5" s="5">
        <f t="shared" ca="1" si="17"/>
        <v>0</v>
      </c>
      <c r="AQZ5" s="5">
        <f t="shared" ca="1" si="17"/>
        <v>0</v>
      </c>
      <c r="ARA5" s="5">
        <f t="shared" ca="1" si="17"/>
        <v>0</v>
      </c>
      <c r="ARB5" s="5">
        <f t="shared" ca="1" si="17"/>
        <v>0</v>
      </c>
      <c r="ARC5" s="5">
        <f t="shared" ca="1" si="17"/>
        <v>0</v>
      </c>
      <c r="ARD5" s="5">
        <f t="shared" ca="1" si="17"/>
        <v>0</v>
      </c>
      <c r="ARE5" s="5">
        <f t="shared" ca="1" si="17"/>
        <v>0</v>
      </c>
      <c r="ARF5" s="5">
        <f t="shared" ca="1" si="17"/>
        <v>0</v>
      </c>
      <c r="ARG5" s="5">
        <f t="shared" ca="1" si="17"/>
        <v>0</v>
      </c>
      <c r="ARH5" s="5">
        <f t="shared" ca="1" si="17"/>
        <v>0</v>
      </c>
      <c r="ARI5" s="5">
        <f t="shared" ca="1" si="17"/>
        <v>0</v>
      </c>
      <c r="ARJ5" s="5">
        <f t="shared" ca="1" si="17"/>
        <v>0</v>
      </c>
      <c r="ARK5" s="5">
        <f t="shared" ca="1" si="17"/>
        <v>0</v>
      </c>
      <c r="ARL5" s="5">
        <f t="shared" ca="1" si="17"/>
        <v>0</v>
      </c>
      <c r="ARM5" s="5">
        <f t="shared" ca="1" si="17"/>
        <v>0</v>
      </c>
      <c r="ARN5" s="5">
        <f t="shared" ref="ARN5:ATH5" ca="1" si="18">INDIRECT(CONCATENATE($A5,"!",LEFT(ARN$2,1),MID(ARN$2,2,256)+ARN$1-1))</f>
        <v>0</v>
      </c>
      <c r="ARO5" s="5">
        <f t="shared" ca="1" si="18"/>
        <v>0</v>
      </c>
      <c r="ARP5" s="5">
        <f t="shared" ca="1" si="18"/>
        <v>0</v>
      </c>
      <c r="ARQ5" s="5">
        <f t="shared" ca="1" si="18"/>
        <v>0</v>
      </c>
      <c r="ARR5" s="5">
        <f t="shared" ca="1" si="18"/>
        <v>0</v>
      </c>
      <c r="ARS5" s="5">
        <f t="shared" ca="1" si="18"/>
        <v>0</v>
      </c>
      <c r="ART5" s="5">
        <f t="shared" ca="1" si="18"/>
        <v>0</v>
      </c>
      <c r="ARU5" s="5">
        <f t="shared" ca="1" si="18"/>
        <v>0</v>
      </c>
      <c r="ARV5" s="5">
        <f t="shared" ca="1" si="18"/>
        <v>0</v>
      </c>
      <c r="ARW5" s="5">
        <f t="shared" ca="1" si="18"/>
        <v>0</v>
      </c>
      <c r="ARX5" s="5">
        <f t="shared" ca="1" si="18"/>
        <v>0</v>
      </c>
      <c r="ARY5" s="5">
        <f t="shared" ca="1" si="18"/>
        <v>0</v>
      </c>
      <c r="ARZ5" s="5">
        <f t="shared" ca="1" si="18"/>
        <v>0</v>
      </c>
      <c r="ASA5" s="5">
        <f t="shared" ca="1" si="18"/>
        <v>0</v>
      </c>
      <c r="ASB5" s="5">
        <f t="shared" ca="1" si="18"/>
        <v>0</v>
      </c>
      <c r="ASC5" s="5">
        <f t="shared" ca="1" si="18"/>
        <v>0</v>
      </c>
      <c r="ASD5" s="5">
        <f t="shared" ca="1" si="18"/>
        <v>0</v>
      </c>
      <c r="ASE5" s="5">
        <f t="shared" ca="1" si="18"/>
        <v>0</v>
      </c>
      <c r="ASF5" s="5">
        <f t="shared" ca="1" si="18"/>
        <v>0</v>
      </c>
      <c r="ASG5" s="5">
        <f t="shared" ca="1" si="18"/>
        <v>0</v>
      </c>
      <c r="ASH5" s="5">
        <f t="shared" ca="1" si="18"/>
        <v>0</v>
      </c>
      <c r="ASI5" s="5">
        <f t="shared" ca="1" si="18"/>
        <v>0</v>
      </c>
      <c r="ASJ5" s="5">
        <f t="shared" ca="1" si="18"/>
        <v>0</v>
      </c>
      <c r="ASK5" s="5">
        <f t="shared" ca="1" si="18"/>
        <v>0</v>
      </c>
      <c r="ASL5" s="5">
        <f t="shared" ca="1" si="18"/>
        <v>0</v>
      </c>
      <c r="ASM5" s="5">
        <f t="shared" ca="1" si="18"/>
        <v>0</v>
      </c>
      <c r="ASN5" s="5">
        <f t="shared" ca="1" si="18"/>
        <v>0</v>
      </c>
      <c r="ASO5" s="5">
        <f t="shared" ca="1" si="18"/>
        <v>0</v>
      </c>
      <c r="ASP5" s="5">
        <f t="shared" ca="1" si="18"/>
        <v>0</v>
      </c>
      <c r="ASQ5" s="5">
        <f t="shared" ca="1" si="18"/>
        <v>0</v>
      </c>
      <c r="ASR5" s="5">
        <f t="shared" ca="1" si="18"/>
        <v>0</v>
      </c>
      <c r="ASS5" s="5">
        <f t="shared" ca="1" si="18"/>
        <v>0</v>
      </c>
      <c r="AST5" s="5">
        <f t="shared" ca="1" si="18"/>
        <v>0</v>
      </c>
      <c r="ASU5" s="5">
        <f t="shared" ca="1" si="18"/>
        <v>0</v>
      </c>
      <c r="ASV5" s="5">
        <f t="shared" ca="1" si="18"/>
        <v>0</v>
      </c>
      <c r="ASW5" s="5">
        <f t="shared" ca="1" si="18"/>
        <v>0</v>
      </c>
      <c r="ASX5" s="5">
        <f t="shared" ca="1" si="18"/>
        <v>0</v>
      </c>
      <c r="ASY5" s="5">
        <f t="shared" ca="1" si="18"/>
        <v>0</v>
      </c>
      <c r="ASZ5" s="5">
        <f t="shared" ca="1" si="18"/>
        <v>0</v>
      </c>
      <c r="ATA5" s="5">
        <f t="shared" ca="1" si="18"/>
        <v>0</v>
      </c>
      <c r="ATB5" s="5">
        <f t="shared" ca="1" si="18"/>
        <v>0</v>
      </c>
      <c r="ATC5" s="5">
        <f t="shared" ca="1" si="18"/>
        <v>0</v>
      </c>
      <c r="ATD5" s="5">
        <f t="shared" ca="1" si="18"/>
        <v>0</v>
      </c>
      <c r="ATE5" s="5">
        <f t="shared" ca="1" si="18"/>
        <v>0</v>
      </c>
      <c r="ATF5" s="5">
        <f t="shared" ca="1" si="18"/>
        <v>0</v>
      </c>
      <c r="ATG5" s="5">
        <f t="shared" ca="1" si="18"/>
        <v>0</v>
      </c>
      <c r="ATH5" s="5">
        <f t="shared" ca="1" si="18"/>
        <v>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1:L1200"/>
  <sheetViews>
    <sheetView zoomScale="80" zoomScaleNormal="80" workbookViewId="0">
      <selection activeCell="L1" sqref="L1:L1200"/>
    </sheetView>
  </sheetViews>
  <sheetFormatPr defaultRowHeight="12.75" x14ac:dyDescent="0.2"/>
  <cols>
    <col min="1" max="1" width="5.28515625" bestFit="1" customWidth="1"/>
    <col min="2" max="2" width="5.85546875" bestFit="1" customWidth="1"/>
    <col min="3" max="3" width="3.42578125" bestFit="1" customWidth="1"/>
    <col min="4" max="4" width="13.28515625" bestFit="1" customWidth="1"/>
    <col min="5" max="5" width="2" bestFit="1" customWidth="1"/>
    <col min="6" max="6" width="3" bestFit="1" customWidth="1"/>
    <col min="7" max="7" width="32.5703125" bestFit="1" customWidth="1"/>
    <col min="10" max="10" width="2.42578125" bestFit="1" customWidth="1"/>
    <col min="11" max="11" width="4.42578125" bestFit="1" customWidth="1"/>
  </cols>
  <sheetData>
    <row r="1" spans="1:12" x14ac:dyDescent="0.2">
      <c r="A1" s="26" t="s">
        <v>36</v>
      </c>
      <c r="B1" t="s">
        <v>69</v>
      </c>
      <c r="C1">
        <v>1</v>
      </c>
      <c r="D1" s="26" t="s">
        <v>384</v>
      </c>
      <c r="E1" t="s">
        <v>71</v>
      </c>
      <c r="F1">
        <v>1</v>
      </c>
      <c r="G1" t="str">
        <f>A1&amp;B1&amp;C1&amp;D1&amp;E1&amp;F1</f>
        <v>CoStep1ColorT1</v>
      </c>
      <c r="J1" s="26" t="s">
        <v>72</v>
      </c>
      <c r="K1">
        <v>30</v>
      </c>
      <c r="L1" t="str">
        <f>J1&amp;K1</f>
        <v>B30</v>
      </c>
    </row>
    <row r="2" spans="1:12" x14ac:dyDescent="0.2">
      <c r="A2" s="26" t="s">
        <v>36</v>
      </c>
      <c r="B2" t="s">
        <v>69</v>
      </c>
      <c r="C2">
        <v>1</v>
      </c>
      <c r="D2" t="s">
        <v>68</v>
      </c>
      <c r="E2" t="s">
        <v>71</v>
      </c>
      <c r="F2">
        <v>1</v>
      </c>
      <c r="G2" t="str">
        <f>A2&amp;B2&amp;C2&amp;D2&amp;E2&amp;F2</f>
        <v>CoStep1StepLengthT1</v>
      </c>
      <c r="J2" s="26" t="s">
        <v>73</v>
      </c>
      <c r="K2">
        <v>30</v>
      </c>
      <c r="L2" t="str">
        <f t="shared" ref="L2:L50" si="0">J2&amp;K2</f>
        <v>E30</v>
      </c>
    </row>
    <row r="3" spans="1:12" x14ac:dyDescent="0.2">
      <c r="A3" s="26" t="s">
        <v>36</v>
      </c>
      <c r="B3" t="s">
        <v>69</v>
      </c>
      <c r="C3">
        <v>1</v>
      </c>
      <c r="D3" s="26" t="s">
        <v>400</v>
      </c>
      <c r="E3" t="s">
        <v>71</v>
      </c>
      <c r="F3">
        <v>1</v>
      </c>
      <c r="G3" t="str">
        <f>A3&amp;B3&amp;C3&amp;D3&amp;E3&amp;F3</f>
        <v>CoStep1StepTimeT1</v>
      </c>
      <c r="J3" s="26" t="s">
        <v>74</v>
      </c>
      <c r="K3">
        <v>30</v>
      </c>
      <c r="L3" t="str">
        <f t="shared" si="0"/>
        <v>J30</v>
      </c>
    </row>
    <row r="4" spans="1:12" x14ac:dyDescent="0.2">
      <c r="A4" s="26" t="s">
        <v>36</v>
      </c>
      <c r="B4" t="s">
        <v>69</v>
      </c>
      <c r="C4">
        <v>1</v>
      </c>
      <c r="D4" s="26" t="s">
        <v>401</v>
      </c>
      <c r="E4" t="s">
        <v>71</v>
      </c>
      <c r="F4">
        <v>1</v>
      </c>
      <c r="G4" t="str">
        <f>A4&amp;B4&amp;C4&amp;D4&amp;E4&amp;F4</f>
        <v>CoStep1DoubleSupportTimeT1</v>
      </c>
      <c r="J4" s="26" t="s">
        <v>75</v>
      </c>
      <c r="K4">
        <v>30</v>
      </c>
      <c r="L4" t="str">
        <f t="shared" si="0"/>
        <v>O30</v>
      </c>
    </row>
    <row r="5" spans="1:12" x14ac:dyDescent="0.2">
      <c r="A5" s="26" t="s">
        <v>36</v>
      </c>
      <c r="B5" t="s">
        <v>69</v>
      </c>
      <c r="C5">
        <v>1</v>
      </c>
      <c r="D5" s="26" t="s">
        <v>402</v>
      </c>
      <c r="E5" t="s">
        <v>71</v>
      </c>
      <c r="F5">
        <v>1</v>
      </c>
      <c r="G5" t="str">
        <f>A5&amp;B5&amp;C5&amp;D5&amp;E5&amp;F5</f>
        <v>CoStep1StanceTimeT1</v>
      </c>
      <c r="J5" s="26" t="s">
        <v>71</v>
      </c>
      <c r="K5">
        <v>30</v>
      </c>
      <c r="L5" t="str">
        <f t="shared" si="0"/>
        <v>T30</v>
      </c>
    </row>
    <row r="6" spans="1:12" x14ac:dyDescent="0.2">
      <c r="A6" s="26" t="s">
        <v>36</v>
      </c>
      <c r="B6" t="s">
        <v>69</v>
      </c>
      <c r="C6">
        <v>2</v>
      </c>
      <c r="D6" s="26" t="s">
        <v>384</v>
      </c>
      <c r="E6" t="s">
        <v>71</v>
      </c>
      <c r="F6">
        <v>1</v>
      </c>
      <c r="G6" t="str">
        <f t="shared" ref="G6:G69" si="1">A6&amp;B6&amp;C6&amp;D6&amp;E6&amp;F6</f>
        <v>CoStep2ColorT1</v>
      </c>
      <c r="J6" s="26" t="s">
        <v>72</v>
      </c>
      <c r="K6">
        <v>55</v>
      </c>
      <c r="L6" t="str">
        <f t="shared" si="0"/>
        <v>B55</v>
      </c>
    </row>
    <row r="7" spans="1:12" x14ac:dyDescent="0.2">
      <c r="A7" s="26" t="s">
        <v>36</v>
      </c>
      <c r="B7" t="s">
        <v>69</v>
      </c>
      <c r="C7">
        <v>2</v>
      </c>
      <c r="D7" t="s">
        <v>68</v>
      </c>
      <c r="E7" t="s">
        <v>71</v>
      </c>
      <c r="F7">
        <v>1</v>
      </c>
      <c r="G7" t="str">
        <f t="shared" si="1"/>
        <v>CoStep2StepLengthT1</v>
      </c>
      <c r="J7" s="26" t="s">
        <v>73</v>
      </c>
      <c r="K7">
        <v>55</v>
      </c>
      <c r="L7" t="str">
        <f t="shared" si="0"/>
        <v>E55</v>
      </c>
    </row>
    <row r="8" spans="1:12" x14ac:dyDescent="0.2">
      <c r="A8" s="26" t="s">
        <v>36</v>
      </c>
      <c r="B8" t="s">
        <v>69</v>
      </c>
      <c r="C8">
        <v>2</v>
      </c>
      <c r="D8" s="26" t="s">
        <v>400</v>
      </c>
      <c r="E8" t="s">
        <v>71</v>
      </c>
      <c r="F8">
        <v>1</v>
      </c>
      <c r="G8" t="str">
        <f t="shared" si="1"/>
        <v>CoStep2StepTimeT1</v>
      </c>
      <c r="J8" s="26" t="s">
        <v>74</v>
      </c>
      <c r="K8">
        <v>55</v>
      </c>
      <c r="L8" t="str">
        <f t="shared" si="0"/>
        <v>J55</v>
      </c>
    </row>
    <row r="9" spans="1:12" x14ac:dyDescent="0.2">
      <c r="A9" s="26" t="s">
        <v>36</v>
      </c>
      <c r="B9" t="s">
        <v>69</v>
      </c>
      <c r="C9">
        <v>2</v>
      </c>
      <c r="D9" s="26" t="s">
        <v>401</v>
      </c>
      <c r="E9" t="s">
        <v>71</v>
      </c>
      <c r="F9">
        <v>1</v>
      </c>
      <c r="G9" t="str">
        <f t="shared" si="1"/>
        <v>CoStep2DoubleSupportTimeT1</v>
      </c>
      <c r="J9" s="26" t="s">
        <v>75</v>
      </c>
      <c r="K9">
        <v>55</v>
      </c>
      <c r="L9" t="str">
        <f t="shared" si="0"/>
        <v>O55</v>
      </c>
    </row>
    <row r="10" spans="1:12" x14ac:dyDescent="0.2">
      <c r="A10" s="26" t="s">
        <v>36</v>
      </c>
      <c r="B10" t="s">
        <v>69</v>
      </c>
      <c r="C10">
        <v>2</v>
      </c>
      <c r="D10" s="26" t="s">
        <v>402</v>
      </c>
      <c r="E10" t="s">
        <v>71</v>
      </c>
      <c r="F10">
        <v>1</v>
      </c>
      <c r="G10" t="str">
        <f t="shared" si="1"/>
        <v>CoStep2StanceTimeT1</v>
      </c>
      <c r="J10" s="26" t="s">
        <v>71</v>
      </c>
      <c r="K10">
        <v>55</v>
      </c>
      <c r="L10" t="str">
        <f t="shared" si="0"/>
        <v>T55</v>
      </c>
    </row>
    <row r="11" spans="1:12" x14ac:dyDescent="0.2">
      <c r="A11" s="26" t="s">
        <v>36</v>
      </c>
      <c r="B11" t="s">
        <v>69</v>
      </c>
      <c r="C11">
        <v>3</v>
      </c>
      <c r="D11" s="26" t="s">
        <v>384</v>
      </c>
      <c r="E11" t="s">
        <v>71</v>
      </c>
      <c r="F11">
        <v>1</v>
      </c>
      <c r="G11" t="str">
        <f t="shared" si="1"/>
        <v>CoStep3ColorT1</v>
      </c>
      <c r="J11" s="26" t="s">
        <v>72</v>
      </c>
      <c r="K11">
        <v>80</v>
      </c>
      <c r="L11" t="str">
        <f t="shared" si="0"/>
        <v>B80</v>
      </c>
    </row>
    <row r="12" spans="1:12" x14ac:dyDescent="0.2">
      <c r="A12" s="26" t="s">
        <v>36</v>
      </c>
      <c r="B12" t="s">
        <v>69</v>
      </c>
      <c r="C12">
        <v>3</v>
      </c>
      <c r="D12" t="s">
        <v>68</v>
      </c>
      <c r="E12" t="s">
        <v>71</v>
      </c>
      <c r="F12">
        <v>1</v>
      </c>
      <c r="G12" t="str">
        <f t="shared" si="1"/>
        <v>CoStep3StepLengthT1</v>
      </c>
      <c r="J12" s="26" t="s">
        <v>73</v>
      </c>
      <c r="K12">
        <v>80</v>
      </c>
      <c r="L12" t="str">
        <f t="shared" si="0"/>
        <v>E80</v>
      </c>
    </row>
    <row r="13" spans="1:12" x14ac:dyDescent="0.2">
      <c r="A13" s="26" t="s">
        <v>36</v>
      </c>
      <c r="B13" t="s">
        <v>69</v>
      </c>
      <c r="C13">
        <v>3</v>
      </c>
      <c r="D13" s="26" t="s">
        <v>400</v>
      </c>
      <c r="E13" t="s">
        <v>71</v>
      </c>
      <c r="F13">
        <v>1</v>
      </c>
      <c r="G13" t="str">
        <f t="shared" si="1"/>
        <v>CoStep3StepTimeT1</v>
      </c>
      <c r="J13" s="26" t="s">
        <v>74</v>
      </c>
      <c r="K13">
        <v>80</v>
      </c>
      <c r="L13" t="str">
        <f t="shared" si="0"/>
        <v>J80</v>
      </c>
    </row>
    <row r="14" spans="1:12" x14ac:dyDescent="0.2">
      <c r="A14" s="26" t="s">
        <v>36</v>
      </c>
      <c r="B14" t="s">
        <v>69</v>
      </c>
      <c r="C14">
        <v>3</v>
      </c>
      <c r="D14" s="26" t="s">
        <v>401</v>
      </c>
      <c r="E14" t="s">
        <v>71</v>
      </c>
      <c r="F14">
        <v>1</v>
      </c>
      <c r="G14" t="str">
        <f t="shared" si="1"/>
        <v>CoStep3DoubleSupportTimeT1</v>
      </c>
      <c r="J14" s="26" t="s">
        <v>75</v>
      </c>
      <c r="K14">
        <v>80</v>
      </c>
      <c r="L14" t="str">
        <f t="shared" si="0"/>
        <v>O80</v>
      </c>
    </row>
    <row r="15" spans="1:12" x14ac:dyDescent="0.2">
      <c r="A15" s="26" t="s">
        <v>36</v>
      </c>
      <c r="B15" t="s">
        <v>69</v>
      </c>
      <c r="C15">
        <v>3</v>
      </c>
      <c r="D15" s="26" t="s">
        <v>402</v>
      </c>
      <c r="E15" t="s">
        <v>71</v>
      </c>
      <c r="F15">
        <v>1</v>
      </c>
      <c r="G15" t="str">
        <f t="shared" si="1"/>
        <v>CoStep3StanceTimeT1</v>
      </c>
      <c r="J15" s="26" t="s">
        <v>71</v>
      </c>
      <c r="K15">
        <v>80</v>
      </c>
      <c r="L15" t="str">
        <f t="shared" si="0"/>
        <v>T80</v>
      </c>
    </row>
    <row r="16" spans="1:12" x14ac:dyDescent="0.2">
      <c r="A16" s="26" t="s">
        <v>36</v>
      </c>
      <c r="B16" t="s">
        <v>69</v>
      </c>
      <c r="C16">
        <v>4</v>
      </c>
      <c r="D16" s="26" t="s">
        <v>384</v>
      </c>
      <c r="E16" t="s">
        <v>71</v>
      </c>
      <c r="F16">
        <v>1</v>
      </c>
      <c r="G16" t="str">
        <f t="shared" si="1"/>
        <v>CoStep4ColorT1</v>
      </c>
      <c r="J16" s="26" t="s">
        <v>72</v>
      </c>
      <c r="K16">
        <v>105</v>
      </c>
      <c r="L16" t="str">
        <f t="shared" si="0"/>
        <v>B105</v>
      </c>
    </row>
    <row r="17" spans="1:12" x14ac:dyDescent="0.2">
      <c r="A17" s="26" t="s">
        <v>36</v>
      </c>
      <c r="B17" t="s">
        <v>69</v>
      </c>
      <c r="C17">
        <v>4</v>
      </c>
      <c r="D17" t="s">
        <v>68</v>
      </c>
      <c r="E17" t="s">
        <v>71</v>
      </c>
      <c r="F17">
        <v>1</v>
      </c>
      <c r="G17" t="str">
        <f t="shared" si="1"/>
        <v>CoStep4StepLengthT1</v>
      </c>
      <c r="J17" s="26" t="s">
        <v>73</v>
      </c>
      <c r="K17">
        <v>105</v>
      </c>
      <c r="L17" t="str">
        <f t="shared" si="0"/>
        <v>E105</v>
      </c>
    </row>
    <row r="18" spans="1:12" x14ac:dyDescent="0.2">
      <c r="A18" s="26" t="s">
        <v>36</v>
      </c>
      <c r="B18" t="s">
        <v>69</v>
      </c>
      <c r="C18">
        <v>4</v>
      </c>
      <c r="D18" s="26" t="s">
        <v>400</v>
      </c>
      <c r="E18" t="s">
        <v>71</v>
      </c>
      <c r="F18">
        <v>1</v>
      </c>
      <c r="G18" t="str">
        <f t="shared" si="1"/>
        <v>CoStep4StepTimeT1</v>
      </c>
      <c r="J18" s="26" t="s">
        <v>74</v>
      </c>
      <c r="K18">
        <v>105</v>
      </c>
      <c r="L18" t="str">
        <f t="shared" si="0"/>
        <v>J105</v>
      </c>
    </row>
    <row r="19" spans="1:12" x14ac:dyDescent="0.2">
      <c r="A19" s="26" t="s">
        <v>36</v>
      </c>
      <c r="B19" t="s">
        <v>69</v>
      </c>
      <c r="C19">
        <v>4</v>
      </c>
      <c r="D19" s="26" t="s">
        <v>401</v>
      </c>
      <c r="E19" t="s">
        <v>71</v>
      </c>
      <c r="F19">
        <v>1</v>
      </c>
      <c r="G19" t="str">
        <f t="shared" si="1"/>
        <v>CoStep4DoubleSupportTimeT1</v>
      </c>
      <c r="J19" s="26" t="s">
        <v>75</v>
      </c>
      <c r="K19">
        <v>105</v>
      </c>
      <c r="L19" t="str">
        <f t="shared" si="0"/>
        <v>O105</v>
      </c>
    </row>
    <row r="20" spans="1:12" x14ac:dyDescent="0.2">
      <c r="A20" s="26" t="s">
        <v>36</v>
      </c>
      <c r="B20" t="s">
        <v>69</v>
      </c>
      <c r="C20">
        <v>4</v>
      </c>
      <c r="D20" s="26" t="s">
        <v>402</v>
      </c>
      <c r="E20" t="s">
        <v>71</v>
      </c>
      <c r="F20">
        <v>1</v>
      </c>
      <c r="G20" t="str">
        <f t="shared" si="1"/>
        <v>CoStep4StanceTimeT1</v>
      </c>
      <c r="J20" s="26" t="s">
        <v>71</v>
      </c>
      <c r="K20">
        <v>105</v>
      </c>
      <c r="L20" t="str">
        <f t="shared" si="0"/>
        <v>T105</v>
      </c>
    </row>
    <row r="21" spans="1:12" x14ac:dyDescent="0.2">
      <c r="A21" s="26" t="s">
        <v>36</v>
      </c>
      <c r="B21" t="s">
        <v>69</v>
      </c>
      <c r="C21">
        <v>5</v>
      </c>
      <c r="D21" s="26" t="s">
        <v>384</v>
      </c>
      <c r="E21" t="s">
        <v>71</v>
      </c>
      <c r="F21">
        <v>1</v>
      </c>
      <c r="G21" t="str">
        <f t="shared" si="1"/>
        <v>CoStep5ColorT1</v>
      </c>
      <c r="J21" s="26" t="s">
        <v>72</v>
      </c>
      <c r="K21">
        <v>130</v>
      </c>
      <c r="L21" t="str">
        <f t="shared" si="0"/>
        <v>B130</v>
      </c>
    </row>
    <row r="22" spans="1:12" x14ac:dyDescent="0.2">
      <c r="A22" s="26" t="s">
        <v>36</v>
      </c>
      <c r="B22" t="s">
        <v>69</v>
      </c>
      <c r="C22">
        <v>5</v>
      </c>
      <c r="D22" t="s">
        <v>68</v>
      </c>
      <c r="E22" t="s">
        <v>71</v>
      </c>
      <c r="F22">
        <v>1</v>
      </c>
      <c r="G22" t="str">
        <f t="shared" si="1"/>
        <v>CoStep5StepLengthT1</v>
      </c>
      <c r="J22" s="26" t="s">
        <v>73</v>
      </c>
      <c r="K22">
        <v>130</v>
      </c>
      <c r="L22" t="str">
        <f t="shared" si="0"/>
        <v>E130</v>
      </c>
    </row>
    <row r="23" spans="1:12" x14ac:dyDescent="0.2">
      <c r="A23" s="26" t="s">
        <v>36</v>
      </c>
      <c r="B23" t="s">
        <v>69</v>
      </c>
      <c r="C23">
        <v>5</v>
      </c>
      <c r="D23" s="26" t="s">
        <v>400</v>
      </c>
      <c r="E23" t="s">
        <v>71</v>
      </c>
      <c r="F23">
        <v>1</v>
      </c>
      <c r="G23" t="str">
        <f t="shared" si="1"/>
        <v>CoStep5StepTimeT1</v>
      </c>
      <c r="J23" s="26" t="s">
        <v>74</v>
      </c>
      <c r="K23">
        <v>130</v>
      </c>
      <c r="L23" t="str">
        <f t="shared" si="0"/>
        <v>J130</v>
      </c>
    </row>
    <row r="24" spans="1:12" x14ac:dyDescent="0.2">
      <c r="A24" s="26" t="s">
        <v>36</v>
      </c>
      <c r="B24" t="s">
        <v>69</v>
      </c>
      <c r="C24">
        <v>5</v>
      </c>
      <c r="D24" s="26" t="s">
        <v>401</v>
      </c>
      <c r="E24" t="s">
        <v>71</v>
      </c>
      <c r="F24">
        <v>1</v>
      </c>
      <c r="G24" t="str">
        <f t="shared" si="1"/>
        <v>CoStep5DoubleSupportTimeT1</v>
      </c>
      <c r="J24" s="26" t="s">
        <v>75</v>
      </c>
      <c r="K24">
        <v>130</v>
      </c>
      <c r="L24" t="str">
        <f t="shared" si="0"/>
        <v>O130</v>
      </c>
    </row>
    <row r="25" spans="1:12" x14ac:dyDescent="0.2">
      <c r="A25" s="26" t="s">
        <v>36</v>
      </c>
      <c r="B25" t="s">
        <v>69</v>
      </c>
      <c r="C25">
        <v>5</v>
      </c>
      <c r="D25" s="26" t="s">
        <v>402</v>
      </c>
      <c r="E25" t="s">
        <v>71</v>
      </c>
      <c r="F25">
        <v>1</v>
      </c>
      <c r="G25" t="str">
        <f t="shared" si="1"/>
        <v>CoStep5StanceTimeT1</v>
      </c>
      <c r="J25" s="26" t="s">
        <v>71</v>
      </c>
      <c r="K25">
        <v>130</v>
      </c>
      <c r="L25" t="str">
        <f t="shared" si="0"/>
        <v>T130</v>
      </c>
    </row>
    <row r="26" spans="1:12" x14ac:dyDescent="0.2">
      <c r="A26" s="26" t="s">
        <v>36</v>
      </c>
      <c r="B26" t="s">
        <v>69</v>
      </c>
      <c r="C26">
        <v>6</v>
      </c>
      <c r="D26" s="26" t="s">
        <v>384</v>
      </c>
      <c r="E26" t="s">
        <v>71</v>
      </c>
      <c r="F26">
        <v>1</v>
      </c>
      <c r="G26" t="str">
        <f t="shared" si="1"/>
        <v>CoStep6ColorT1</v>
      </c>
      <c r="J26" s="26" t="s">
        <v>72</v>
      </c>
      <c r="K26">
        <v>155</v>
      </c>
      <c r="L26" t="str">
        <f t="shared" si="0"/>
        <v>B155</v>
      </c>
    </row>
    <row r="27" spans="1:12" x14ac:dyDescent="0.2">
      <c r="A27" s="26" t="s">
        <v>36</v>
      </c>
      <c r="B27" t="s">
        <v>69</v>
      </c>
      <c r="C27">
        <v>6</v>
      </c>
      <c r="D27" t="s">
        <v>68</v>
      </c>
      <c r="E27" t="s">
        <v>71</v>
      </c>
      <c r="F27">
        <v>1</v>
      </c>
      <c r="G27" t="str">
        <f t="shared" si="1"/>
        <v>CoStep6StepLengthT1</v>
      </c>
      <c r="J27" s="26" t="s">
        <v>73</v>
      </c>
      <c r="K27">
        <v>155</v>
      </c>
      <c r="L27" t="str">
        <f t="shared" si="0"/>
        <v>E155</v>
      </c>
    </row>
    <row r="28" spans="1:12" x14ac:dyDescent="0.2">
      <c r="A28" s="26" t="s">
        <v>36</v>
      </c>
      <c r="B28" t="s">
        <v>69</v>
      </c>
      <c r="C28">
        <v>6</v>
      </c>
      <c r="D28" s="26" t="s">
        <v>400</v>
      </c>
      <c r="E28" t="s">
        <v>71</v>
      </c>
      <c r="F28">
        <v>1</v>
      </c>
      <c r="G28" t="str">
        <f t="shared" si="1"/>
        <v>CoStep6StepTimeT1</v>
      </c>
      <c r="J28" s="26" t="s">
        <v>74</v>
      </c>
      <c r="K28">
        <v>155</v>
      </c>
      <c r="L28" t="str">
        <f t="shared" si="0"/>
        <v>J155</v>
      </c>
    </row>
    <row r="29" spans="1:12" x14ac:dyDescent="0.2">
      <c r="A29" s="26" t="s">
        <v>36</v>
      </c>
      <c r="B29" t="s">
        <v>69</v>
      </c>
      <c r="C29">
        <v>6</v>
      </c>
      <c r="D29" s="26" t="s">
        <v>401</v>
      </c>
      <c r="E29" t="s">
        <v>71</v>
      </c>
      <c r="F29">
        <v>1</v>
      </c>
      <c r="G29" t="str">
        <f t="shared" si="1"/>
        <v>CoStep6DoubleSupportTimeT1</v>
      </c>
      <c r="J29" s="26" t="s">
        <v>75</v>
      </c>
      <c r="K29">
        <v>155</v>
      </c>
      <c r="L29" t="str">
        <f t="shared" si="0"/>
        <v>O155</v>
      </c>
    </row>
    <row r="30" spans="1:12" x14ac:dyDescent="0.2">
      <c r="A30" s="26" t="s">
        <v>36</v>
      </c>
      <c r="B30" t="s">
        <v>69</v>
      </c>
      <c r="C30">
        <v>6</v>
      </c>
      <c r="D30" s="26" t="s">
        <v>402</v>
      </c>
      <c r="E30" t="s">
        <v>71</v>
      </c>
      <c r="F30">
        <v>1</v>
      </c>
      <c r="G30" t="str">
        <f t="shared" si="1"/>
        <v>CoStep6StanceTimeT1</v>
      </c>
      <c r="J30" s="26" t="s">
        <v>71</v>
      </c>
      <c r="K30">
        <v>155</v>
      </c>
      <c r="L30" t="str">
        <f t="shared" si="0"/>
        <v>T155</v>
      </c>
    </row>
    <row r="31" spans="1:12" x14ac:dyDescent="0.2">
      <c r="A31" s="26" t="s">
        <v>36</v>
      </c>
      <c r="B31" t="s">
        <v>69</v>
      </c>
      <c r="C31">
        <v>7</v>
      </c>
      <c r="D31" s="26" t="s">
        <v>384</v>
      </c>
      <c r="E31" t="s">
        <v>71</v>
      </c>
      <c r="F31">
        <v>1</v>
      </c>
      <c r="G31" t="str">
        <f t="shared" si="1"/>
        <v>CoStep7ColorT1</v>
      </c>
      <c r="J31" s="26" t="s">
        <v>72</v>
      </c>
      <c r="K31">
        <v>188</v>
      </c>
      <c r="L31" t="str">
        <f t="shared" si="0"/>
        <v>B188</v>
      </c>
    </row>
    <row r="32" spans="1:12" x14ac:dyDescent="0.2">
      <c r="A32" s="26" t="s">
        <v>36</v>
      </c>
      <c r="B32" t="s">
        <v>69</v>
      </c>
      <c r="C32">
        <v>7</v>
      </c>
      <c r="D32" t="s">
        <v>68</v>
      </c>
      <c r="E32" t="s">
        <v>71</v>
      </c>
      <c r="F32">
        <v>1</v>
      </c>
      <c r="G32" t="str">
        <f t="shared" si="1"/>
        <v>CoStep7StepLengthT1</v>
      </c>
      <c r="J32" s="26" t="s">
        <v>73</v>
      </c>
      <c r="K32">
        <v>188</v>
      </c>
      <c r="L32" t="str">
        <f t="shared" si="0"/>
        <v>E188</v>
      </c>
    </row>
    <row r="33" spans="1:12" x14ac:dyDescent="0.2">
      <c r="A33" s="26" t="s">
        <v>36</v>
      </c>
      <c r="B33" t="s">
        <v>69</v>
      </c>
      <c r="C33">
        <v>7</v>
      </c>
      <c r="D33" s="26" t="s">
        <v>400</v>
      </c>
      <c r="E33" t="s">
        <v>71</v>
      </c>
      <c r="F33">
        <v>1</v>
      </c>
      <c r="G33" t="str">
        <f t="shared" si="1"/>
        <v>CoStep7StepTimeT1</v>
      </c>
      <c r="J33" s="26" t="s">
        <v>74</v>
      </c>
      <c r="K33">
        <v>188</v>
      </c>
      <c r="L33" t="str">
        <f t="shared" si="0"/>
        <v>J188</v>
      </c>
    </row>
    <row r="34" spans="1:12" x14ac:dyDescent="0.2">
      <c r="A34" s="26" t="s">
        <v>36</v>
      </c>
      <c r="B34" t="s">
        <v>69</v>
      </c>
      <c r="C34">
        <v>7</v>
      </c>
      <c r="D34" s="26" t="s">
        <v>401</v>
      </c>
      <c r="E34" t="s">
        <v>71</v>
      </c>
      <c r="F34">
        <v>1</v>
      </c>
      <c r="G34" t="str">
        <f t="shared" si="1"/>
        <v>CoStep7DoubleSupportTimeT1</v>
      </c>
      <c r="J34" s="26" t="s">
        <v>75</v>
      </c>
      <c r="K34">
        <v>188</v>
      </c>
      <c r="L34" t="str">
        <f t="shared" si="0"/>
        <v>O188</v>
      </c>
    </row>
    <row r="35" spans="1:12" x14ac:dyDescent="0.2">
      <c r="A35" s="26" t="s">
        <v>36</v>
      </c>
      <c r="B35" t="s">
        <v>69</v>
      </c>
      <c r="C35">
        <v>7</v>
      </c>
      <c r="D35" s="26" t="s">
        <v>402</v>
      </c>
      <c r="E35" t="s">
        <v>71</v>
      </c>
      <c r="F35">
        <v>1</v>
      </c>
      <c r="G35" t="str">
        <f t="shared" si="1"/>
        <v>CoStep7StanceTimeT1</v>
      </c>
      <c r="J35" s="26" t="s">
        <v>71</v>
      </c>
      <c r="K35">
        <v>188</v>
      </c>
      <c r="L35" t="str">
        <f t="shared" si="0"/>
        <v>T188</v>
      </c>
    </row>
    <row r="36" spans="1:12" x14ac:dyDescent="0.2">
      <c r="A36" s="26" t="s">
        <v>36</v>
      </c>
      <c r="B36" t="s">
        <v>69</v>
      </c>
      <c r="C36">
        <v>8</v>
      </c>
      <c r="D36" s="26" t="s">
        <v>384</v>
      </c>
      <c r="E36" t="s">
        <v>71</v>
      </c>
      <c r="F36">
        <v>1</v>
      </c>
      <c r="G36" t="str">
        <f t="shared" si="1"/>
        <v>CoStep8ColorT1</v>
      </c>
      <c r="J36" s="26" t="s">
        <v>72</v>
      </c>
      <c r="K36">
        <v>205</v>
      </c>
      <c r="L36" t="str">
        <f t="shared" si="0"/>
        <v>B205</v>
      </c>
    </row>
    <row r="37" spans="1:12" x14ac:dyDescent="0.2">
      <c r="A37" s="26" t="s">
        <v>36</v>
      </c>
      <c r="B37" t="s">
        <v>69</v>
      </c>
      <c r="C37">
        <v>8</v>
      </c>
      <c r="D37" t="s">
        <v>68</v>
      </c>
      <c r="E37" t="s">
        <v>71</v>
      </c>
      <c r="F37">
        <v>1</v>
      </c>
      <c r="G37" t="str">
        <f t="shared" si="1"/>
        <v>CoStep8StepLengthT1</v>
      </c>
      <c r="J37" s="26" t="s">
        <v>73</v>
      </c>
      <c r="K37">
        <v>205</v>
      </c>
      <c r="L37" t="str">
        <f t="shared" si="0"/>
        <v>E205</v>
      </c>
    </row>
    <row r="38" spans="1:12" x14ac:dyDescent="0.2">
      <c r="A38" s="26" t="s">
        <v>36</v>
      </c>
      <c r="B38" t="s">
        <v>69</v>
      </c>
      <c r="C38">
        <v>8</v>
      </c>
      <c r="D38" s="26" t="s">
        <v>400</v>
      </c>
      <c r="E38" t="s">
        <v>71</v>
      </c>
      <c r="F38">
        <v>1</v>
      </c>
      <c r="G38" t="str">
        <f t="shared" si="1"/>
        <v>CoStep8StepTimeT1</v>
      </c>
      <c r="J38" s="26" t="s">
        <v>74</v>
      </c>
      <c r="K38">
        <v>205</v>
      </c>
      <c r="L38" t="str">
        <f t="shared" si="0"/>
        <v>J205</v>
      </c>
    </row>
    <row r="39" spans="1:12" x14ac:dyDescent="0.2">
      <c r="A39" s="26" t="s">
        <v>36</v>
      </c>
      <c r="B39" t="s">
        <v>69</v>
      </c>
      <c r="C39">
        <v>8</v>
      </c>
      <c r="D39" s="26" t="s">
        <v>401</v>
      </c>
      <c r="E39" t="s">
        <v>71</v>
      </c>
      <c r="F39">
        <v>1</v>
      </c>
      <c r="G39" t="str">
        <f t="shared" si="1"/>
        <v>CoStep8DoubleSupportTimeT1</v>
      </c>
      <c r="J39" s="26" t="s">
        <v>75</v>
      </c>
      <c r="K39">
        <v>205</v>
      </c>
      <c r="L39" t="str">
        <f t="shared" si="0"/>
        <v>O205</v>
      </c>
    </row>
    <row r="40" spans="1:12" x14ac:dyDescent="0.2">
      <c r="A40" s="26" t="s">
        <v>36</v>
      </c>
      <c r="B40" t="s">
        <v>69</v>
      </c>
      <c r="C40">
        <v>8</v>
      </c>
      <c r="D40" s="26" t="s">
        <v>402</v>
      </c>
      <c r="E40" t="s">
        <v>71</v>
      </c>
      <c r="F40">
        <v>1</v>
      </c>
      <c r="G40" t="str">
        <f t="shared" si="1"/>
        <v>CoStep8StanceTimeT1</v>
      </c>
      <c r="J40" s="26" t="s">
        <v>71</v>
      </c>
      <c r="K40">
        <v>205</v>
      </c>
      <c r="L40" t="str">
        <f t="shared" si="0"/>
        <v>T205</v>
      </c>
    </row>
    <row r="41" spans="1:12" x14ac:dyDescent="0.2">
      <c r="A41" s="26" t="s">
        <v>36</v>
      </c>
      <c r="B41" t="s">
        <v>69</v>
      </c>
      <c r="C41">
        <v>9</v>
      </c>
      <c r="D41" s="26" t="s">
        <v>384</v>
      </c>
      <c r="E41" t="s">
        <v>71</v>
      </c>
      <c r="F41">
        <v>1</v>
      </c>
      <c r="G41" t="str">
        <f t="shared" si="1"/>
        <v>CoStep9ColorT1</v>
      </c>
      <c r="J41" s="26" t="s">
        <v>72</v>
      </c>
      <c r="K41">
        <v>230</v>
      </c>
      <c r="L41" t="str">
        <f t="shared" si="0"/>
        <v>B230</v>
      </c>
    </row>
    <row r="42" spans="1:12" x14ac:dyDescent="0.2">
      <c r="A42" s="26" t="s">
        <v>36</v>
      </c>
      <c r="B42" t="s">
        <v>69</v>
      </c>
      <c r="C42">
        <v>9</v>
      </c>
      <c r="D42" t="s">
        <v>68</v>
      </c>
      <c r="E42" t="s">
        <v>71</v>
      </c>
      <c r="F42">
        <v>1</v>
      </c>
      <c r="G42" t="str">
        <f t="shared" si="1"/>
        <v>CoStep9StepLengthT1</v>
      </c>
      <c r="J42" s="26" t="s">
        <v>73</v>
      </c>
      <c r="K42">
        <v>230</v>
      </c>
      <c r="L42" t="str">
        <f t="shared" si="0"/>
        <v>E230</v>
      </c>
    </row>
    <row r="43" spans="1:12" x14ac:dyDescent="0.2">
      <c r="A43" s="26" t="s">
        <v>36</v>
      </c>
      <c r="B43" t="s">
        <v>69</v>
      </c>
      <c r="C43">
        <v>9</v>
      </c>
      <c r="D43" s="26" t="s">
        <v>400</v>
      </c>
      <c r="E43" t="s">
        <v>71</v>
      </c>
      <c r="F43">
        <v>1</v>
      </c>
      <c r="G43" t="str">
        <f t="shared" si="1"/>
        <v>CoStep9StepTimeT1</v>
      </c>
      <c r="J43" s="26" t="s">
        <v>74</v>
      </c>
      <c r="K43">
        <v>230</v>
      </c>
      <c r="L43" t="str">
        <f t="shared" si="0"/>
        <v>J230</v>
      </c>
    </row>
    <row r="44" spans="1:12" x14ac:dyDescent="0.2">
      <c r="A44" s="26" t="s">
        <v>36</v>
      </c>
      <c r="B44" t="s">
        <v>69</v>
      </c>
      <c r="C44">
        <v>9</v>
      </c>
      <c r="D44" s="26" t="s">
        <v>401</v>
      </c>
      <c r="E44" t="s">
        <v>71</v>
      </c>
      <c r="F44">
        <v>1</v>
      </c>
      <c r="G44" t="str">
        <f t="shared" si="1"/>
        <v>CoStep9DoubleSupportTimeT1</v>
      </c>
      <c r="J44" s="26" t="s">
        <v>75</v>
      </c>
      <c r="K44">
        <v>230</v>
      </c>
      <c r="L44" t="str">
        <f t="shared" si="0"/>
        <v>O230</v>
      </c>
    </row>
    <row r="45" spans="1:12" x14ac:dyDescent="0.2">
      <c r="A45" s="26" t="s">
        <v>36</v>
      </c>
      <c r="B45" t="s">
        <v>69</v>
      </c>
      <c r="C45">
        <v>9</v>
      </c>
      <c r="D45" s="26" t="s">
        <v>402</v>
      </c>
      <c r="E45" t="s">
        <v>71</v>
      </c>
      <c r="F45">
        <v>1</v>
      </c>
      <c r="G45" t="str">
        <f t="shared" si="1"/>
        <v>CoStep9StanceTimeT1</v>
      </c>
      <c r="J45" s="26" t="s">
        <v>71</v>
      </c>
      <c r="K45">
        <v>230</v>
      </c>
      <c r="L45" t="str">
        <f t="shared" si="0"/>
        <v>T230</v>
      </c>
    </row>
    <row r="46" spans="1:12" x14ac:dyDescent="0.2">
      <c r="A46" s="26" t="s">
        <v>36</v>
      </c>
      <c r="B46" t="s">
        <v>69</v>
      </c>
      <c r="C46">
        <v>10</v>
      </c>
      <c r="D46" s="26" t="s">
        <v>384</v>
      </c>
      <c r="E46" t="s">
        <v>71</v>
      </c>
      <c r="F46">
        <v>1</v>
      </c>
      <c r="G46" t="str">
        <f t="shared" si="1"/>
        <v>CoStep10ColorT1</v>
      </c>
      <c r="J46" s="26" t="s">
        <v>72</v>
      </c>
      <c r="K46">
        <v>255</v>
      </c>
      <c r="L46" t="str">
        <f t="shared" si="0"/>
        <v>B255</v>
      </c>
    </row>
    <row r="47" spans="1:12" x14ac:dyDescent="0.2">
      <c r="A47" s="26" t="s">
        <v>36</v>
      </c>
      <c r="B47" t="s">
        <v>69</v>
      </c>
      <c r="C47">
        <v>10</v>
      </c>
      <c r="D47" t="s">
        <v>68</v>
      </c>
      <c r="E47" t="s">
        <v>71</v>
      </c>
      <c r="F47">
        <v>1</v>
      </c>
      <c r="G47" t="str">
        <f t="shared" si="1"/>
        <v>CoStep10StepLengthT1</v>
      </c>
      <c r="J47" s="26" t="s">
        <v>73</v>
      </c>
      <c r="K47">
        <v>255</v>
      </c>
      <c r="L47" t="str">
        <f t="shared" si="0"/>
        <v>E255</v>
      </c>
    </row>
    <row r="48" spans="1:12" x14ac:dyDescent="0.2">
      <c r="A48" s="26" t="s">
        <v>36</v>
      </c>
      <c r="B48" t="s">
        <v>69</v>
      </c>
      <c r="C48">
        <v>10</v>
      </c>
      <c r="D48" s="26" t="s">
        <v>400</v>
      </c>
      <c r="E48" t="s">
        <v>71</v>
      </c>
      <c r="F48">
        <v>1</v>
      </c>
      <c r="G48" t="str">
        <f t="shared" si="1"/>
        <v>CoStep10StepTimeT1</v>
      </c>
      <c r="J48" s="26" t="s">
        <v>74</v>
      </c>
      <c r="K48">
        <v>255</v>
      </c>
      <c r="L48" t="str">
        <f t="shared" si="0"/>
        <v>J255</v>
      </c>
    </row>
    <row r="49" spans="1:12" x14ac:dyDescent="0.2">
      <c r="A49" s="26" t="s">
        <v>36</v>
      </c>
      <c r="B49" t="s">
        <v>69</v>
      </c>
      <c r="C49">
        <v>10</v>
      </c>
      <c r="D49" s="26" t="s">
        <v>401</v>
      </c>
      <c r="E49" t="s">
        <v>71</v>
      </c>
      <c r="F49">
        <v>1</v>
      </c>
      <c r="G49" t="str">
        <f t="shared" si="1"/>
        <v>CoStep10DoubleSupportTimeT1</v>
      </c>
      <c r="J49" s="26" t="s">
        <v>75</v>
      </c>
      <c r="K49">
        <v>255</v>
      </c>
      <c r="L49" t="str">
        <f t="shared" si="0"/>
        <v>O255</v>
      </c>
    </row>
    <row r="50" spans="1:12" x14ac:dyDescent="0.2">
      <c r="A50" s="26" t="s">
        <v>36</v>
      </c>
      <c r="B50" t="s">
        <v>69</v>
      </c>
      <c r="C50">
        <v>10</v>
      </c>
      <c r="D50" s="26" t="s">
        <v>402</v>
      </c>
      <c r="E50" t="s">
        <v>71</v>
      </c>
      <c r="F50">
        <v>1</v>
      </c>
      <c r="G50" t="str">
        <f t="shared" si="1"/>
        <v>CoStep10StanceTimeT1</v>
      </c>
      <c r="J50" s="26" t="s">
        <v>71</v>
      </c>
      <c r="K50">
        <v>255</v>
      </c>
      <c r="L50" t="str">
        <f t="shared" si="0"/>
        <v>T255</v>
      </c>
    </row>
    <row r="51" spans="1:12" x14ac:dyDescent="0.2">
      <c r="A51" s="26" t="s">
        <v>36</v>
      </c>
      <c r="B51" t="s">
        <v>69</v>
      </c>
      <c r="C51">
        <v>1</v>
      </c>
      <c r="D51" s="26" t="s">
        <v>384</v>
      </c>
      <c r="E51" t="s">
        <v>71</v>
      </c>
      <c r="F51">
        <v>2</v>
      </c>
      <c r="G51" t="str">
        <f t="shared" si="1"/>
        <v>CoStep1ColorT2</v>
      </c>
      <c r="J51" s="26" t="s">
        <v>72</v>
      </c>
      <c r="K51">
        <v>30</v>
      </c>
      <c r="L51" t="str">
        <f>J51&amp;K51</f>
        <v>B30</v>
      </c>
    </row>
    <row r="52" spans="1:12" x14ac:dyDescent="0.2">
      <c r="A52" s="26" t="s">
        <v>36</v>
      </c>
      <c r="B52" t="s">
        <v>69</v>
      </c>
      <c r="C52">
        <v>1</v>
      </c>
      <c r="D52" t="s">
        <v>68</v>
      </c>
      <c r="E52" t="s">
        <v>71</v>
      </c>
      <c r="F52">
        <v>2</v>
      </c>
      <c r="G52" t="str">
        <f t="shared" si="1"/>
        <v>CoStep1StepLengthT2</v>
      </c>
      <c r="J52" s="26" t="s">
        <v>73</v>
      </c>
      <c r="K52">
        <v>30</v>
      </c>
      <c r="L52" t="str">
        <f t="shared" ref="L52:L100" si="2">J52&amp;K52</f>
        <v>E30</v>
      </c>
    </row>
    <row r="53" spans="1:12" x14ac:dyDescent="0.2">
      <c r="A53" s="26" t="s">
        <v>36</v>
      </c>
      <c r="B53" t="s">
        <v>69</v>
      </c>
      <c r="C53">
        <v>1</v>
      </c>
      <c r="D53" s="26" t="s">
        <v>400</v>
      </c>
      <c r="E53" t="s">
        <v>71</v>
      </c>
      <c r="F53">
        <v>2</v>
      </c>
      <c r="G53" t="str">
        <f t="shared" si="1"/>
        <v>CoStep1StepTimeT2</v>
      </c>
      <c r="J53" s="26" t="s">
        <v>74</v>
      </c>
      <c r="K53">
        <v>30</v>
      </c>
      <c r="L53" t="str">
        <f t="shared" si="2"/>
        <v>J30</v>
      </c>
    </row>
    <row r="54" spans="1:12" x14ac:dyDescent="0.2">
      <c r="A54" s="26" t="s">
        <v>36</v>
      </c>
      <c r="B54" t="s">
        <v>69</v>
      </c>
      <c r="C54">
        <v>1</v>
      </c>
      <c r="D54" s="26" t="s">
        <v>401</v>
      </c>
      <c r="E54" t="s">
        <v>71</v>
      </c>
      <c r="F54">
        <v>2</v>
      </c>
      <c r="G54" t="str">
        <f t="shared" si="1"/>
        <v>CoStep1DoubleSupportTimeT2</v>
      </c>
      <c r="J54" s="26" t="s">
        <v>75</v>
      </c>
      <c r="K54">
        <v>30</v>
      </c>
      <c r="L54" t="str">
        <f t="shared" si="2"/>
        <v>O30</v>
      </c>
    </row>
    <row r="55" spans="1:12" x14ac:dyDescent="0.2">
      <c r="A55" s="26" t="s">
        <v>36</v>
      </c>
      <c r="B55" t="s">
        <v>69</v>
      </c>
      <c r="C55">
        <v>1</v>
      </c>
      <c r="D55" s="26" t="s">
        <v>402</v>
      </c>
      <c r="E55" t="s">
        <v>71</v>
      </c>
      <c r="F55">
        <v>2</v>
      </c>
      <c r="G55" t="str">
        <f t="shared" si="1"/>
        <v>CoStep1StanceTimeT2</v>
      </c>
      <c r="J55" s="26" t="s">
        <v>71</v>
      </c>
      <c r="K55">
        <v>30</v>
      </c>
      <c r="L55" t="str">
        <f t="shared" si="2"/>
        <v>T30</v>
      </c>
    </row>
    <row r="56" spans="1:12" x14ac:dyDescent="0.2">
      <c r="A56" s="26" t="s">
        <v>36</v>
      </c>
      <c r="B56" t="s">
        <v>69</v>
      </c>
      <c r="C56">
        <v>2</v>
      </c>
      <c r="D56" s="26" t="s">
        <v>384</v>
      </c>
      <c r="E56" t="s">
        <v>71</v>
      </c>
      <c r="F56">
        <v>2</v>
      </c>
      <c r="G56" t="str">
        <f t="shared" si="1"/>
        <v>CoStep2ColorT2</v>
      </c>
      <c r="J56" s="26" t="s">
        <v>72</v>
      </c>
      <c r="K56">
        <v>55</v>
      </c>
      <c r="L56" t="str">
        <f t="shared" si="2"/>
        <v>B55</v>
      </c>
    </row>
    <row r="57" spans="1:12" x14ac:dyDescent="0.2">
      <c r="A57" s="26" t="s">
        <v>36</v>
      </c>
      <c r="B57" t="s">
        <v>69</v>
      </c>
      <c r="C57">
        <v>2</v>
      </c>
      <c r="D57" t="s">
        <v>68</v>
      </c>
      <c r="E57" t="s">
        <v>71</v>
      </c>
      <c r="F57">
        <v>2</v>
      </c>
      <c r="G57" t="str">
        <f t="shared" si="1"/>
        <v>CoStep2StepLengthT2</v>
      </c>
      <c r="J57" s="26" t="s">
        <v>73</v>
      </c>
      <c r="K57">
        <v>55</v>
      </c>
      <c r="L57" t="str">
        <f t="shared" si="2"/>
        <v>E55</v>
      </c>
    </row>
    <row r="58" spans="1:12" x14ac:dyDescent="0.2">
      <c r="A58" s="26" t="s">
        <v>36</v>
      </c>
      <c r="B58" t="s">
        <v>69</v>
      </c>
      <c r="C58">
        <v>2</v>
      </c>
      <c r="D58" s="26" t="s">
        <v>400</v>
      </c>
      <c r="E58" t="s">
        <v>71</v>
      </c>
      <c r="F58">
        <v>2</v>
      </c>
      <c r="G58" t="str">
        <f t="shared" si="1"/>
        <v>CoStep2StepTimeT2</v>
      </c>
      <c r="J58" s="26" t="s">
        <v>74</v>
      </c>
      <c r="K58">
        <v>55</v>
      </c>
      <c r="L58" t="str">
        <f t="shared" si="2"/>
        <v>J55</v>
      </c>
    </row>
    <row r="59" spans="1:12" x14ac:dyDescent="0.2">
      <c r="A59" s="26" t="s">
        <v>36</v>
      </c>
      <c r="B59" t="s">
        <v>69</v>
      </c>
      <c r="C59">
        <v>2</v>
      </c>
      <c r="D59" s="26" t="s">
        <v>401</v>
      </c>
      <c r="E59" t="s">
        <v>71</v>
      </c>
      <c r="F59">
        <v>2</v>
      </c>
      <c r="G59" t="str">
        <f t="shared" si="1"/>
        <v>CoStep2DoubleSupportTimeT2</v>
      </c>
      <c r="J59" s="26" t="s">
        <v>75</v>
      </c>
      <c r="K59">
        <v>55</v>
      </c>
      <c r="L59" t="str">
        <f t="shared" si="2"/>
        <v>O55</v>
      </c>
    </row>
    <row r="60" spans="1:12" x14ac:dyDescent="0.2">
      <c r="A60" s="26" t="s">
        <v>36</v>
      </c>
      <c r="B60" t="s">
        <v>69</v>
      </c>
      <c r="C60">
        <v>2</v>
      </c>
      <c r="D60" s="26" t="s">
        <v>402</v>
      </c>
      <c r="E60" t="s">
        <v>71</v>
      </c>
      <c r="F60">
        <v>2</v>
      </c>
      <c r="G60" t="str">
        <f t="shared" si="1"/>
        <v>CoStep2StanceTimeT2</v>
      </c>
      <c r="J60" s="26" t="s">
        <v>71</v>
      </c>
      <c r="K60">
        <v>55</v>
      </c>
      <c r="L60" t="str">
        <f t="shared" si="2"/>
        <v>T55</v>
      </c>
    </row>
    <row r="61" spans="1:12" x14ac:dyDescent="0.2">
      <c r="A61" s="26" t="s">
        <v>36</v>
      </c>
      <c r="B61" t="s">
        <v>69</v>
      </c>
      <c r="C61">
        <v>3</v>
      </c>
      <c r="D61" s="26" t="s">
        <v>384</v>
      </c>
      <c r="E61" t="s">
        <v>71</v>
      </c>
      <c r="F61">
        <v>2</v>
      </c>
      <c r="G61" t="str">
        <f t="shared" si="1"/>
        <v>CoStep3ColorT2</v>
      </c>
      <c r="J61" s="26" t="s">
        <v>72</v>
      </c>
      <c r="K61">
        <v>80</v>
      </c>
      <c r="L61" t="str">
        <f t="shared" si="2"/>
        <v>B80</v>
      </c>
    </row>
    <row r="62" spans="1:12" x14ac:dyDescent="0.2">
      <c r="A62" s="26" t="s">
        <v>36</v>
      </c>
      <c r="B62" t="s">
        <v>69</v>
      </c>
      <c r="C62">
        <v>3</v>
      </c>
      <c r="D62" t="s">
        <v>68</v>
      </c>
      <c r="E62" t="s">
        <v>71</v>
      </c>
      <c r="F62">
        <v>2</v>
      </c>
      <c r="G62" t="str">
        <f t="shared" si="1"/>
        <v>CoStep3StepLengthT2</v>
      </c>
      <c r="J62" s="26" t="s">
        <v>73</v>
      </c>
      <c r="K62">
        <v>80</v>
      </c>
      <c r="L62" t="str">
        <f t="shared" si="2"/>
        <v>E80</v>
      </c>
    </row>
    <row r="63" spans="1:12" x14ac:dyDescent="0.2">
      <c r="A63" s="26" t="s">
        <v>36</v>
      </c>
      <c r="B63" t="s">
        <v>69</v>
      </c>
      <c r="C63">
        <v>3</v>
      </c>
      <c r="D63" s="26" t="s">
        <v>400</v>
      </c>
      <c r="E63" t="s">
        <v>71</v>
      </c>
      <c r="F63">
        <v>2</v>
      </c>
      <c r="G63" t="str">
        <f t="shared" si="1"/>
        <v>CoStep3StepTimeT2</v>
      </c>
      <c r="J63" s="26" t="s">
        <v>74</v>
      </c>
      <c r="K63">
        <v>80</v>
      </c>
      <c r="L63" t="str">
        <f t="shared" si="2"/>
        <v>J80</v>
      </c>
    </row>
    <row r="64" spans="1:12" x14ac:dyDescent="0.2">
      <c r="A64" s="26" t="s">
        <v>36</v>
      </c>
      <c r="B64" t="s">
        <v>69</v>
      </c>
      <c r="C64">
        <v>3</v>
      </c>
      <c r="D64" s="26" t="s">
        <v>401</v>
      </c>
      <c r="E64" t="s">
        <v>71</v>
      </c>
      <c r="F64">
        <v>2</v>
      </c>
      <c r="G64" t="str">
        <f t="shared" si="1"/>
        <v>CoStep3DoubleSupportTimeT2</v>
      </c>
      <c r="J64" s="26" t="s">
        <v>75</v>
      </c>
      <c r="K64">
        <v>80</v>
      </c>
      <c r="L64" t="str">
        <f t="shared" si="2"/>
        <v>O80</v>
      </c>
    </row>
    <row r="65" spans="1:12" x14ac:dyDescent="0.2">
      <c r="A65" s="26" t="s">
        <v>36</v>
      </c>
      <c r="B65" t="s">
        <v>69</v>
      </c>
      <c r="C65">
        <v>3</v>
      </c>
      <c r="D65" s="26" t="s">
        <v>402</v>
      </c>
      <c r="E65" t="s">
        <v>71</v>
      </c>
      <c r="F65">
        <v>2</v>
      </c>
      <c r="G65" t="str">
        <f t="shared" si="1"/>
        <v>CoStep3StanceTimeT2</v>
      </c>
      <c r="J65" s="26" t="s">
        <v>71</v>
      </c>
      <c r="K65">
        <v>80</v>
      </c>
      <c r="L65" t="str">
        <f t="shared" si="2"/>
        <v>T80</v>
      </c>
    </row>
    <row r="66" spans="1:12" x14ac:dyDescent="0.2">
      <c r="A66" s="26" t="s">
        <v>36</v>
      </c>
      <c r="B66" t="s">
        <v>69</v>
      </c>
      <c r="C66">
        <v>4</v>
      </c>
      <c r="D66" s="26" t="s">
        <v>384</v>
      </c>
      <c r="E66" t="s">
        <v>71</v>
      </c>
      <c r="F66">
        <v>2</v>
      </c>
      <c r="G66" t="str">
        <f t="shared" si="1"/>
        <v>CoStep4ColorT2</v>
      </c>
      <c r="J66" s="26" t="s">
        <v>72</v>
      </c>
      <c r="K66">
        <v>105</v>
      </c>
      <c r="L66" t="str">
        <f t="shared" si="2"/>
        <v>B105</v>
      </c>
    </row>
    <row r="67" spans="1:12" x14ac:dyDescent="0.2">
      <c r="A67" s="26" t="s">
        <v>36</v>
      </c>
      <c r="B67" t="s">
        <v>69</v>
      </c>
      <c r="C67">
        <v>4</v>
      </c>
      <c r="D67" t="s">
        <v>68</v>
      </c>
      <c r="E67" t="s">
        <v>71</v>
      </c>
      <c r="F67">
        <v>2</v>
      </c>
      <c r="G67" t="str">
        <f t="shared" si="1"/>
        <v>CoStep4StepLengthT2</v>
      </c>
      <c r="J67" s="26" t="s">
        <v>73</v>
      </c>
      <c r="K67">
        <v>105</v>
      </c>
      <c r="L67" t="str">
        <f t="shared" si="2"/>
        <v>E105</v>
      </c>
    </row>
    <row r="68" spans="1:12" x14ac:dyDescent="0.2">
      <c r="A68" s="26" t="s">
        <v>36</v>
      </c>
      <c r="B68" t="s">
        <v>69</v>
      </c>
      <c r="C68">
        <v>4</v>
      </c>
      <c r="D68" s="26" t="s">
        <v>400</v>
      </c>
      <c r="E68" t="s">
        <v>71</v>
      </c>
      <c r="F68">
        <v>2</v>
      </c>
      <c r="G68" t="str">
        <f t="shared" si="1"/>
        <v>CoStep4StepTimeT2</v>
      </c>
      <c r="J68" s="26" t="s">
        <v>74</v>
      </c>
      <c r="K68">
        <v>105</v>
      </c>
      <c r="L68" t="str">
        <f t="shared" si="2"/>
        <v>J105</v>
      </c>
    </row>
    <row r="69" spans="1:12" x14ac:dyDescent="0.2">
      <c r="A69" s="26" t="s">
        <v>36</v>
      </c>
      <c r="B69" t="s">
        <v>69</v>
      </c>
      <c r="C69">
        <v>4</v>
      </c>
      <c r="D69" s="26" t="s">
        <v>401</v>
      </c>
      <c r="E69" t="s">
        <v>71</v>
      </c>
      <c r="F69">
        <v>2</v>
      </c>
      <c r="G69" t="str">
        <f t="shared" si="1"/>
        <v>CoStep4DoubleSupportTimeT2</v>
      </c>
      <c r="J69" s="26" t="s">
        <v>75</v>
      </c>
      <c r="K69">
        <v>105</v>
      </c>
      <c r="L69" t="str">
        <f t="shared" si="2"/>
        <v>O105</v>
      </c>
    </row>
    <row r="70" spans="1:12" x14ac:dyDescent="0.2">
      <c r="A70" s="26" t="s">
        <v>36</v>
      </c>
      <c r="B70" t="s">
        <v>69</v>
      </c>
      <c r="C70">
        <v>4</v>
      </c>
      <c r="D70" s="26" t="s">
        <v>402</v>
      </c>
      <c r="E70" t="s">
        <v>71</v>
      </c>
      <c r="F70">
        <v>2</v>
      </c>
      <c r="G70" t="str">
        <f t="shared" ref="G70:G133" si="3">A70&amp;B70&amp;C70&amp;D70&amp;E70&amp;F70</f>
        <v>CoStep4StanceTimeT2</v>
      </c>
      <c r="J70" s="26" t="s">
        <v>71</v>
      </c>
      <c r="K70">
        <v>105</v>
      </c>
      <c r="L70" t="str">
        <f t="shared" si="2"/>
        <v>T105</v>
      </c>
    </row>
    <row r="71" spans="1:12" x14ac:dyDescent="0.2">
      <c r="A71" s="26" t="s">
        <v>36</v>
      </c>
      <c r="B71" t="s">
        <v>69</v>
      </c>
      <c r="C71">
        <v>5</v>
      </c>
      <c r="D71" s="26" t="s">
        <v>384</v>
      </c>
      <c r="E71" t="s">
        <v>71</v>
      </c>
      <c r="F71">
        <v>2</v>
      </c>
      <c r="G71" t="str">
        <f t="shared" si="3"/>
        <v>CoStep5ColorT2</v>
      </c>
      <c r="J71" s="26" t="s">
        <v>72</v>
      </c>
      <c r="K71">
        <v>130</v>
      </c>
      <c r="L71" t="str">
        <f t="shared" si="2"/>
        <v>B130</v>
      </c>
    </row>
    <row r="72" spans="1:12" x14ac:dyDescent="0.2">
      <c r="A72" s="26" t="s">
        <v>36</v>
      </c>
      <c r="B72" t="s">
        <v>69</v>
      </c>
      <c r="C72">
        <v>5</v>
      </c>
      <c r="D72" t="s">
        <v>68</v>
      </c>
      <c r="E72" t="s">
        <v>71</v>
      </c>
      <c r="F72">
        <v>2</v>
      </c>
      <c r="G72" t="str">
        <f t="shared" si="3"/>
        <v>CoStep5StepLengthT2</v>
      </c>
      <c r="J72" s="26" t="s">
        <v>73</v>
      </c>
      <c r="K72">
        <v>130</v>
      </c>
      <c r="L72" t="str">
        <f t="shared" si="2"/>
        <v>E130</v>
      </c>
    </row>
    <row r="73" spans="1:12" x14ac:dyDescent="0.2">
      <c r="A73" s="26" t="s">
        <v>36</v>
      </c>
      <c r="B73" t="s">
        <v>69</v>
      </c>
      <c r="C73">
        <v>5</v>
      </c>
      <c r="D73" s="26" t="s">
        <v>400</v>
      </c>
      <c r="E73" t="s">
        <v>71</v>
      </c>
      <c r="F73">
        <v>2</v>
      </c>
      <c r="G73" t="str">
        <f t="shared" si="3"/>
        <v>CoStep5StepTimeT2</v>
      </c>
      <c r="J73" s="26" t="s">
        <v>74</v>
      </c>
      <c r="K73">
        <v>130</v>
      </c>
      <c r="L73" t="str">
        <f t="shared" si="2"/>
        <v>J130</v>
      </c>
    </row>
    <row r="74" spans="1:12" x14ac:dyDescent="0.2">
      <c r="A74" s="26" t="s">
        <v>36</v>
      </c>
      <c r="B74" t="s">
        <v>69</v>
      </c>
      <c r="C74">
        <v>5</v>
      </c>
      <c r="D74" s="26" t="s">
        <v>401</v>
      </c>
      <c r="E74" t="s">
        <v>71</v>
      </c>
      <c r="F74">
        <v>2</v>
      </c>
      <c r="G74" t="str">
        <f t="shared" si="3"/>
        <v>CoStep5DoubleSupportTimeT2</v>
      </c>
      <c r="J74" s="26" t="s">
        <v>75</v>
      </c>
      <c r="K74">
        <v>130</v>
      </c>
      <c r="L74" t="str">
        <f t="shared" si="2"/>
        <v>O130</v>
      </c>
    </row>
    <row r="75" spans="1:12" x14ac:dyDescent="0.2">
      <c r="A75" s="26" t="s">
        <v>36</v>
      </c>
      <c r="B75" t="s">
        <v>69</v>
      </c>
      <c r="C75">
        <v>5</v>
      </c>
      <c r="D75" s="26" t="s">
        <v>402</v>
      </c>
      <c r="E75" t="s">
        <v>71</v>
      </c>
      <c r="F75">
        <v>2</v>
      </c>
      <c r="G75" t="str">
        <f t="shared" si="3"/>
        <v>CoStep5StanceTimeT2</v>
      </c>
      <c r="J75" s="26" t="s">
        <v>71</v>
      </c>
      <c r="K75">
        <v>130</v>
      </c>
      <c r="L75" t="str">
        <f t="shared" si="2"/>
        <v>T130</v>
      </c>
    </row>
    <row r="76" spans="1:12" x14ac:dyDescent="0.2">
      <c r="A76" s="26" t="s">
        <v>36</v>
      </c>
      <c r="B76" t="s">
        <v>69</v>
      </c>
      <c r="C76">
        <v>6</v>
      </c>
      <c r="D76" s="26" t="s">
        <v>384</v>
      </c>
      <c r="E76" t="s">
        <v>71</v>
      </c>
      <c r="F76">
        <v>2</v>
      </c>
      <c r="G76" t="str">
        <f t="shared" si="3"/>
        <v>CoStep6ColorT2</v>
      </c>
      <c r="J76" s="26" t="s">
        <v>72</v>
      </c>
      <c r="K76">
        <v>155</v>
      </c>
      <c r="L76" t="str">
        <f t="shared" si="2"/>
        <v>B155</v>
      </c>
    </row>
    <row r="77" spans="1:12" x14ac:dyDescent="0.2">
      <c r="A77" s="26" t="s">
        <v>36</v>
      </c>
      <c r="B77" t="s">
        <v>69</v>
      </c>
      <c r="C77">
        <v>6</v>
      </c>
      <c r="D77" t="s">
        <v>68</v>
      </c>
      <c r="E77" t="s">
        <v>71</v>
      </c>
      <c r="F77">
        <v>2</v>
      </c>
      <c r="G77" t="str">
        <f t="shared" si="3"/>
        <v>CoStep6StepLengthT2</v>
      </c>
      <c r="J77" s="26" t="s">
        <v>73</v>
      </c>
      <c r="K77">
        <v>155</v>
      </c>
      <c r="L77" t="str">
        <f t="shared" si="2"/>
        <v>E155</v>
      </c>
    </row>
    <row r="78" spans="1:12" x14ac:dyDescent="0.2">
      <c r="A78" s="26" t="s">
        <v>36</v>
      </c>
      <c r="B78" t="s">
        <v>69</v>
      </c>
      <c r="C78">
        <v>6</v>
      </c>
      <c r="D78" s="26" t="s">
        <v>400</v>
      </c>
      <c r="E78" t="s">
        <v>71</v>
      </c>
      <c r="F78">
        <v>2</v>
      </c>
      <c r="G78" t="str">
        <f t="shared" si="3"/>
        <v>CoStep6StepTimeT2</v>
      </c>
      <c r="J78" s="26" t="s">
        <v>74</v>
      </c>
      <c r="K78">
        <v>155</v>
      </c>
      <c r="L78" t="str">
        <f t="shared" si="2"/>
        <v>J155</v>
      </c>
    </row>
    <row r="79" spans="1:12" x14ac:dyDescent="0.2">
      <c r="A79" s="26" t="s">
        <v>36</v>
      </c>
      <c r="B79" t="s">
        <v>69</v>
      </c>
      <c r="C79">
        <v>6</v>
      </c>
      <c r="D79" s="26" t="s">
        <v>401</v>
      </c>
      <c r="E79" t="s">
        <v>71</v>
      </c>
      <c r="F79">
        <v>2</v>
      </c>
      <c r="G79" t="str">
        <f t="shared" si="3"/>
        <v>CoStep6DoubleSupportTimeT2</v>
      </c>
      <c r="J79" s="26" t="s">
        <v>75</v>
      </c>
      <c r="K79">
        <v>155</v>
      </c>
      <c r="L79" t="str">
        <f t="shared" si="2"/>
        <v>O155</v>
      </c>
    </row>
    <row r="80" spans="1:12" x14ac:dyDescent="0.2">
      <c r="A80" s="26" t="s">
        <v>36</v>
      </c>
      <c r="B80" t="s">
        <v>69</v>
      </c>
      <c r="C80">
        <v>6</v>
      </c>
      <c r="D80" s="26" t="s">
        <v>402</v>
      </c>
      <c r="E80" t="s">
        <v>71</v>
      </c>
      <c r="F80">
        <v>2</v>
      </c>
      <c r="G80" t="str">
        <f t="shared" si="3"/>
        <v>CoStep6StanceTimeT2</v>
      </c>
      <c r="J80" s="26" t="s">
        <v>71</v>
      </c>
      <c r="K80">
        <v>155</v>
      </c>
      <c r="L80" t="str">
        <f t="shared" si="2"/>
        <v>T155</v>
      </c>
    </row>
    <row r="81" spans="1:12" x14ac:dyDescent="0.2">
      <c r="A81" s="26" t="s">
        <v>36</v>
      </c>
      <c r="B81" t="s">
        <v>69</v>
      </c>
      <c r="C81">
        <v>7</v>
      </c>
      <c r="D81" s="26" t="s">
        <v>384</v>
      </c>
      <c r="E81" t="s">
        <v>71</v>
      </c>
      <c r="F81">
        <v>2</v>
      </c>
      <c r="G81" t="str">
        <f t="shared" si="3"/>
        <v>CoStep7ColorT2</v>
      </c>
      <c r="J81" s="26" t="s">
        <v>72</v>
      </c>
      <c r="K81">
        <v>188</v>
      </c>
      <c r="L81" t="str">
        <f t="shared" si="2"/>
        <v>B188</v>
      </c>
    </row>
    <row r="82" spans="1:12" x14ac:dyDescent="0.2">
      <c r="A82" s="26" t="s">
        <v>36</v>
      </c>
      <c r="B82" t="s">
        <v>69</v>
      </c>
      <c r="C82">
        <v>7</v>
      </c>
      <c r="D82" t="s">
        <v>68</v>
      </c>
      <c r="E82" t="s">
        <v>71</v>
      </c>
      <c r="F82">
        <v>2</v>
      </c>
      <c r="G82" t="str">
        <f t="shared" si="3"/>
        <v>CoStep7StepLengthT2</v>
      </c>
      <c r="J82" s="26" t="s">
        <v>73</v>
      </c>
      <c r="K82">
        <v>188</v>
      </c>
      <c r="L82" t="str">
        <f t="shared" si="2"/>
        <v>E188</v>
      </c>
    </row>
    <row r="83" spans="1:12" x14ac:dyDescent="0.2">
      <c r="A83" s="26" t="s">
        <v>36</v>
      </c>
      <c r="B83" t="s">
        <v>69</v>
      </c>
      <c r="C83">
        <v>7</v>
      </c>
      <c r="D83" s="26" t="s">
        <v>400</v>
      </c>
      <c r="E83" t="s">
        <v>71</v>
      </c>
      <c r="F83">
        <v>2</v>
      </c>
      <c r="G83" t="str">
        <f t="shared" si="3"/>
        <v>CoStep7StepTimeT2</v>
      </c>
      <c r="J83" s="26" t="s">
        <v>74</v>
      </c>
      <c r="K83">
        <v>188</v>
      </c>
      <c r="L83" t="str">
        <f t="shared" si="2"/>
        <v>J188</v>
      </c>
    </row>
    <row r="84" spans="1:12" x14ac:dyDescent="0.2">
      <c r="A84" s="26" t="s">
        <v>36</v>
      </c>
      <c r="B84" t="s">
        <v>69</v>
      </c>
      <c r="C84">
        <v>7</v>
      </c>
      <c r="D84" s="26" t="s">
        <v>401</v>
      </c>
      <c r="E84" t="s">
        <v>71</v>
      </c>
      <c r="F84">
        <v>2</v>
      </c>
      <c r="G84" t="str">
        <f t="shared" si="3"/>
        <v>CoStep7DoubleSupportTimeT2</v>
      </c>
      <c r="J84" s="26" t="s">
        <v>75</v>
      </c>
      <c r="K84">
        <v>188</v>
      </c>
      <c r="L84" t="str">
        <f t="shared" si="2"/>
        <v>O188</v>
      </c>
    </row>
    <row r="85" spans="1:12" x14ac:dyDescent="0.2">
      <c r="A85" s="26" t="s">
        <v>36</v>
      </c>
      <c r="B85" t="s">
        <v>69</v>
      </c>
      <c r="C85">
        <v>7</v>
      </c>
      <c r="D85" s="26" t="s">
        <v>402</v>
      </c>
      <c r="E85" t="s">
        <v>71</v>
      </c>
      <c r="F85">
        <v>2</v>
      </c>
      <c r="G85" t="str">
        <f t="shared" si="3"/>
        <v>CoStep7StanceTimeT2</v>
      </c>
      <c r="J85" s="26" t="s">
        <v>71</v>
      </c>
      <c r="K85">
        <v>188</v>
      </c>
      <c r="L85" t="str">
        <f t="shared" si="2"/>
        <v>T188</v>
      </c>
    </row>
    <row r="86" spans="1:12" x14ac:dyDescent="0.2">
      <c r="A86" s="26" t="s">
        <v>36</v>
      </c>
      <c r="B86" t="s">
        <v>69</v>
      </c>
      <c r="C86">
        <v>8</v>
      </c>
      <c r="D86" s="26" t="s">
        <v>384</v>
      </c>
      <c r="E86" t="s">
        <v>71</v>
      </c>
      <c r="F86">
        <v>2</v>
      </c>
      <c r="G86" t="str">
        <f t="shared" si="3"/>
        <v>CoStep8ColorT2</v>
      </c>
      <c r="J86" s="26" t="s">
        <v>72</v>
      </c>
      <c r="K86">
        <v>205</v>
      </c>
      <c r="L86" t="str">
        <f t="shared" si="2"/>
        <v>B205</v>
      </c>
    </row>
    <row r="87" spans="1:12" x14ac:dyDescent="0.2">
      <c r="A87" s="26" t="s">
        <v>36</v>
      </c>
      <c r="B87" t="s">
        <v>69</v>
      </c>
      <c r="C87">
        <v>8</v>
      </c>
      <c r="D87" t="s">
        <v>68</v>
      </c>
      <c r="E87" t="s">
        <v>71</v>
      </c>
      <c r="F87">
        <v>2</v>
      </c>
      <c r="G87" t="str">
        <f t="shared" si="3"/>
        <v>CoStep8StepLengthT2</v>
      </c>
      <c r="J87" s="26" t="s">
        <v>73</v>
      </c>
      <c r="K87">
        <v>205</v>
      </c>
      <c r="L87" t="str">
        <f t="shared" si="2"/>
        <v>E205</v>
      </c>
    </row>
    <row r="88" spans="1:12" x14ac:dyDescent="0.2">
      <c r="A88" s="26" t="s">
        <v>36</v>
      </c>
      <c r="B88" t="s">
        <v>69</v>
      </c>
      <c r="C88">
        <v>8</v>
      </c>
      <c r="D88" s="26" t="s">
        <v>400</v>
      </c>
      <c r="E88" t="s">
        <v>71</v>
      </c>
      <c r="F88">
        <v>2</v>
      </c>
      <c r="G88" t="str">
        <f t="shared" si="3"/>
        <v>CoStep8StepTimeT2</v>
      </c>
      <c r="J88" s="26" t="s">
        <v>74</v>
      </c>
      <c r="K88">
        <v>205</v>
      </c>
      <c r="L88" t="str">
        <f t="shared" si="2"/>
        <v>J205</v>
      </c>
    </row>
    <row r="89" spans="1:12" x14ac:dyDescent="0.2">
      <c r="A89" s="26" t="s">
        <v>36</v>
      </c>
      <c r="B89" t="s">
        <v>69</v>
      </c>
      <c r="C89">
        <v>8</v>
      </c>
      <c r="D89" s="26" t="s">
        <v>401</v>
      </c>
      <c r="E89" t="s">
        <v>71</v>
      </c>
      <c r="F89">
        <v>2</v>
      </c>
      <c r="G89" t="str">
        <f t="shared" si="3"/>
        <v>CoStep8DoubleSupportTimeT2</v>
      </c>
      <c r="J89" s="26" t="s">
        <v>75</v>
      </c>
      <c r="K89">
        <v>205</v>
      </c>
      <c r="L89" t="str">
        <f t="shared" si="2"/>
        <v>O205</v>
      </c>
    </row>
    <row r="90" spans="1:12" x14ac:dyDescent="0.2">
      <c r="A90" s="26" t="s">
        <v>36</v>
      </c>
      <c r="B90" t="s">
        <v>69</v>
      </c>
      <c r="C90">
        <v>8</v>
      </c>
      <c r="D90" s="26" t="s">
        <v>402</v>
      </c>
      <c r="E90" t="s">
        <v>71</v>
      </c>
      <c r="F90">
        <v>2</v>
      </c>
      <c r="G90" t="str">
        <f t="shared" si="3"/>
        <v>CoStep8StanceTimeT2</v>
      </c>
      <c r="J90" s="26" t="s">
        <v>71</v>
      </c>
      <c r="K90">
        <v>205</v>
      </c>
      <c r="L90" t="str">
        <f t="shared" si="2"/>
        <v>T205</v>
      </c>
    </row>
    <row r="91" spans="1:12" x14ac:dyDescent="0.2">
      <c r="A91" s="26" t="s">
        <v>36</v>
      </c>
      <c r="B91" t="s">
        <v>69</v>
      </c>
      <c r="C91">
        <v>9</v>
      </c>
      <c r="D91" s="26" t="s">
        <v>384</v>
      </c>
      <c r="E91" t="s">
        <v>71</v>
      </c>
      <c r="F91">
        <v>2</v>
      </c>
      <c r="G91" t="str">
        <f t="shared" si="3"/>
        <v>CoStep9ColorT2</v>
      </c>
      <c r="J91" s="26" t="s">
        <v>72</v>
      </c>
      <c r="K91">
        <v>230</v>
      </c>
      <c r="L91" t="str">
        <f t="shared" si="2"/>
        <v>B230</v>
      </c>
    </row>
    <row r="92" spans="1:12" x14ac:dyDescent="0.2">
      <c r="A92" s="26" t="s">
        <v>36</v>
      </c>
      <c r="B92" t="s">
        <v>69</v>
      </c>
      <c r="C92">
        <v>9</v>
      </c>
      <c r="D92" t="s">
        <v>68</v>
      </c>
      <c r="E92" t="s">
        <v>71</v>
      </c>
      <c r="F92">
        <v>2</v>
      </c>
      <c r="G92" t="str">
        <f t="shared" si="3"/>
        <v>CoStep9StepLengthT2</v>
      </c>
      <c r="J92" s="26" t="s">
        <v>73</v>
      </c>
      <c r="K92">
        <v>230</v>
      </c>
      <c r="L92" t="str">
        <f t="shared" si="2"/>
        <v>E230</v>
      </c>
    </row>
    <row r="93" spans="1:12" x14ac:dyDescent="0.2">
      <c r="A93" s="26" t="s">
        <v>36</v>
      </c>
      <c r="B93" t="s">
        <v>69</v>
      </c>
      <c r="C93">
        <v>9</v>
      </c>
      <c r="D93" s="26" t="s">
        <v>400</v>
      </c>
      <c r="E93" t="s">
        <v>71</v>
      </c>
      <c r="F93">
        <v>2</v>
      </c>
      <c r="G93" t="str">
        <f t="shared" si="3"/>
        <v>CoStep9StepTimeT2</v>
      </c>
      <c r="J93" s="26" t="s">
        <v>74</v>
      </c>
      <c r="K93">
        <v>230</v>
      </c>
      <c r="L93" t="str">
        <f t="shared" si="2"/>
        <v>J230</v>
      </c>
    </row>
    <row r="94" spans="1:12" x14ac:dyDescent="0.2">
      <c r="A94" s="26" t="s">
        <v>36</v>
      </c>
      <c r="B94" t="s">
        <v>69</v>
      </c>
      <c r="C94">
        <v>9</v>
      </c>
      <c r="D94" s="26" t="s">
        <v>401</v>
      </c>
      <c r="E94" t="s">
        <v>71</v>
      </c>
      <c r="F94">
        <v>2</v>
      </c>
      <c r="G94" t="str">
        <f t="shared" si="3"/>
        <v>CoStep9DoubleSupportTimeT2</v>
      </c>
      <c r="J94" s="26" t="s">
        <v>75</v>
      </c>
      <c r="K94">
        <v>230</v>
      </c>
      <c r="L94" t="str">
        <f t="shared" si="2"/>
        <v>O230</v>
      </c>
    </row>
    <row r="95" spans="1:12" x14ac:dyDescent="0.2">
      <c r="A95" s="26" t="s">
        <v>36</v>
      </c>
      <c r="B95" t="s">
        <v>69</v>
      </c>
      <c r="C95">
        <v>9</v>
      </c>
      <c r="D95" s="26" t="s">
        <v>402</v>
      </c>
      <c r="E95" t="s">
        <v>71</v>
      </c>
      <c r="F95">
        <v>2</v>
      </c>
      <c r="G95" t="str">
        <f t="shared" si="3"/>
        <v>CoStep9StanceTimeT2</v>
      </c>
      <c r="J95" s="26" t="s">
        <v>71</v>
      </c>
      <c r="K95">
        <v>230</v>
      </c>
      <c r="L95" t="str">
        <f t="shared" si="2"/>
        <v>T230</v>
      </c>
    </row>
    <row r="96" spans="1:12" x14ac:dyDescent="0.2">
      <c r="A96" s="26" t="s">
        <v>36</v>
      </c>
      <c r="B96" t="s">
        <v>69</v>
      </c>
      <c r="C96">
        <v>10</v>
      </c>
      <c r="D96" s="26" t="s">
        <v>384</v>
      </c>
      <c r="E96" t="s">
        <v>71</v>
      </c>
      <c r="F96">
        <v>2</v>
      </c>
      <c r="G96" t="str">
        <f t="shared" si="3"/>
        <v>CoStep10ColorT2</v>
      </c>
      <c r="J96" s="26" t="s">
        <v>72</v>
      </c>
      <c r="K96">
        <v>255</v>
      </c>
      <c r="L96" t="str">
        <f t="shared" si="2"/>
        <v>B255</v>
      </c>
    </row>
    <row r="97" spans="1:12" x14ac:dyDescent="0.2">
      <c r="A97" s="26" t="s">
        <v>36</v>
      </c>
      <c r="B97" t="s">
        <v>69</v>
      </c>
      <c r="C97">
        <v>10</v>
      </c>
      <c r="D97" t="s">
        <v>68</v>
      </c>
      <c r="E97" t="s">
        <v>71</v>
      </c>
      <c r="F97">
        <v>2</v>
      </c>
      <c r="G97" t="str">
        <f t="shared" si="3"/>
        <v>CoStep10StepLengthT2</v>
      </c>
      <c r="J97" s="26" t="s">
        <v>73</v>
      </c>
      <c r="K97">
        <v>255</v>
      </c>
      <c r="L97" t="str">
        <f t="shared" si="2"/>
        <v>E255</v>
      </c>
    </row>
    <row r="98" spans="1:12" x14ac:dyDescent="0.2">
      <c r="A98" s="26" t="s">
        <v>36</v>
      </c>
      <c r="B98" t="s">
        <v>69</v>
      </c>
      <c r="C98">
        <v>10</v>
      </c>
      <c r="D98" s="26" t="s">
        <v>400</v>
      </c>
      <c r="E98" t="s">
        <v>71</v>
      </c>
      <c r="F98">
        <v>2</v>
      </c>
      <c r="G98" t="str">
        <f t="shared" si="3"/>
        <v>CoStep10StepTimeT2</v>
      </c>
      <c r="J98" s="26" t="s">
        <v>74</v>
      </c>
      <c r="K98">
        <v>255</v>
      </c>
      <c r="L98" t="str">
        <f t="shared" si="2"/>
        <v>J255</v>
      </c>
    </row>
    <row r="99" spans="1:12" x14ac:dyDescent="0.2">
      <c r="A99" s="26" t="s">
        <v>36</v>
      </c>
      <c r="B99" t="s">
        <v>69</v>
      </c>
      <c r="C99">
        <v>10</v>
      </c>
      <c r="D99" s="26" t="s">
        <v>401</v>
      </c>
      <c r="E99" t="s">
        <v>71</v>
      </c>
      <c r="F99">
        <v>2</v>
      </c>
      <c r="G99" t="str">
        <f t="shared" si="3"/>
        <v>CoStep10DoubleSupportTimeT2</v>
      </c>
      <c r="J99" s="26" t="s">
        <v>75</v>
      </c>
      <c r="K99">
        <v>255</v>
      </c>
      <c r="L99" t="str">
        <f t="shared" si="2"/>
        <v>O255</v>
      </c>
    </row>
    <row r="100" spans="1:12" x14ac:dyDescent="0.2">
      <c r="A100" s="26" t="s">
        <v>36</v>
      </c>
      <c r="B100" t="s">
        <v>69</v>
      </c>
      <c r="C100">
        <v>10</v>
      </c>
      <c r="D100" s="26" t="s">
        <v>402</v>
      </c>
      <c r="E100" t="s">
        <v>71</v>
      </c>
      <c r="F100">
        <v>2</v>
      </c>
      <c r="G100" t="str">
        <f t="shared" si="3"/>
        <v>CoStep10StanceTimeT2</v>
      </c>
      <c r="J100" s="26" t="s">
        <v>71</v>
      </c>
      <c r="K100">
        <v>255</v>
      </c>
      <c r="L100" t="str">
        <f t="shared" si="2"/>
        <v>T255</v>
      </c>
    </row>
    <row r="101" spans="1:12" x14ac:dyDescent="0.2">
      <c r="A101" s="26" t="s">
        <v>36</v>
      </c>
      <c r="B101" t="s">
        <v>69</v>
      </c>
      <c r="C101">
        <v>1</v>
      </c>
      <c r="D101" s="26" t="s">
        <v>384</v>
      </c>
      <c r="E101" t="s">
        <v>71</v>
      </c>
      <c r="F101">
        <v>3</v>
      </c>
      <c r="G101" t="str">
        <f t="shared" si="3"/>
        <v>CoStep1ColorT3</v>
      </c>
      <c r="J101" s="26" t="s">
        <v>72</v>
      </c>
      <c r="K101">
        <v>30</v>
      </c>
      <c r="L101" t="str">
        <f>J101&amp;K101</f>
        <v>B30</v>
      </c>
    </row>
    <row r="102" spans="1:12" x14ac:dyDescent="0.2">
      <c r="A102" s="26" t="s">
        <v>36</v>
      </c>
      <c r="B102" t="s">
        <v>69</v>
      </c>
      <c r="C102">
        <v>1</v>
      </c>
      <c r="D102" t="s">
        <v>68</v>
      </c>
      <c r="E102" t="s">
        <v>71</v>
      </c>
      <c r="F102">
        <v>3</v>
      </c>
      <c r="G102" t="str">
        <f t="shared" si="3"/>
        <v>CoStep1StepLengthT3</v>
      </c>
      <c r="J102" s="26" t="s">
        <v>73</v>
      </c>
      <c r="K102">
        <v>30</v>
      </c>
      <c r="L102" t="str">
        <f t="shared" ref="L102:L150" si="4">J102&amp;K102</f>
        <v>E30</v>
      </c>
    </row>
    <row r="103" spans="1:12" x14ac:dyDescent="0.2">
      <c r="A103" s="26" t="s">
        <v>36</v>
      </c>
      <c r="B103" t="s">
        <v>69</v>
      </c>
      <c r="C103">
        <v>1</v>
      </c>
      <c r="D103" s="26" t="s">
        <v>400</v>
      </c>
      <c r="E103" t="s">
        <v>71</v>
      </c>
      <c r="F103">
        <v>3</v>
      </c>
      <c r="G103" t="str">
        <f t="shared" si="3"/>
        <v>CoStep1StepTimeT3</v>
      </c>
      <c r="J103" s="26" t="s">
        <v>74</v>
      </c>
      <c r="K103">
        <v>30</v>
      </c>
      <c r="L103" t="str">
        <f t="shared" si="4"/>
        <v>J30</v>
      </c>
    </row>
    <row r="104" spans="1:12" x14ac:dyDescent="0.2">
      <c r="A104" s="26" t="s">
        <v>36</v>
      </c>
      <c r="B104" t="s">
        <v>69</v>
      </c>
      <c r="C104">
        <v>1</v>
      </c>
      <c r="D104" s="26" t="s">
        <v>401</v>
      </c>
      <c r="E104" t="s">
        <v>71</v>
      </c>
      <c r="F104">
        <v>3</v>
      </c>
      <c r="G104" t="str">
        <f t="shared" si="3"/>
        <v>CoStep1DoubleSupportTimeT3</v>
      </c>
      <c r="J104" s="26" t="s">
        <v>75</v>
      </c>
      <c r="K104">
        <v>30</v>
      </c>
      <c r="L104" t="str">
        <f t="shared" si="4"/>
        <v>O30</v>
      </c>
    </row>
    <row r="105" spans="1:12" x14ac:dyDescent="0.2">
      <c r="A105" s="26" t="s">
        <v>36</v>
      </c>
      <c r="B105" t="s">
        <v>69</v>
      </c>
      <c r="C105">
        <v>1</v>
      </c>
      <c r="D105" s="26" t="s">
        <v>402</v>
      </c>
      <c r="E105" t="s">
        <v>71</v>
      </c>
      <c r="F105">
        <v>3</v>
      </c>
      <c r="G105" t="str">
        <f t="shared" si="3"/>
        <v>CoStep1StanceTimeT3</v>
      </c>
      <c r="J105" s="26" t="s">
        <v>71</v>
      </c>
      <c r="K105">
        <v>30</v>
      </c>
      <c r="L105" t="str">
        <f t="shared" si="4"/>
        <v>T30</v>
      </c>
    </row>
    <row r="106" spans="1:12" x14ac:dyDescent="0.2">
      <c r="A106" s="26" t="s">
        <v>36</v>
      </c>
      <c r="B106" t="s">
        <v>69</v>
      </c>
      <c r="C106">
        <v>2</v>
      </c>
      <c r="D106" s="26" t="s">
        <v>384</v>
      </c>
      <c r="E106" t="s">
        <v>71</v>
      </c>
      <c r="F106">
        <v>3</v>
      </c>
      <c r="G106" t="str">
        <f t="shared" si="3"/>
        <v>CoStep2ColorT3</v>
      </c>
      <c r="J106" s="26" t="s">
        <v>72</v>
      </c>
      <c r="K106">
        <v>55</v>
      </c>
      <c r="L106" t="str">
        <f t="shared" si="4"/>
        <v>B55</v>
      </c>
    </row>
    <row r="107" spans="1:12" x14ac:dyDescent="0.2">
      <c r="A107" s="26" t="s">
        <v>36</v>
      </c>
      <c r="B107" t="s">
        <v>69</v>
      </c>
      <c r="C107">
        <v>2</v>
      </c>
      <c r="D107" t="s">
        <v>68</v>
      </c>
      <c r="E107" t="s">
        <v>71</v>
      </c>
      <c r="F107">
        <v>3</v>
      </c>
      <c r="G107" t="str">
        <f t="shared" si="3"/>
        <v>CoStep2StepLengthT3</v>
      </c>
      <c r="J107" s="26" t="s">
        <v>73</v>
      </c>
      <c r="K107">
        <v>55</v>
      </c>
      <c r="L107" t="str">
        <f t="shared" si="4"/>
        <v>E55</v>
      </c>
    </row>
    <row r="108" spans="1:12" x14ac:dyDescent="0.2">
      <c r="A108" s="26" t="s">
        <v>36</v>
      </c>
      <c r="B108" t="s">
        <v>69</v>
      </c>
      <c r="C108">
        <v>2</v>
      </c>
      <c r="D108" s="26" t="s">
        <v>400</v>
      </c>
      <c r="E108" t="s">
        <v>71</v>
      </c>
      <c r="F108">
        <v>3</v>
      </c>
      <c r="G108" t="str">
        <f t="shared" si="3"/>
        <v>CoStep2StepTimeT3</v>
      </c>
      <c r="J108" s="26" t="s">
        <v>74</v>
      </c>
      <c r="K108">
        <v>55</v>
      </c>
      <c r="L108" t="str">
        <f t="shared" si="4"/>
        <v>J55</v>
      </c>
    </row>
    <row r="109" spans="1:12" x14ac:dyDescent="0.2">
      <c r="A109" s="26" t="s">
        <v>36</v>
      </c>
      <c r="B109" t="s">
        <v>69</v>
      </c>
      <c r="C109">
        <v>2</v>
      </c>
      <c r="D109" s="26" t="s">
        <v>401</v>
      </c>
      <c r="E109" t="s">
        <v>71</v>
      </c>
      <c r="F109">
        <v>3</v>
      </c>
      <c r="G109" t="str">
        <f t="shared" si="3"/>
        <v>CoStep2DoubleSupportTimeT3</v>
      </c>
      <c r="J109" s="26" t="s">
        <v>75</v>
      </c>
      <c r="K109">
        <v>55</v>
      </c>
      <c r="L109" t="str">
        <f t="shared" si="4"/>
        <v>O55</v>
      </c>
    </row>
    <row r="110" spans="1:12" x14ac:dyDescent="0.2">
      <c r="A110" s="26" t="s">
        <v>36</v>
      </c>
      <c r="B110" t="s">
        <v>69</v>
      </c>
      <c r="C110">
        <v>2</v>
      </c>
      <c r="D110" s="26" t="s">
        <v>402</v>
      </c>
      <c r="E110" t="s">
        <v>71</v>
      </c>
      <c r="F110">
        <v>3</v>
      </c>
      <c r="G110" t="str">
        <f t="shared" si="3"/>
        <v>CoStep2StanceTimeT3</v>
      </c>
      <c r="J110" s="26" t="s">
        <v>71</v>
      </c>
      <c r="K110">
        <v>55</v>
      </c>
      <c r="L110" t="str">
        <f t="shared" si="4"/>
        <v>T55</v>
      </c>
    </row>
    <row r="111" spans="1:12" x14ac:dyDescent="0.2">
      <c r="A111" s="26" t="s">
        <v>36</v>
      </c>
      <c r="B111" t="s">
        <v>69</v>
      </c>
      <c r="C111">
        <v>3</v>
      </c>
      <c r="D111" s="26" t="s">
        <v>384</v>
      </c>
      <c r="E111" t="s">
        <v>71</v>
      </c>
      <c r="F111">
        <v>3</v>
      </c>
      <c r="G111" t="str">
        <f t="shared" si="3"/>
        <v>CoStep3ColorT3</v>
      </c>
      <c r="J111" s="26" t="s">
        <v>72</v>
      </c>
      <c r="K111">
        <v>80</v>
      </c>
      <c r="L111" t="str">
        <f t="shared" si="4"/>
        <v>B80</v>
      </c>
    </row>
    <row r="112" spans="1:12" x14ac:dyDescent="0.2">
      <c r="A112" s="26" t="s">
        <v>36</v>
      </c>
      <c r="B112" t="s">
        <v>69</v>
      </c>
      <c r="C112">
        <v>3</v>
      </c>
      <c r="D112" t="s">
        <v>68</v>
      </c>
      <c r="E112" t="s">
        <v>71</v>
      </c>
      <c r="F112">
        <v>3</v>
      </c>
      <c r="G112" t="str">
        <f t="shared" si="3"/>
        <v>CoStep3StepLengthT3</v>
      </c>
      <c r="J112" s="26" t="s">
        <v>73</v>
      </c>
      <c r="K112">
        <v>80</v>
      </c>
      <c r="L112" t="str">
        <f t="shared" si="4"/>
        <v>E80</v>
      </c>
    </row>
    <row r="113" spans="1:12" x14ac:dyDescent="0.2">
      <c r="A113" s="26" t="s">
        <v>36</v>
      </c>
      <c r="B113" t="s">
        <v>69</v>
      </c>
      <c r="C113">
        <v>3</v>
      </c>
      <c r="D113" s="26" t="s">
        <v>400</v>
      </c>
      <c r="E113" t="s">
        <v>71</v>
      </c>
      <c r="F113">
        <v>3</v>
      </c>
      <c r="G113" t="str">
        <f t="shared" si="3"/>
        <v>CoStep3StepTimeT3</v>
      </c>
      <c r="J113" s="26" t="s">
        <v>74</v>
      </c>
      <c r="K113">
        <v>80</v>
      </c>
      <c r="L113" t="str">
        <f t="shared" si="4"/>
        <v>J80</v>
      </c>
    </row>
    <row r="114" spans="1:12" x14ac:dyDescent="0.2">
      <c r="A114" s="26" t="s">
        <v>36</v>
      </c>
      <c r="B114" t="s">
        <v>69</v>
      </c>
      <c r="C114">
        <v>3</v>
      </c>
      <c r="D114" s="26" t="s">
        <v>401</v>
      </c>
      <c r="E114" t="s">
        <v>71</v>
      </c>
      <c r="F114">
        <v>3</v>
      </c>
      <c r="G114" t="str">
        <f t="shared" si="3"/>
        <v>CoStep3DoubleSupportTimeT3</v>
      </c>
      <c r="J114" s="26" t="s">
        <v>75</v>
      </c>
      <c r="K114">
        <v>80</v>
      </c>
      <c r="L114" t="str">
        <f t="shared" si="4"/>
        <v>O80</v>
      </c>
    </row>
    <row r="115" spans="1:12" x14ac:dyDescent="0.2">
      <c r="A115" s="26" t="s">
        <v>36</v>
      </c>
      <c r="B115" t="s">
        <v>69</v>
      </c>
      <c r="C115">
        <v>3</v>
      </c>
      <c r="D115" s="26" t="s">
        <v>402</v>
      </c>
      <c r="E115" t="s">
        <v>71</v>
      </c>
      <c r="F115">
        <v>3</v>
      </c>
      <c r="G115" t="str">
        <f t="shared" si="3"/>
        <v>CoStep3StanceTimeT3</v>
      </c>
      <c r="J115" s="26" t="s">
        <v>71</v>
      </c>
      <c r="K115">
        <v>80</v>
      </c>
      <c r="L115" t="str">
        <f t="shared" si="4"/>
        <v>T80</v>
      </c>
    </row>
    <row r="116" spans="1:12" x14ac:dyDescent="0.2">
      <c r="A116" s="26" t="s">
        <v>36</v>
      </c>
      <c r="B116" t="s">
        <v>69</v>
      </c>
      <c r="C116">
        <v>4</v>
      </c>
      <c r="D116" s="26" t="s">
        <v>384</v>
      </c>
      <c r="E116" t="s">
        <v>71</v>
      </c>
      <c r="F116">
        <v>3</v>
      </c>
      <c r="G116" t="str">
        <f t="shared" si="3"/>
        <v>CoStep4ColorT3</v>
      </c>
      <c r="J116" s="26" t="s">
        <v>72</v>
      </c>
      <c r="K116">
        <v>105</v>
      </c>
      <c r="L116" t="str">
        <f t="shared" si="4"/>
        <v>B105</v>
      </c>
    </row>
    <row r="117" spans="1:12" x14ac:dyDescent="0.2">
      <c r="A117" s="26" t="s">
        <v>36</v>
      </c>
      <c r="B117" t="s">
        <v>69</v>
      </c>
      <c r="C117">
        <v>4</v>
      </c>
      <c r="D117" t="s">
        <v>68</v>
      </c>
      <c r="E117" t="s">
        <v>71</v>
      </c>
      <c r="F117">
        <v>3</v>
      </c>
      <c r="G117" t="str">
        <f t="shared" si="3"/>
        <v>CoStep4StepLengthT3</v>
      </c>
      <c r="J117" s="26" t="s">
        <v>73</v>
      </c>
      <c r="K117">
        <v>105</v>
      </c>
      <c r="L117" t="str">
        <f t="shared" si="4"/>
        <v>E105</v>
      </c>
    </row>
    <row r="118" spans="1:12" x14ac:dyDescent="0.2">
      <c r="A118" s="26" t="s">
        <v>36</v>
      </c>
      <c r="B118" t="s">
        <v>69</v>
      </c>
      <c r="C118">
        <v>4</v>
      </c>
      <c r="D118" s="26" t="s">
        <v>400</v>
      </c>
      <c r="E118" t="s">
        <v>71</v>
      </c>
      <c r="F118">
        <v>3</v>
      </c>
      <c r="G118" t="str">
        <f t="shared" si="3"/>
        <v>CoStep4StepTimeT3</v>
      </c>
      <c r="J118" s="26" t="s">
        <v>74</v>
      </c>
      <c r="K118">
        <v>105</v>
      </c>
      <c r="L118" t="str">
        <f t="shared" si="4"/>
        <v>J105</v>
      </c>
    </row>
    <row r="119" spans="1:12" x14ac:dyDescent="0.2">
      <c r="A119" s="26" t="s">
        <v>36</v>
      </c>
      <c r="B119" t="s">
        <v>69</v>
      </c>
      <c r="C119">
        <v>4</v>
      </c>
      <c r="D119" s="26" t="s">
        <v>401</v>
      </c>
      <c r="E119" t="s">
        <v>71</v>
      </c>
      <c r="F119">
        <v>3</v>
      </c>
      <c r="G119" t="str">
        <f t="shared" si="3"/>
        <v>CoStep4DoubleSupportTimeT3</v>
      </c>
      <c r="J119" s="26" t="s">
        <v>75</v>
      </c>
      <c r="K119">
        <v>105</v>
      </c>
      <c r="L119" t="str">
        <f t="shared" si="4"/>
        <v>O105</v>
      </c>
    </row>
    <row r="120" spans="1:12" x14ac:dyDescent="0.2">
      <c r="A120" s="26" t="s">
        <v>36</v>
      </c>
      <c r="B120" t="s">
        <v>69</v>
      </c>
      <c r="C120">
        <v>4</v>
      </c>
      <c r="D120" s="26" t="s">
        <v>402</v>
      </c>
      <c r="E120" t="s">
        <v>71</v>
      </c>
      <c r="F120">
        <v>3</v>
      </c>
      <c r="G120" t="str">
        <f t="shared" si="3"/>
        <v>CoStep4StanceTimeT3</v>
      </c>
      <c r="J120" s="26" t="s">
        <v>71</v>
      </c>
      <c r="K120">
        <v>105</v>
      </c>
      <c r="L120" t="str">
        <f t="shared" si="4"/>
        <v>T105</v>
      </c>
    </row>
    <row r="121" spans="1:12" x14ac:dyDescent="0.2">
      <c r="A121" s="26" t="s">
        <v>36</v>
      </c>
      <c r="B121" t="s">
        <v>69</v>
      </c>
      <c r="C121">
        <v>5</v>
      </c>
      <c r="D121" s="26" t="s">
        <v>384</v>
      </c>
      <c r="E121" t="s">
        <v>71</v>
      </c>
      <c r="F121">
        <v>3</v>
      </c>
      <c r="G121" t="str">
        <f t="shared" si="3"/>
        <v>CoStep5ColorT3</v>
      </c>
      <c r="J121" s="26" t="s">
        <v>72</v>
      </c>
      <c r="K121">
        <v>130</v>
      </c>
      <c r="L121" t="str">
        <f t="shared" si="4"/>
        <v>B130</v>
      </c>
    </row>
    <row r="122" spans="1:12" x14ac:dyDescent="0.2">
      <c r="A122" s="26" t="s">
        <v>36</v>
      </c>
      <c r="B122" t="s">
        <v>69</v>
      </c>
      <c r="C122">
        <v>5</v>
      </c>
      <c r="D122" t="s">
        <v>68</v>
      </c>
      <c r="E122" t="s">
        <v>71</v>
      </c>
      <c r="F122">
        <v>3</v>
      </c>
      <c r="G122" t="str">
        <f t="shared" si="3"/>
        <v>CoStep5StepLengthT3</v>
      </c>
      <c r="J122" s="26" t="s">
        <v>73</v>
      </c>
      <c r="K122">
        <v>130</v>
      </c>
      <c r="L122" t="str">
        <f t="shared" si="4"/>
        <v>E130</v>
      </c>
    </row>
    <row r="123" spans="1:12" x14ac:dyDescent="0.2">
      <c r="A123" s="26" t="s">
        <v>36</v>
      </c>
      <c r="B123" t="s">
        <v>69</v>
      </c>
      <c r="C123">
        <v>5</v>
      </c>
      <c r="D123" s="26" t="s">
        <v>400</v>
      </c>
      <c r="E123" t="s">
        <v>71</v>
      </c>
      <c r="F123">
        <v>3</v>
      </c>
      <c r="G123" t="str">
        <f t="shared" si="3"/>
        <v>CoStep5StepTimeT3</v>
      </c>
      <c r="J123" s="26" t="s">
        <v>74</v>
      </c>
      <c r="K123">
        <v>130</v>
      </c>
      <c r="L123" t="str">
        <f t="shared" si="4"/>
        <v>J130</v>
      </c>
    </row>
    <row r="124" spans="1:12" x14ac:dyDescent="0.2">
      <c r="A124" s="26" t="s">
        <v>36</v>
      </c>
      <c r="B124" t="s">
        <v>69</v>
      </c>
      <c r="C124">
        <v>5</v>
      </c>
      <c r="D124" s="26" t="s">
        <v>401</v>
      </c>
      <c r="E124" t="s">
        <v>71</v>
      </c>
      <c r="F124">
        <v>3</v>
      </c>
      <c r="G124" t="str">
        <f t="shared" si="3"/>
        <v>CoStep5DoubleSupportTimeT3</v>
      </c>
      <c r="J124" s="26" t="s">
        <v>75</v>
      </c>
      <c r="K124">
        <v>130</v>
      </c>
      <c r="L124" t="str">
        <f t="shared" si="4"/>
        <v>O130</v>
      </c>
    </row>
    <row r="125" spans="1:12" x14ac:dyDescent="0.2">
      <c r="A125" s="26" t="s">
        <v>36</v>
      </c>
      <c r="B125" t="s">
        <v>69</v>
      </c>
      <c r="C125">
        <v>5</v>
      </c>
      <c r="D125" s="26" t="s">
        <v>402</v>
      </c>
      <c r="E125" t="s">
        <v>71</v>
      </c>
      <c r="F125">
        <v>3</v>
      </c>
      <c r="G125" t="str">
        <f t="shared" si="3"/>
        <v>CoStep5StanceTimeT3</v>
      </c>
      <c r="J125" s="26" t="s">
        <v>71</v>
      </c>
      <c r="K125">
        <v>130</v>
      </c>
      <c r="L125" t="str">
        <f t="shared" si="4"/>
        <v>T130</v>
      </c>
    </row>
    <row r="126" spans="1:12" x14ac:dyDescent="0.2">
      <c r="A126" s="26" t="s">
        <v>36</v>
      </c>
      <c r="B126" t="s">
        <v>69</v>
      </c>
      <c r="C126">
        <v>6</v>
      </c>
      <c r="D126" s="26" t="s">
        <v>384</v>
      </c>
      <c r="E126" t="s">
        <v>71</v>
      </c>
      <c r="F126">
        <v>3</v>
      </c>
      <c r="G126" t="str">
        <f t="shared" si="3"/>
        <v>CoStep6ColorT3</v>
      </c>
      <c r="J126" s="26" t="s">
        <v>72</v>
      </c>
      <c r="K126">
        <v>155</v>
      </c>
      <c r="L126" t="str">
        <f t="shared" si="4"/>
        <v>B155</v>
      </c>
    </row>
    <row r="127" spans="1:12" x14ac:dyDescent="0.2">
      <c r="A127" s="26" t="s">
        <v>36</v>
      </c>
      <c r="B127" t="s">
        <v>69</v>
      </c>
      <c r="C127">
        <v>6</v>
      </c>
      <c r="D127" t="s">
        <v>68</v>
      </c>
      <c r="E127" t="s">
        <v>71</v>
      </c>
      <c r="F127">
        <v>3</v>
      </c>
      <c r="G127" t="str">
        <f t="shared" si="3"/>
        <v>CoStep6StepLengthT3</v>
      </c>
      <c r="J127" s="26" t="s">
        <v>73</v>
      </c>
      <c r="K127">
        <v>155</v>
      </c>
      <c r="L127" t="str">
        <f t="shared" si="4"/>
        <v>E155</v>
      </c>
    </row>
    <row r="128" spans="1:12" x14ac:dyDescent="0.2">
      <c r="A128" s="26" t="s">
        <v>36</v>
      </c>
      <c r="B128" t="s">
        <v>69</v>
      </c>
      <c r="C128">
        <v>6</v>
      </c>
      <c r="D128" s="26" t="s">
        <v>400</v>
      </c>
      <c r="E128" t="s">
        <v>71</v>
      </c>
      <c r="F128">
        <v>3</v>
      </c>
      <c r="G128" t="str">
        <f t="shared" si="3"/>
        <v>CoStep6StepTimeT3</v>
      </c>
      <c r="J128" s="26" t="s">
        <v>74</v>
      </c>
      <c r="K128">
        <v>155</v>
      </c>
      <c r="L128" t="str">
        <f t="shared" si="4"/>
        <v>J155</v>
      </c>
    </row>
    <row r="129" spans="1:12" x14ac:dyDescent="0.2">
      <c r="A129" s="26" t="s">
        <v>36</v>
      </c>
      <c r="B129" t="s">
        <v>69</v>
      </c>
      <c r="C129">
        <v>6</v>
      </c>
      <c r="D129" s="26" t="s">
        <v>401</v>
      </c>
      <c r="E129" t="s">
        <v>71</v>
      </c>
      <c r="F129">
        <v>3</v>
      </c>
      <c r="G129" t="str">
        <f t="shared" si="3"/>
        <v>CoStep6DoubleSupportTimeT3</v>
      </c>
      <c r="J129" s="26" t="s">
        <v>75</v>
      </c>
      <c r="K129">
        <v>155</v>
      </c>
      <c r="L129" t="str">
        <f t="shared" si="4"/>
        <v>O155</v>
      </c>
    </row>
    <row r="130" spans="1:12" x14ac:dyDescent="0.2">
      <c r="A130" s="26" t="s">
        <v>36</v>
      </c>
      <c r="B130" t="s">
        <v>69</v>
      </c>
      <c r="C130">
        <v>6</v>
      </c>
      <c r="D130" s="26" t="s">
        <v>402</v>
      </c>
      <c r="E130" t="s">
        <v>71</v>
      </c>
      <c r="F130">
        <v>3</v>
      </c>
      <c r="G130" t="str">
        <f t="shared" si="3"/>
        <v>CoStep6StanceTimeT3</v>
      </c>
      <c r="J130" s="26" t="s">
        <v>71</v>
      </c>
      <c r="K130">
        <v>155</v>
      </c>
      <c r="L130" t="str">
        <f t="shared" si="4"/>
        <v>T155</v>
      </c>
    </row>
    <row r="131" spans="1:12" x14ac:dyDescent="0.2">
      <c r="A131" s="26" t="s">
        <v>36</v>
      </c>
      <c r="B131" t="s">
        <v>69</v>
      </c>
      <c r="C131">
        <v>7</v>
      </c>
      <c r="D131" s="26" t="s">
        <v>384</v>
      </c>
      <c r="E131" t="s">
        <v>71</v>
      </c>
      <c r="F131">
        <v>3</v>
      </c>
      <c r="G131" t="str">
        <f t="shared" si="3"/>
        <v>CoStep7ColorT3</v>
      </c>
      <c r="J131" s="26" t="s">
        <v>72</v>
      </c>
      <c r="K131">
        <v>188</v>
      </c>
      <c r="L131" t="str">
        <f t="shared" si="4"/>
        <v>B188</v>
      </c>
    </row>
    <row r="132" spans="1:12" x14ac:dyDescent="0.2">
      <c r="A132" s="26" t="s">
        <v>36</v>
      </c>
      <c r="B132" t="s">
        <v>69</v>
      </c>
      <c r="C132">
        <v>7</v>
      </c>
      <c r="D132" t="s">
        <v>68</v>
      </c>
      <c r="E132" t="s">
        <v>71</v>
      </c>
      <c r="F132">
        <v>3</v>
      </c>
      <c r="G132" t="str">
        <f t="shared" si="3"/>
        <v>CoStep7StepLengthT3</v>
      </c>
      <c r="J132" s="26" t="s">
        <v>73</v>
      </c>
      <c r="K132">
        <v>188</v>
      </c>
      <c r="L132" t="str">
        <f t="shared" si="4"/>
        <v>E188</v>
      </c>
    </row>
    <row r="133" spans="1:12" x14ac:dyDescent="0.2">
      <c r="A133" s="26" t="s">
        <v>36</v>
      </c>
      <c r="B133" t="s">
        <v>69</v>
      </c>
      <c r="C133">
        <v>7</v>
      </c>
      <c r="D133" s="26" t="s">
        <v>400</v>
      </c>
      <c r="E133" t="s">
        <v>71</v>
      </c>
      <c r="F133">
        <v>3</v>
      </c>
      <c r="G133" t="str">
        <f t="shared" si="3"/>
        <v>CoStep7StepTimeT3</v>
      </c>
      <c r="J133" s="26" t="s">
        <v>74</v>
      </c>
      <c r="K133">
        <v>188</v>
      </c>
      <c r="L133" t="str">
        <f t="shared" si="4"/>
        <v>J188</v>
      </c>
    </row>
    <row r="134" spans="1:12" x14ac:dyDescent="0.2">
      <c r="A134" s="26" t="s">
        <v>36</v>
      </c>
      <c r="B134" t="s">
        <v>69</v>
      </c>
      <c r="C134">
        <v>7</v>
      </c>
      <c r="D134" s="26" t="s">
        <v>401</v>
      </c>
      <c r="E134" t="s">
        <v>71</v>
      </c>
      <c r="F134">
        <v>3</v>
      </c>
      <c r="G134" t="str">
        <f t="shared" ref="G134:G197" si="5">A134&amp;B134&amp;C134&amp;D134&amp;E134&amp;F134</f>
        <v>CoStep7DoubleSupportTimeT3</v>
      </c>
      <c r="J134" s="26" t="s">
        <v>75</v>
      </c>
      <c r="K134">
        <v>188</v>
      </c>
      <c r="L134" t="str">
        <f t="shared" si="4"/>
        <v>O188</v>
      </c>
    </row>
    <row r="135" spans="1:12" x14ac:dyDescent="0.2">
      <c r="A135" s="26" t="s">
        <v>36</v>
      </c>
      <c r="B135" t="s">
        <v>69</v>
      </c>
      <c r="C135">
        <v>7</v>
      </c>
      <c r="D135" s="26" t="s">
        <v>402</v>
      </c>
      <c r="E135" t="s">
        <v>71</v>
      </c>
      <c r="F135">
        <v>3</v>
      </c>
      <c r="G135" t="str">
        <f t="shared" si="5"/>
        <v>CoStep7StanceTimeT3</v>
      </c>
      <c r="J135" s="26" t="s">
        <v>71</v>
      </c>
      <c r="K135">
        <v>188</v>
      </c>
      <c r="L135" t="str">
        <f t="shared" si="4"/>
        <v>T188</v>
      </c>
    </row>
    <row r="136" spans="1:12" x14ac:dyDescent="0.2">
      <c r="A136" s="26" t="s">
        <v>36</v>
      </c>
      <c r="B136" t="s">
        <v>69</v>
      </c>
      <c r="C136">
        <v>8</v>
      </c>
      <c r="D136" s="26" t="s">
        <v>384</v>
      </c>
      <c r="E136" t="s">
        <v>71</v>
      </c>
      <c r="F136">
        <v>3</v>
      </c>
      <c r="G136" t="str">
        <f t="shared" si="5"/>
        <v>CoStep8ColorT3</v>
      </c>
      <c r="J136" s="26" t="s">
        <v>72</v>
      </c>
      <c r="K136">
        <v>205</v>
      </c>
      <c r="L136" t="str">
        <f t="shared" si="4"/>
        <v>B205</v>
      </c>
    </row>
    <row r="137" spans="1:12" x14ac:dyDescent="0.2">
      <c r="A137" s="26" t="s">
        <v>36</v>
      </c>
      <c r="B137" t="s">
        <v>69</v>
      </c>
      <c r="C137">
        <v>8</v>
      </c>
      <c r="D137" t="s">
        <v>68</v>
      </c>
      <c r="E137" t="s">
        <v>71</v>
      </c>
      <c r="F137">
        <v>3</v>
      </c>
      <c r="G137" t="str">
        <f t="shared" si="5"/>
        <v>CoStep8StepLengthT3</v>
      </c>
      <c r="J137" s="26" t="s">
        <v>73</v>
      </c>
      <c r="K137">
        <v>205</v>
      </c>
      <c r="L137" t="str">
        <f t="shared" si="4"/>
        <v>E205</v>
      </c>
    </row>
    <row r="138" spans="1:12" x14ac:dyDescent="0.2">
      <c r="A138" s="26" t="s">
        <v>36</v>
      </c>
      <c r="B138" t="s">
        <v>69</v>
      </c>
      <c r="C138">
        <v>8</v>
      </c>
      <c r="D138" s="26" t="s">
        <v>400</v>
      </c>
      <c r="E138" t="s">
        <v>71</v>
      </c>
      <c r="F138">
        <v>3</v>
      </c>
      <c r="G138" t="str">
        <f t="shared" si="5"/>
        <v>CoStep8StepTimeT3</v>
      </c>
      <c r="J138" s="26" t="s">
        <v>74</v>
      </c>
      <c r="K138">
        <v>205</v>
      </c>
      <c r="L138" t="str">
        <f t="shared" si="4"/>
        <v>J205</v>
      </c>
    </row>
    <row r="139" spans="1:12" x14ac:dyDescent="0.2">
      <c r="A139" s="26" t="s">
        <v>36</v>
      </c>
      <c r="B139" t="s">
        <v>69</v>
      </c>
      <c r="C139">
        <v>8</v>
      </c>
      <c r="D139" s="26" t="s">
        <v>401</v>
      </c>
      <c r="E139" t="s">
        <v>71</v>
      </c>
      <c r="F139">
        <v>3</v>
      </c>
      <c r="G139" t="str">
        <f t="shared" si="5"/>
        <v>CoStep8DoubleSupportTimeT3</v>
      </c>
      <c r="J139" s="26" t="s">
        <v>75</v>
      </c>
      <c r="K139">
        <v>205</v>
      </c>
      <c r="L139" t="str">
        <f t="shared" si="4"/>
        <v>O205</v>
      </c>
    </row>
    <row r="140" spans="1:12" x14ac:dyDescent="0.2">
      <c r="A140" s="26" t="s">
        <v>36</v>
      </c>
      <c r="B140" t="s">
        <v>69</v>
      </c>
      <c r="C140">
        <v>8</v>
      </c>
      <c r="D140" s="26" t="s">
        <v>402</v>
      </c>
      <c r="E140" t="s">
        <v>71</v>
      </c>
      <c r="F140">
        <v>3</v>
      </c>
      <c r="G140" t="str">
        <f t="shared" si="5"/>
        <v>CoStep8StanceTimeT3</v>
      </c>
      <c r="J140" s="26" t="s">
        <v>71</v>
      </c>
      <c r="K140">
        <v>205</v>
      </c>
      <c r="L140" t="str">
        <f t="shared" si="4"/>
        <v>T205</v>
      </c>
    </row>
    <row r="141" spans="1:12" x14ac:dyDescent="0.2">
      <c r="A141" s="26" t="s">
        <v>36</v>
      </c>
      <c r="B141" t="s">
        <v>69</v>
      </c>
      <c r="C141">
        <v>9</v>
      </c>
      <c r="D141" s="26" t="s">
        <v>384</v>
      </c>
      <c r="E141" t="s">
        <v>71</v>
      </c>
      <c r="F141">
        <v>3</v>
      </c>
      <c r="G141" t="str">
        <f t="shared" si="5"/>
        <v>CoStep9ColorT3</v>
      </c>
      <c r="J141" s="26" t="s">
        <v>72</v>
      </c>
      <c r="K141">
        <v>230</v>
      </c>
      <c r="L141" t="str">
        <f t="shared" si="4"/>
        <v>B230</v>
      </c>
    </row>
    <row r="142" spans="1:12" x14ac:dyDescent="0.2">
      <c r="A142" s="26" t="s">
        <v>36</v>
      </c>
      <c r="B142" t="s">
        <v>69</v>
      </c>
      <c r="C142">
        <v>9</v>
      </c>
      <c r="D142" t="s">
        <v>68</v>
      </c>
      <c r="E142" t="s">
        <v>71</v>
      </c>
      <c r="F142">
        <v>3</v>
      </c>
      <c r="G142" t="str">
        <f t="shared" si="5"/>
        <v>CoStep9StepLengthT3</v>
      </c>
      <c r="J142" s="26" t="s">
        <v>73</v>
      </c>
      <c r="K142">
        <v>230</v>
      </c>
      <c r="L142" t="str">
        <f t="shared" si="4"/>
        <v>E230</v>
      </c>
    </row>
    <row r="143" spans="1:12" x14ac:dyDescent="0.2">
      <c r="A143" s="26" t="s">
        <v>36</v>
      </c>
      <c r="B143" t="s">
        <v>69</v>
      </c>
      <c r="C143">
        <v>9</v>
      </c>
      <c r="D143" s="26" t="s">
        <v>400</v>
      </c>
      <c r="E143" t="s">
        <v>71</v>
      </c>
      <c r="F143">
        <v>3</v>
      </c>
      <c r="G143" t="str">
        <f t="shared" si="5"/>
        <v>CoStep9StepTimeT3</v>
      </c>
      <c r="J143" s="26" t="s">
        <v>74</v>
      </c>
      <c r="K143">
        <v>230</v>
      </c>
      <c r="L143" t="str">
        <f t="shared" si="4"/>
        <v>J230</v>
      </c>
    </row>
    <row r="144" spans="1:12" x14ac:dyDescent="0.2">
      <c r="A144" s="26" t="s">
        <v>36</v>
      </c>
      <c r="B144" t="s">
        <v>69</v>
      </c>
      <c r="C144">
        <v>9</v>
      </c>
      <c r="D144" s="26" t="s">
        <v>401</v>
      </c>
      <c r="E144" t="s">
        <v>71</v>
      </c>
      <c r="F144">
        <v>3</v>
      </c>
      <c r="G144" t="str">
        <f t="shared" si="5"/>
        <v>CoStep9DoubleSupportTimeT3</v>
      </c>
      <c r="J144" s="26" t="s">
        <v>75</v>
      </c>
      <c r="K144">
        <v>230</v>
      </c>
      <c r="L144" t="str">
        <f t="shared" si="4"/>
        <v>O230</v>
      </c>
    </row>
    <row r="145" spans="1:12" x14ac:dyDescent="0.2">
      <c r="A145" s="26" t="s">
        <v>36</v>
      </c>
      <c r="B145" t="s">
        <v>69</v>
      </c>
      <c r="C145">
        <v>9</v>
      </c>
      <c r="D145" s="26" t="s">
        <v>402</v>
      </c>
      <c r="E145" t="s">
        <v>71</v>
      </c>
      <c r="F145">
        <v>3</v>
      </c>
      <c r="G145" t="str">
        <f t="shared" si="5"/>
        <v>CoStep9StanceTimeT3</v>
      </c>
      <c r="J145" s="26" t="s">
        <v>71</v>
      </c>
      <c r="K145">
        <v>230</v>
      </c>
      <c r="L145" t="str">
        <f t="shared" si="4"/>
        <v>T230</v>
      </c>
    </row>
    <row r="146" spans="1:12" x14ac:dyDescent="0.2">
      <c r="A146" s="26" t="s">
        <v>36</v>
      </c>
      <c r="B146" t="s">
        <v>69</v>
      </c>
      <c r="C146">
        <v>10</v>
      </c>
      <c r="D146" s="26" t="s">
        <v>384</v>
      </c>
      <c r="E146" t="s">
        <v>71</v>
      </c>
      <c r="F146">
        <v>3</v>
      </c>
      <c r="G146" t="str">
        <f t="shared" si="5"/>
        <v>CoStep10ColorT3</v>
      </c>
      <c r="J146" s="26" t="s">
        <v>72</v>
      </c>
      <c r="K146">
        <v>255</v>
      </c>
      <c r="L146" t="str">
        <f t="shared" si="4"/>
        <v>B255</v>
      </c>
    </row>
    <row r="147" spans="1:12" x14ac:dyDescent="0.2">
      <c r="A147" s="26" t="s">
        <v>36</v>
      </c>
      <c r="B147" t="s">
        <v>69</v>
      </c>
      <c r="C147">
        <v>10</v>
      </c>
      <c r="D147" t="s">
        <v>68</v>
      </c>
      <c r="E147" t="s">
        <v>71</v>
      </c>
      <c r="F147">
        <v>3</v>
      </c>
      <c r="G147" t="str">
        <f t="shared" si="5"/>
        <v>CoStep10StepLengthT3</v>
      </c>
      <c r="J147" s="26" t="s">
        <v>73</v>
      </c>
      <c r="K147">
        <v>255</v>
      </c>
      <c r="L147" t="str">
        <f t="shared" si="4"/>
        <v>E255</v>
      </c>
    </row>
    <row r="148" spans="1:12" x14ac:dyDescent="0.2">
      <c r="A148" s="26" t="s">
        <v>36</v>
      </c>
      <c r="B148" t="s">
        <v>69</v>
      </c>
      <c r="C148">
        <v>10</v>
      </c>
      <c r="D148" s="26" t="s">
        <v>400</v>
      </c>
      <c r="E148" t="s">
        <v>71</v>
      </c>
      <c r="F148">
        <v>3</v>
      </c>
      <c r="G148" t="str">
        <f t="shared" si="5"/>
        <v>CoStep10StepTimeT3</v>
      </c>
      <c r="J148" s="26" t="s">
        <v>74</v>
      </c>
      <c r="K148">
        <v>255</v>
      </c>
      <c r="L148" t="str">
        <f t="shared" si="4"/>
        <v>J255</v>
      </c>
    </row>
    <row r="149" spans="1:12" x14ac:dyDescent="0.2">
      <c r="A149" s="26" t="s">
        <v>36</v>
      </c>
      <c r="B149" t="s">
        <v>69</v>
      </c>
      <c r="C149">
        <v>10</v>
      </c>
      <c r="D149" s="26" t="s">
        <v>401</v>
      </c>
      <c r="E149" t="s">
        <v>71</v>
      </c>
      <c r="F149">
        <v>3</v>
      </c>
      <c r="G149" t="str">
        <f t="shared" si="5"/>
        <v>CoStep10DoubleSupportTimeT3</v>
      </c>
      <c r="J149" s="26" t="s">
        <v>75</v>
      </c>
      <c r="K149">
        <v>255</v>
      </c>
      <c r="L149" t="str">
        <f t="shared" si="4"/>
        <v>O255</v>
      </c>
    </row>
    <row r="150" spans="1:12" x14ac:dyDescent="0.2">
      <c r="A150" s="26" t="s">
        <v>36</v>
      </c>
      <c r="B150" t="s">
        <v>69</v>
      </c>
      <c r="C150">
        <v>10</v>
      </c>
      <c r="D150" s="26" t="s">
        <v>402</v>
      </c>
      <c r="E150" t="s">
        <v>71</v>
      </c>
      <c r="F150">
        <v>3</v>
      </c>
      <c r="G150" t="str">
        <f t="shared" si="5"/>
        <v>CoStep10StanceTimeT3</v>
      </c>
      <c r="J150" s="26" t="s">
        <v>71</v>
      </c>
      <c r="K150">
        <v>255</v>
      </c>
      <c r="L150" t="str">
        <f t="shared" si="4"/>
        <v>T255</v>
      </c>
    </row>
    <row r="151" spans="1:12" x14ac:dyDescent="0.2">
      <c r="A151" s="26" t="s">
        <v>36</v>
      </c>
      <c r="B151" t="s">
        <v>69</v>
      </c>
      <c r="C151">
        <v>1</v>
      </c>
      <c r="D151" s="26" t="s">
        <v>384</v>
      </c>
      <c r="E151" t="s">
        <v>71</v>
      </c>
      <c r="F151">
        <v>4</v>
      </c>
      <c r="G151" t="str">
        <f t="shared" si="5"/>
        <v>CoStep1ColorT4</v>
      </c>
      <c r="J151" s="26" t="s">
        <v>72</v>
      </c>
      <c r="K151">
        <v>30</v>
      </c>
      <c r="L151" t="str">
        <f>J151&amp;K151</f>
        <v>B30</v>
      </c>
    </row>
    <row r="152" spans="1:12" x14ac:dyDescent="0.2">
      <c r="A152" s="26" t="s">
        <v>36</v>
      </c>
      <c r="B152" t="s">
        <v>69</v>
      </c>
      <c r="C152">
        <v>1</v>
      </c>
      <c r="D152" t="s">
        <v>68</v>
      </c>
      <c r="E152" t="s">
        <v>71</v>
      </c>
      <c r="F152">
        <v>4</v>
      </c>
      <c r="G152" t="str">
        <f t="shared" si="5"/>
        <v>CoStep1StepLengthT4</v>
      </c>
      <c r="J152" s="26" t="s">
        <v>73</v>
      </c>
      <c r="K152">
        <v>30</v>
      </c>
      <c r="L152" t="str">
        <f t="shared" ref="L152:L200" si="6">J152&amp;K152</f>
        <v>E30</v>
      </c>
    </row>
    <row r="153" spans="1:12" x14ac:dyDescent="0.2">
      <c r="A153" s="26" t="s">
        <v>36</v>
      </c>
      <c r="B153" t="s">
        <v>69</v>
      </c>
      <c r="C153">
        <v>1</v>
      </c>
      <c r="D153" s="26" t="s">
        <v>400</v>
      </c>
      <c r="E153" t="s">
        <v>71</v>
      </c>
      <c r="F153">
        <v>4</v>
      </c>
      <c r="G153" t="str">
        <f t="shared" si="5"/>
        <v>CoStep1StepTimeT4</v>
      </c>
      <c r="J153" s="26" t="s">
        <v>74</v>
      </c>
      <c r="K153">
        <v>30</v>
      </c>
      <c r="L153" t="str">
        <f t="shared" si="6"/>
        <v>J30</v>
      </c>
    </row>
    <row r="154" spans="1:12" x14ac:dyDescent="0.2">
      <c r="A154" s="26" t="s">
        <v>36</v>
      </c>
      <c r="B154" t="s">
        <v>69</v>
      </c>
      <c r="C154">
        <v>1</v>
      </c>
      <c r="D154" s="26" t="s">
        <v>401</v>
      </c>
      <c r="E154" t="s">
        <v>71</v>
      </c>
      <c r="F154">
        <v>4</v>
      </c>
      <c r="G154" t="str">
        <f t="shared" si="5"/>
        <v>CoStep1DoubleSupportTimeT4</v>
      </c>
      <c r="J154" s="26" t="s">
        <v>75</v>
      </c>
      <c r="K154">
        <v>30</v>
      </c>
      <c r="L154" t="str">
        <f t="shared" si="6"/>
        <v>O30</v>
      </c>
    </row>
    <row r="155" spans="1:12" x14ac:dyDescent="0.2">
      <c r="A155" s="26" t="s">
        <v>36</v>
      </c>
      <c r="B155" t="s">
        <v>69</v>
      </c>
      <c r="C155">
        <v>1</v>
      </c>
      <c r="D155" s="26" t="s">
        <v>402</v>
      </c>
      <c r="E155" t="s">
        <v>71</v>
      </c>
      <c r="F155">
        <v>4</v>
      </c>
      <c r="G155" t="str">
        <f t="shared" si="5"/>
        <v>CoStep1StanceTimeT4</v>
      </c>
      <c r="J155" s="26" t="s">
        <v>71</v>
      </c>
      <c r="K155">
        <v>30</v>
      </c>
      <c r="L155" t="str">
        <f t="shared" si="6"/>
        <v>T30</v>
      </c>
    </row>
    <row r="156" spans="1:12" x14ac:dyDescent="0.2">
      <c r="A156" s="26" t="s">
        <v>36</v>
      </c>
      <c r="B156" t="s">
        <v>69</v>
      </c>
      <c r="C156">
        <v>2</v>
      </c>
      <c r="D156" s="26" t="s">
        <v>384</v>
      </c>
      <c r="E156" t="s">
        <v>71</v>
      </c>
      <c r="F156">
        <v>4</v>
      </c>
      <c r="G156" t="str">
        <f t="shared" si="5"/>
        <v>CoStep2ColorT4</v>
      </c>
      <c r="J156" s="26" t="s">
        <v>72</v>
      </c>
      <c r="K156">
        <v>55</v>
      </c>
      <c r="L156" t="str">
        <f t="shared" si="6"/>
        <v>B55</v>
      </c>
    </row>
    <row r="157" spans="1:12" x14ac:dyDescent="0.2">
      <c r="A157" s="26" t="s">
        <v>36</v>
      </c>
      <c r="B157" t="s">
        <v>69</v>
      </c>
      <c r="C157">
        <v>2</v>
      </c>
      <c r="D157" t="s">
        <v>68</v>
      </c>
      <c r="E157" t="s">
        <v>71</v>
      </c>
      <c r="F157">
        <v>4</v>
      </c>
      <c r="G157" t="str">
        <f t="shared" si="5"/>
        <v>CoStep2StepLengthT4</v>
      </c>
      <c r="J157" s="26" t="s">
        <v>73</v>
      </c>
      <c r="K157">
        <v>55</v>
      </c>
      <c r="L157" t="str">
        <f t="shared" si="6"/>
        <v>E55</v>
      </c>
    </row>
    <row r="158" spans="1:12" x14ac:dyDescent="0.2">
      <c r="A158" s="26" t="s">
        <v>36</v>
      </c>
      <c r="B158" t="s">
        <v>69</v>
      </c>
      <c r="C158">
        <v>2</v>
      </c>
      <c r="D158" s="26" t="s">
        <v>400</v>
      </c>
      <c r="E158" t="s">
        <v>71</v>
      </c>
      <c r="F158">
        <v>4</v>
      </c>
      <c r="G158" t="str">
        <f t="shared" si="5"/>
        <v>CoStep2StepTimeT4</v>
      </c>
      <c r="J158" s="26" t="s">
        <v>74</v>
      </c>
      <c r="K158">
        <v>55</v>
      </c>
      <c r="L158" t="str">
        <f t="shared" si="6"/>
        <v>J55</v>
      </c>
    </row>
    <row r="159" spans="1:12" x14ac:dyDescent="0.2">
      <c r="A159" s="26" t="s">
        <v>36</v>
      </c>
      <c r="B159" t="s">
        <v>69</v>
      </c>
      <c r="C159">
        <v>2</v>
      </c>
      <c r="D159" s="26" t="s">
        <v>401</v>
      </c>
      <c r="E159" t="s">
        <v>71</v>
      </c>
      <c r="F159">
        <v>4</v>
      </c>
      <c r="G159" t="str">
        <f t="shared" si="5"/>
        <v>CoStep2DoubleSupportTimeT4</v>
      </c>
      <c r="J159" s="26" t="s">
        <v>75</v>
      </c>
      <c r="K159">
        <v>55</v>
      </c>
      <c r="L159" t="str">
        <f t="shared" si="6"/>
        <v>O55</v>
      </c>
    </row>
    <row r="160" spans="1:12" x14ac:dyDescent="0.2">
      <c r="A160" s="26" t="s">
        <v>36</v>
      </c>
      <c r="B160" t="s">
        <v>69</v>
      </c>
      <c r="C160">
        <v>2</v>
      </c>
      <c r="D160" s="26" t="s">
        <v>402</v>
      </c>
      <c r="E160" t="s">
        <v>71</v>
      </c>
      <c r="F160">
        <v>4</v>
      </c>
      <c r="G160" t="str">
        <f t="shared" si="5"/>
        <v>CoStep2StanceTimeT4</v>
      </c>
      <c r="J160" s="26" t="s">
        <v>71</v>
      </c>
      <c r="K160">
        <v>55</v>
      </c>
      <c r="L160" t="str">
        <f t="shared" si="6"/>
        <v>T55</v>
      </c>
    </row>
    <row r="161" spans="1:12" x14ac:dyDescent="0.2">
      <c r="A161" s="26" t="s">
        <v>36</v>
      </c>
      <c r="B161" t="s">
        <v>69</v>
      </c>
      <c r="C161">
        <v>3</v>
      </c>
      <c r="D161" s="26" t="s">
        <v>384</v>
      </c>
      <c r="E161" t="s">
        <v>71</v>
      </c>
      <c r="F161">
        <v>4</v>
      </c>
      <c r="G161" t="str">
        <f t="shared" si="5"/>
        <v>CoStep3ColorT4</v>
      </c>
      <c r="J161" s="26" t="s">
        <v>72</v>
      </c>
      <c r="K161">
        <v>80</v>
      </c>
      <c r="L161" t="str">
        <f t="shared" si="6"/>
        <v>B80</v>
      </c>
    </row>
    <row r="162" spans="1:12" x14ac:dyDescent="0.2">
      <c r="A162" s="26" t="s">
        <v>36</v>
      </c>
      <c r="B162" t="s">
        <v>69</v>
      </c>
      <c r="C162">
        <v>3</v>
      </c>
      <c r="D162" t="s">
        <v>68</v>
      </c>
      <c r="E162" t="s">
        <v>71</v>
      </c>
      <c r="F162">
        <v>4</v>
      </c>
      <c r="G162" t="str">
        <f t="shared" si="5"/>
        <v>CoStep3StepLengthT4</v>
      </c>
      <c r="J162" s="26" t="s">
        <v>73</v>
      </c>
      <c r="K162">
        <v>80</v>
      </c>
      <c r="L162" t="str">
        <f t="shared" si="6"/>
        <v>E80</v>
      </c>
    </row>
    <row r="163" spans="1:12" x14ac:dyDescent="0.2">
      <c r="A163" s="26" t="s">
        <v>36</v>
      </c>
      <c r="B163" t="s">
        <v>69</v>
      </c>
      <c r="C163">
        <v>3</v>
      </c>
      <c r="D163" s="26" t="s">
        <v>400</v>
      </c>
      <c r="E163" t="s">
        <v>71</v>
      </c>
      <c r="F163">
        <v>4</v>
      </c>
      <c r="G163" t="str">
        <f t="shared" si="5"/>
        <v>CoStep3StepTimeT4</v>
      </c>
      <c r="J163" s="26" t="s">
        <v>74</v>
      </c>
      <c r="K163">
        <v>80</v>
      </c>
      <c r="L163" t="str">
        <f t="shared" si="6"/>
        <v>J80</v>
      </c>
    </row>
    <row r="164" spans="1:12" x14ac:dyDescent="0.2">
      <c r="A164" s="26" t="s">
        <v>36</v>
      </c>
      <c r="B164" t="s">
        <v>69</v>
      </c>
      <c r="C164">
        <v>3</v>
      </c>
      <c r="D164" s="26" t="s">
        <v>401</v>
      </c>
      <c r="E164" t="s">
        <v>71</v>
      </c>
      <c r="F164">
        <v>4</v>
      </c>
      <c r="G164" t="str">
        <f t="shared" si="5"/>
        <v>CoStep3DoubleSupportTimeT4</v>
      </c>
      <c r="J164" s="26" t="s">
        <v>75</v>
      </c>
      <c r="K164">
        <v>80</v>
      </c>
      <c r="L164" t="str">
        <f t="shared" si="6"/>
        <v>O80</v>
      </c>
    </row>
    <row r="165" spans="1:12" x14ac:dyDescent="0.2">
      <c r="A165" s="26" t="s">
        <v>36</v>
      </c>
      <c r="B165" t="s">
        <v>69</v>
      </c>
      <c r="C165">
        <v>3</v>
      </c>
      <c r="D165" s="26" t="s">
        <v>402</v>
      </c>
      <c r="E165" t="s">
        <v>71</v>
      </c>
      <c r="F165">
        <v>4</v>
      </c>
      <c r="G165" t="str">
        <f t="shared" si="5"/>
        <v>CoStep3StanceTimeT4</v>
      </c>
      <c r="J165" s="26" t="s">
        <v>71</v>
      </c>
      <c r="K165">
        <v>80</v>
      </c>
      <c r="L165" t="str">
        <f t="shared" si="6"/>
        <v>T80</v>
      </c>
    </row>
    <row r="166" spans="1:12" x14ac:dyDescent="0.2">
      <c r="A166" s="26" t="s">
        <v>36</v>
      </c>
      <c r="B166" t="s">
        <v>69</v>
      </c>
      <c r="C166">
        <v>4</v>
      </c>
      <c r="D166" s="26" t="s">
        <v>384</v>
      </c>
      <c r="E166" t="s">
        <v>71</v>
      </c>
      <c r="F166">
        <v>4</v>
      </c>
      <c r="G166" t="str">
        <f t="shared" si="5"/>
        <v>CoStep4ColorT4</v>
      </c>
      <c r="J166" s="26" t="s">
        <v>72</v>
      </c>
      <c r="K166">
        <v>105</v>
      </c>
      <c r="L166" t="str">
        <f t="shared" si="6"/>
        <v>B105</v>
      </c>
    </row>
    <row r="167" spans="1:12" x14ac:dyDescent="0.2">
      <c r="A167" s="26" t="s">
        <v>36</v>
      </c>
      <c r="B167" t="s">
        <v>69</v>
      </c>
      <c r="C167">
        <v>4</v>
      </c>
      <c r="D167" t="s">
        <v>68</v>
      </c>
      <c r="E167" t="s">
        <v>71</v>
      </c>
      <c r="F167">
        <v>4</v>
      </c>
      <c r="G167" t="str">
        <f t="shared" si="5"/>
        <v>CoStep4StepLengthT4</v>
      </c>
      <c r="J167" s="26" t="s">
        <v>73</v>
      </c>
      <c r="K167">
        <v>105</v>
      </c>
      <c r="L167" t="str">
        <f t="shared" si="6"/>
        <v>E105</v>
      </c>
    </row>
    <row r="168" spans="1:12" x14ac:dyDescent="0.2">
      <c r="A168" s="26" t="s">
        <v>36</v>
      </c>
      <c r="B168" t="s">
        <v>69</v>
      </c>
      <c r="C168">
        <v>4</v>
      </c>
      <c r="D168" s="26" t="s">
        <v>400</v>
      </c>
      <c r="E168" t="s">
        <v>71</v>
      </c>
      <c r="F168">
        <v>4</v>
      </c>
      <c r="G168" t="str">
        <f t="shared" si="5"/>
        <v>CoStep4StepTimeT4</v>
      </c>
      <c r="J168" s="26" t="s">
        <v>74</v>
      </c>
      <c r="K168">
        <v>105</v>
      </c>
      <c r="L168" t="str">
        <f t="shared" si="6"/>
        <v>J105</v>
      </c>
    </row>
    <row r="169" spans="1:12" x14ac:dyDescent="0.2">
      <c r="A169" s="26" t="s">
        <v>36</v>
      </c>
      <c r="B169" t="s">
        <v>69</v>
      </c>
      <c r="C169">
        <v>4</v>
      </c>
      <c r="D169" s="26" t="s">
        <v>401</v>
      </c>
      <c r="E169" t="s">
        <v>71</v>
      </c>
      <c r="F169">
        <v>4</v>
      </c>
      <c r="G169" t="str">
        <f t="shared" si="5"/>
        <v>CoStep4DoubleSupportTimeT4</v>
      </c>
      <c r="J169" s="26" t="s">
        <v>75</v>
      </c>
      <c r="K169">
        <v>105</v>
      </c>
      <c r="L169" t="str">
        <f t="shared" si="6"/>
        <v>O105</v>
      </c>
    </row>
    <row r="170" spans="1:12" x14ac:dyDescent="0.2">
      <c r="A170" s="26" t="s">
        <v>36</v>
      </c>
      <c r="B170" t="s">
        <v>69</v>
      </c>
      <c r="C170">
        <v>4</v>
      </c>
      <c r="D170" s="26" t="s">
        <v>402</v>
      </c>
      <c r="E170" t="s">
        <v>71</v>
      </c>
      <c r="F170">
        <v>4</v>
      </c>
      <c r="G170" t="str">
        <f t="shared" si="5"/>
        <v>CoStep4StanceTimeT4</v>
      </c>
      <c r="J170" s="26" t="s">
        <v>71</v>
      </c>
      <c r="K170">
        <v>105</v>
      </c>
      <c r="L170" t="str">
        <f t="shared" si="6"/>
        <v>T105</v>
      </c>
    </row>
    <row r="171" spans="1:12" x14ac:dyDescent="0.2">
      <c r="A171" s="26" t="s">
        <v>36</v>
      </c>
      <c r="B171" t="s">
        <v>69</v>
      </c>
      <c r="C171">
        <v>5</v>
      </c>
      <c r="D171" s="26" t="s">
        <v>384</v>
      </c>
      <c r="E171" t="s">
        <v>71</v>
      </c>
      <c r="F171">
        <v>4</v>
      </c>
      <c r="G171" t="str">
        <f t="shared" si="5"/>
        <v>CoStep5ColorT4</v>
      </c>
      <c r="J171" s="26" t="s">
        <v>72</v>
      </c>
      <c r="K171">
        <v>130</v>
      </c>
      <c r="L171" t="str">
        <f t="shared" si="6"/>
        <v>B130</v>
      </c>
    </row>
    <row r="172" spans="1:12" x14ac:dyDescent="0.2">
      <c r="A172" s="26" t="s">
        <v>36</v>
      </c>
      <c r="B172" t="s">
        <v>69</v>
      </c>
      <c r="C172">
        <v>5</v>
      </c>
      <c r="D172" t="s">
        <v>68</v>
      </c>
      <c r="E172" t="s">
        <v>71</v>
      </c>
      <c r="F172">
        <v>4</v>
      </c>
      <c r="G172" t="str">
        <f t="shared" si="5"/>
        <v>CoStep5StepLengthT4</v>
      </c>
      <c r="J172" s="26" t="s">
        <v>73</v>
      </c>
      <c r="K172">
        <v>130</v>
      </c>
      <c r="L172" t="str">
        <f t="shared" si="6"/>
        <v>E130</v>
      </c>
    </row>
    <row r="173" spans="1:12" x14ac:dyDescent="0.2">
      <c r="A173" s="26" t="s">
        <v>36</v>
      </c>
      <c r="B173" t="s">
        <v>69</v>
      </c>
      <c r="C173">
        <v>5</v>
      </c>
      <c r="D173" s="26" t="s">
        <v>400</v>
      </c>
      <c r="E173" t="s">
        <v>71</v>
      </c>
      <c r="F173">
        <v>4</v>
      </c>
      <c r="G173" t="str">
        <f t="shared" si="5"/>
        <v>CoStep5StepTimeT4</v>
      </c>
      <c r="J173" s="26" t="s">
        <v>74</v>
      </c>
      <c r="K173">
        <v>130</v>
      </c>
      <c r="L173" t="str">
        <f t="shared" si="6"/>
        <v>J130</v>
      </c>
    </row>
    <row r="174" spans="1:12" x14ac:dyDescent="0.2">
      <c r="A174" s="26" t="s">
        <v>36</v>
      </c>
      <c r="B174" t="s">
        <v>69</v>
      </c>
      <c r="C174">
        <v>5</v>
      </c>
      <c r="D174" s="26" t="s">
        <v>401</v>
      </c>
      <c r="E174" t="s">
        <v>71</v>
      </c>
      <c r="F174">
        <v>4</v>
      </c>
      <c r="G174" t="str">
        <f t="shared" si="5"/>
        <v>CoStep5DoubleSupportTimeT4</v>
      </c>
      <c r="J174" s="26" t="s">
        <v>75</v>
      </c>
      <c r="K174">
        <v>130</v>
      </c>
      <c r="L174" t="str">
        <f t="shared" si="6"/>
        <v>O130</v>
      </c>
    </row>
    <row r="175" spans="1:12" x14ac:dyDescent="0.2">
      <c r="A175" s="26" t="s">
        <v>36</v>
      </c>
      <c r="B175" t="s">
        <v>69</v>
      </c>
      <c r="C175">
        <v>5</v>
      </c>
      <c r="D175" s="26" t="s">
        <v>402</v>
      </c>
      <c r="E175" t="s">
        <v>71</v>
      </c>
      <c r="F175">
        <v>4</v>
      </c>
      <c r="G175" t="str">
        <f t="shared" si="5"/>
        <v>CoStep5StanceTimeT4</v>
      </c>
      <c r="J175" s="26" t="s">
        <v>71</v>
      </c>
      <c r="K175">
        <v>130</v>
      </c>
      <c r="L175" t="str">
        <f t="shared" si="6"/>
        <v>T130</v>
      </c>
    </row>
    <row r="176" spans="1:12" x14ac:dyDescent="0.2">
      <c r="A176" s="26" t="s">
        <v>36</v>
      </c>
      <c r="B176" t="s">
        <v>69</v>
      </c>
      <c r="C176">
        <v>6</v>
      </c>
      <c r="D176" s="26" t="s">
        <v>384</v>
      </c>
      <c r="E176" t="s">
        <v>71</v>
      </c>
      <c r="F176">
        <v>4</v>
      </c>
      <c r="G176" t="str">
        <f t="shared" si="5"/>
        <v>CoStep6ColorT4</v>
      </c>
      <c r="J176" s="26" t="s">
        <v>72</v>
      </c>
      <c r="K176">
        <v>155</v>
      </c>
      <c r="L176" t="str">
        <f t="shared" si="6"/>
        <v>B155</v>
      </c>
    </row>
    <row r="177" spans="1:12" x14ac:dyDescent="0.2">
      <c r="A177" s="26" t="s">
        <v>36</v>
      </c>
      <c r="B177" t="s">
        <v>69</v>
      </c>
      <c r="C177">
        <v>6</v>
      </c>
      <c r="D177" t="s">
        <v>68</v>
      </c>
      <c r="E177" t="s">
        <v>71</v>
      </c>
      <c r="F177">
        <v>4</v>
      </c>
      <c r="G177" t="str">
        <f t="shared" si="5"/>
        <v>CoStep6StepLengthT4</v>
      </c>
      <c r="J177" s="26" t="s">
        <v>73</v>
      </c>
      <c r="K177">
        <v>155</v>
      </c>
      <c r="L177" t="str">
        <f t="shared" si="6"/>
        <v>E155</v>
      </c>
    </row>
    <row r="178" spans="1:12" x14ac:dyDescent="0.2">
      <c r="A178" s="26" t="s">
        <v>36</v>
      </c>
      <c r="B178" t="s">
        <v>69</v>
      </c>
      <c r="C178">
        <v>6</v>
      </c>
      <c r="D178" s="26" t="s">
        <v>400</v>
      </c>
      <c r="E178" t="s">
        <v>71</v>
      </c>
      <c r="F178">
        <v>4</v>
      </c>
      <c r="G178" t="str">
        <f t="shared" si="5"/>
        <v>CoStep6StepTimeT4</v>
      </c>
      <c r="J178" s="26" t="s">
        <v>74</v>
      </c>
      <c r="K178">
        <v>155</v>
      </c>
      <c r="L178" t="str">
        <f t="shared" si="6"/>
        <v>J155</v>
      </c>
    </row>
    <row r="179" spans="1:12" x14ac:dyDescent="0.2">
      <c r="A179" s="26" t="s">
        <v>36</v>
      </c>
      <c r="B179" t="s">
        <v>69</v>
      </c>
      <c r="C179">
        <v>6</v>
      </c>
      <c r="D179" s="26" t="s">
        <v>401</v>
      </c>
      <c r="E179" t="s">
        <v>71</v>
      </c>
      <c r="F179">
        <v>4</v>
      </c>
      <c r="G179" t="str">
        <f t="shared" si="5"/>
        <v>CoStep6DoubleSupportTimeT4</v>
      </c>
      <c r="J179" s="26" t="s">
        <v>75</v>
      </c>
      <c r="K179">
        <v>155</v>
      </c>
      <c r="L179" t="str">
        <f t="shared" si="6"/>
        <v>O155</v>
      </c>
    </row>
    <row r="180" spans="1:12" x14ac:dyDescent="0.2">
      <c r="A180" s="26" t="s">
        <v>36</v>
      </c>
      <c r="B180" t="s">
        <v>69</v>
      </c>
      <c r="C180">
        <v>6</v>
      </c>
      <c r="D180" s="26" t="s">
        <v>402</v>
      </c>
      <c r="E180" t="s">
        <v>71</v>
      </c>
      <c r="F180">
        <v>4</v>
      </c>
      <c r="G180" t="str">
        <f t="shared" si="5"/>
        <v>CoStep6StanceTimeT4</v>
      </c>
      <c r="J180" s="26" t="s">
        <v>71</v>
      </c>
      <c r="K180">
        <v>155</v>
      </c>
      <c r="L180" t="str">
        <f t="shared" si="6"/>
        <v>T155</v>
      </c>
    </row>
    <row r="181" spans="1:12" x14ac:dyDescent="0.2">
      <c r="A181" s="26" t="s">
        <v>36</v>
      </c>
      <c r="B181" t="s">
        <v>69</v>
      </c>
      <c r="C181">
        <v>7</v>
      </c>
      <c r="D181" s="26" t="s">
        <v>384</v>
      </c>
      <c r="E181" t="s">
        <v>71</v>
      </c>
      <c r="F181">
        <v>4</v>
      </c>
      <c r="G181" t="str">
        <f t="shared" si="5"/>
        <v>CoStep7ColorT4</v>
      </c>
      <c r="J181" s="26" t="s">
        <v>72</v>
      </c>
      <c r="K181">
        <v>188</v>
      </c>
      <c r="L181" t="str">
        <f t="shared" si="6"/>
        <v>B188</v>
      </c>
    </row>
    <row r="182" spans="1:12" x14ac:dyDescent="0.2">
      <c r="A182" s="26" t="s">
        <v>36</v>
      </c>
      <c r="B182" t="s">
        <v>69</v>
      </c>
      <c r="C182">
        <v>7</v>
      </c>
      <c r="D182" t="s">
        <v>68</v>
      </c>
      <c r="E182" t="s">
        <v>71</v>
      </c>
      <c r="F182">
        <v>4</v>
      </c>
      <c r="G182" t="str">
        <f t="shared" si="5"/>
        <v>CoStep7StepLengthT4</v>
      </c>
      <c r="J182" s="26" t="s">
        <v>73</v>
      </c>
      <c r="K182">
        <v>188</v>
      </c>
      <c r="L182" t="str">
        <f t="shared" si="6"/>
        <v>E188</v>
      </c>
    </row>
    <row r="183" spans="1:12" x14ac:dyDescent="0.2">
      <c r="A183" s="26" t="s">
        <v>36</v>
      </c>
      <c r="B183" t="s">
        <v>69</v>
      </c>
      <c r="C183">
        <v>7</v>
      </c>
      <c r="D183" s="26" t="s">
        <v>400</v>
      </c>
      <c r="E183" t="s">
        <v>71</v>
      </c>
      <c r="F183">
        <v>4</v>
      </c>
      <c r="G183" t="str">
        <f t="shared" si="5"/>
        <v>CoStep7StepTimeT4</v>
      </c>
      <c r="J183" s="26" t="s">
        <v>74</v>
      </c>
      <c r="K183">
        <v>188</v>
      </c>
      <c r="L183" t="str">
        <f t="shared" si="6"/>
        <v>J188</v>
      </c>
    </row>
    <row r="184" spans="1:12" x14ac:dyDescent="0.2">
      <c r="A184" s="26" t="s">
        <v>36</v>
      </c>
      <c r="B184" t="s">
        <v>69</v>
      </c>
      <c r="C184">
        <v>7</v>
      </c>
      <c r="D184" s="26" t="s">
        <v>401</v>
      </c>
      <c r="E184" t="s">
        <v>71</v>
      </c>
      <c r="F184">
        <v>4</v>
      </c>
      <c r="G184" t="str">
        <f t="shared" si="5"/>
        <v>CoStep7DoubleSupportTimeT4</v>
      </c>
      <c r="J184" s="26" t="s">
        <v>75</v>
      </c>
      <c r="K184">
        <v>188</v>
      </c>
      <c r="L184" t="str">
        <f t="shared" si="6"/>
        <v>O188</v>
      </c>
    </row>
    <row r="185" spans="1:12" x14ac:dyDescent="0.2">
      <c r="A185" s="26" t="s">
        <v>36</v>
      </c>
      <c r="B185" t="s">
        <v>69</v>
      </c>
      <c r="C185">
        <v>7</v>
      </c>
      <c r="D185" s="26" t="s">
        <v>402</v>
      </c>
      <c r="E185" t="s">
        <v>71</v>
      </c>
      <c r="F185">
        <v>4</v>
      </c>
      <c r="G185" t="str">
        <f t="shared" si="5"/>
        <v>CoStep7StanceTimeT4</v>
      </c>
      <c r="J185" s="26" t="s">
        <v>71</v>
      </c>
      <c r="K185">
        <v>188</v>
      </c>
      <c r="L185" t="str">
        <f t="shared" si="6"/>
        <v>T188</v>
      </c>
    </row>
    <row r="186" spans="1:12" x14ac:dyDescent="0.2">
      <c r="A186" s="26" t="s">
        <v>36</v>
      </c>
      <c r="B186" t="s">
        <v>69</v>
      </c>
      <c r="C186">
        <v>8</v>
      </c>
      <c r="D186" s="26" t="s">
        <v>384</v>
      </c>
      <c r="E186" t="s">
        <v>71</v>
      </c>
      <c r="F186">
        <v>4</v>
      </c>
      <c r="G186" t="str">
        <f t="shared" si="5"/>
        <v>CoStep8ColorT4</v>
      </c>
      <c r="J186" s="26" t="s">
        <v>72</v>
      </c>
      <c r="K186">
        <v>205</v>
      </c>
      <c r="L186" t="str">
        <f t="shared" si="6"/>
        <v>B205</v>
      </c>
    </row>
    <row r="187" spans="1:12" x14ac:dyDescent="0.2">
      <c r="A187" s="26" t="s">
        <v>36</v>
      </c>
      <c r="B187" t="s">
        <v>69</v>
      </c>
      <c r="C187">
        <v>8</v>
      </c>
      <c r="D187" t="s">
        <v>68</v>
      </c>
      <c r="E187" t="s">
        <v>71</v>
      </c>
      <c r="F187">
        <v>4</v>
      </c>
      <c r="G187" t="str">
        <f t="shared" si="5"/>
        <v>CoStep8StepLengthT4</v>
      </c>
      <c r="J187" s="26" t="s">
        <v>73</v>
      </c>
      <c r="K187">
        <v>205</v>
      </c>
      <c r="L187" t="str">
        <f t="shared" si="6"/>
        <v>E205</v>
      </c>
    </row>
    <row r="188" spans="1:12" x14ac:dyDescent="0.2">
      <c r="A188" s="26" t="s">
        <v>36</v>
      </c>
      <c r="B188" t="s">
        <v>69</v>
      </c>
      <c r="C188">
        <v>8</v>
      </c>
      <c r="D188" s="26" t="s">
        <v>400</v>
      </c>
      <c r="E188" t="s">
        <v>71</v>
      </c>
      <c r="F188">
        <v>4</v>
      </c>
      <c r="G188" t="str">
        <f t="shared" si="5"/>
        <v>CoStep8StepTimeT4</v>
      </c>
      <c r="J188" s="26" t="s">
        <v>74</v>
      </c>
      <c r="K188">
        <v>205</v>
      </c>
      <c r="L188" t="str">
        <f t="shared" si="6"/>
        <v>J205</v>
      </c>
    </row>
    <row r="189" spans="1:12" x14ac:dyDescent="0.2">
      <c r="A189" s="26" t="s">
        <v>36</v>
      </c>
      <c r="B189" t="s">
        <v>69</v>
      </c>
      <c r="C189">
        <v>8</v>
      </c>
      <c r="D189" s="26" t="s">
        <v>401</v>
      </c>
      <c r="E189" t="s">
        <v>71</v>
      </c>
      <c r="F189">
        <v>4</v>
      </c>
      <c r="G189" t="str">
        <f t="shared" si="5"/>
        <v>CoStep8DoubleSupportTimeT4</v>
      </c>
      <c r="J189" s="26" t="s">
        <v>75</v>
      </c>
      <c r="K189">
        <v>205</v>
      </c>
      <c r="L189" t="str">
        <f t="shared" si="6"/>
        <v>O205</v>
      </c>
    </row>
    <row r="190" spans="1:12" x14ac:dyDescent="0.2">
      <c r="A190" s="26" t="s">
        <v>36</v>
      </c>
      <c r="B190" t="s">
        <v>69</v>
      </c>
      <c r="C190">
        <v>8</v>
      </c>
      <c r="D190" s="26" t="s">
        <v>402</v>
      </c>
      <c r="E190" t="s">
        <v>71</v>
      </c>
      <c r="F190">
        <v>4</v>
      </c>
      <c r="G190" t="str">
        <f t="shared" si="5"/>
        <v>CoStep8StanceTimeT4</v>
      </c>
      <c r="J190" s="26" t="s">
        <v>71</v>
      </c>
      <c r="K190">
        <v>205</v>
      </c>
      <c r="L190" t="str">
        <f t="shared" si="6"/>
        <v>T205</v>
      </c>
    </row>
    <row r="191" spans="1:12" x14ac:dyDescent="0.2">
      <c r="A191" s="26" t="s">
        <v>36</v>
      </c>
      <c r="B191" t="s">
        <v>69</v>
      </c>
      <c r="C191">
        <v>9</v>
      </c>
      <c r="D191" s="26" t="s">
        <v>384</v>
      </c>
      <c r="E191" t="s">
        <v>71</v>
      </c>
      <c r="F191">
        <v>4</v>
      </c>
      <c r="G191" t="str">
        <f t="shared" si="5"/>
        <v>CoStep9ColorT4</v>
      </c>
      <c r="J191" s="26" t="s">
        <v>72</v>
      </c>
      <c r="K191">
        <v>230</v>
      </c>
      <c r="L191" t="str">
        <f t="shared" si="6"/>
        <v>B230</v>
      </c>
    </row>
    <row r="192" spans="1:12" x14ac:dyDescent="0.2">
      <c r="A192" s="26" t="s">
        <v>36</v>
      </c>
      <c r="B192" t="s">
        <v>69</v>
      </c>
      <c r="C192">
        <v>9</v>
      </c>
      <c r="D192" t="s">
        <v>68</v>
      </c>
      <c r="E192" t="s">
        <v>71</v>
      </c>
      <c r="F192">
        <v>4</v>
      </c>
      <c r="G192" t="str">
        <f t="shared" si="5"/>
        <v>CoStep9StepLengthT4</v>
      </c>
      <c r="J192" s="26" t="s">
        <v>73</v>
      </c>
      <c r="K192">
        <v>230</v>
      </c>
      <c r="L192" t="str">
        <f t="shared" si="6"/>
        <v>E230</v>
      </c>
    </row>
    <row r="193" spans="1:12" x14ac:dyDescent="0.2">
      <c r="A193" s="26" t="s">
        <v>36</v>
      </c>
      <c r="B193" t="s">
        <v>69</v>
      </c>
      <c r="C193">
        <v>9</v>
      </c>
      <c r="D193" s="26" t="s">
        <v>400</v>
      </c>
      <c r="E193" t="s">
        <v>71</v>
      </c>
      <c r="F193">
        <v>4</v>
      </c>
      <c r="G193" t="str">
        <f t="shared" si="5"/>
        <v>CoStep9StepTimeT4</v>
      </c>
      <c r="J193" s="26" t="s">
        <v>74</v>
      </c>
      <c r="K193">
        <v>230</v>
      </c>
      <c r="L193" t="str">
        <f t="shared" si="6"/>
        <v>J230</v>
      </c>
    </row>
    <row r="194" spans="1:12" x14ac:dyDescent="0.2">
      <c r="A194" s="26" t="s">
        <v>36</v>
      </c>
      <c r="B194" t="s">
        <v>69</v>
      </c>
      <c r="C194">
        <v>9</v>
      </c>
      <c r="D194" s="26" t="s">
        <v>401</v>
      </c>
      <c r="E194" t="s">
        <v>71</v>
      </c>
      <c r="F194">
        <v>4</v>
      </c>
      <c r="G194" t="str">
        <f t="shared" si="5"/>
        <v>CoStep9DoubleSupportTimeT4</v>
      </c>
      <c r="J194" s="26" t="s">
        <v>75</v>
      </c>
      <c r="K194">
        <v>230</v>
      </c>
      <c r="L194" t="str">
        <f t="shared" si="6"/>
        <v>O230</v>
      </c>
    </row>
    <row r="195" spans="1:12" x14ac:dyDescent="0.2">
      <c r="A195" s="26" t="s">
        <v>36</v>
      </c>
      <c r="B195" t="s">
        <v>69</v>
      </c>
      <c r="C195">
        <v>9</v>
      </c>
      <c r="D195" s="26" t="s">
        <v>402</v>
      </c>
      <c r="E195" t="s">
        <v>71</v>
      </c>
      <c r="F195">
        <v>4</v>
      </c>
      <c r="G195" t="str">
        <f t="shared" si="5"/>
        <v>CoStep9StanceTimeT4</v>
      </c>
      <c r="J195" s="26" t="s">
        <v>71</v>
      </c>
      <c r="K195">
        <v>230</v>
      </c>
      <c r="L195" t="str">
        <f t="shared" si="6"/>
        <v>T230</v>
      </c>
    </row>
    <row r="196" spans="1:12" x14ac:dyDescent="0.2">
      <c r="A196" s="26" t="s">
        <v>36</v>
      </c>
      <c r="B196" t="s">
        <v>69</v>
      </c>
      <c r="C196">
        <v>10</v>
      </c>
      <c r="D196" s="26" t="s">
        <v>384</v>
      </c>
      <c r="E196" t="s">
        <v>71</v>
      </c>
      <c r="F196">
        <v>4</v>
      </c>
      <c r="G196" t="str">
        <f t="shared" si="5"/>
        <v>CoStep10ColorT4</v>
      </c>
      <c r="J196" s="26" t="s">
        <v>72</v>
      </c>
      <c r="K196">
        <v>255</v>
      </c>
      <c r="L196" t="str">
        <f t="shared" si="6"/>
        <v>B255</v>
      </c>
    </row>
    <row r="197" spans="1:12" x14ac:dyDescent="0.2">
      <c r="A197" s="26" t="s">
        <v>36</v>
      </c>
      <c r="B197" t="s">
        <v>69</v>
      </c>
      <c r="C197">
        <v>10</v>
      </c>
      <c r="D197" t="s">
        <v>68</v>
      </c>
      <c r="E197" t="s">
        <v>71</v>
      </c>
      <c r="F197">
        <v>4</v>
      </c>
      <c r="G197" t="str">
        <f t="shared" si="5"/>
        <v>CoStep10StepLengthT4</v>
      </c>
      <c r="J197" s="26" t="s">
        <v>73</v>
      </c>
      <c r="K197">
        <v>255</v>
      </c>
      <c r="L197" t="str">
        <f t="shared" si="6"/>
        <v>E255</v>
      </c>
    </row>
    <row r="198" spans="1:12" x14ac:dyDescent="0.2">
      <c r="A198" s="26" t="s">
        <v>36</v>
      </c>
      <c r="B198" t="s">
        <v>69</v>
      </c>
      <c r="C198">
        <v>10</v>
      </c>
      <c r="D198" s="26" t="s">
        <v>400</v>
      </c>
      <c r="E198" t="s">
        <v>71</v>
      </c>
      <c r="F198">
        <v>4</v>
      </c>
      <c r="G198" t="str">
        <f t="shared" ref="G198:G261" si="7">A198&amp;B198&amp;C198&amp;D198&amp;E198&amp;F198</f>
        <v>CoStep10StepTimeT4</v>
      </c>
      <c r="J198" s="26" t="s">
        <v>74</v>
      </c>
      <c r="K198">
        <v>255</v>
      </c>
      <c r="L198" t="str">
        <f t="shared" si="6"/>
        <v>J255</v>
      </c>
    </row>
    <row r="199" spans="1:12" x14ac:dyDescent="0.2">
      <c r="A199" s="26" t="s">
        <v>36</v>
      </c>
      <c r="B199" t="s">
        <v>69</v>
      </c>
      <c r="C199">
        <v>10</v>
      </c>
      <c r="D199" s="26" t="s">
        <v>401</v>
      </c>
      <c r="E199" t="s">
        <v>71</v>
      </c>
      <c r="F199">
        <v>4</v>
      </c>
      <c r="G199" t="str">
        <f t="shared" si="7"/>
        <v>CoStep10DoubleSupportTimeT4</v>
      </c>
      <c r="J199" s="26" t="s">
        <v>75</v>
      </c>
      <c r="K199">
        <v>255</v>
      </c>
      <c r="L199" t="str">
        <f t="shared" si="6"/>
        <v>O255</v>
      </c>
    </row>
    <row r="200" spans="1:12" x14ac:dyDescent="0.2">
      <c r="A200" s="26" t="s">
        <v>36</v>
      </c>
      <c r="B200" t="s">
        <v>69</v>
      </c>
      <c r="C200">
        <v>10</v>
      </c>
      <c r="D200" s="26" t="s">
        <v>402</v>
      </c>
      <c r="E200" t="s">
        <v>71</v>
      </c>
      <c r="F200">
        <v>4</v>
      </c>
      <c r="G200" t="str">
        <f t="shared" si="7"/>
        <v>CoStep10StanceTimeT4</v>
      </c>
      <c r="J200" s="26" t="s">
        <v>71</v>
      </c>
      <c r="K200">
        <v>255</v>
      </c>
      <c r="L200" t="str">
        <f t="shared" si="6"/>
        <v>T255</v>
      </c>
    </row>
    <row r="201" spans="1:12" x14ac:dyDescent="0.2">
      <c r="A201" s="26" t="s">
        <v>36</v>
      </c>
      <c r="B201" t="s">
        <v>69</v>
      </c>
      <c r="C201">
        <v>1</v>
      </c>
      <c r="D201" s="26" t="s">
        <v>384</v>
      </c>
      <c r="E201" t="s">
        <v>71</v>
      </c>
      <c r="F201">
        <v>5</v>
      </c>
      <c r="G201" t="str">
        <f t="shared" si="7"/>
        <v>CoStep1ColorT5</v>
      </c>
      <c r="J201" s="26" t="s">
        <v>72</v>
      </c>
      <c r="K201">
        <v>30</v>
      </c>
      <c r="L201" t="str">
        <f>J201&amp;K201</f>
        <v>B30</v>
      </c>
    </row>
    <row r="202" spans="1:12" x14ac:dyDescent="0.2">
      <c r="A202" s="26" t="s">
        <v>36</v>
      </c>
      <c r="B202" t="s">
        <v>69</v>
      </c>
      <c r="C202">
        <v>1</v>
      </c>
      <c r="D202" t="s">
        <v>68</v>
      </c>
      <c r="E202" t="s">
        <v>71</v>
      </c>
      <c r="F202">
        <v>5</v>
      </c>
      <c r="G202" t="str">
        <f t="shared" si="7"/>
        <v>CoStep1StepLengthT5</v>
      </c>
      <c r="J202" s="26" t="s">
        <v>73</v>
      </c>
      <c r="K202">
        <v>30</v>
      </c>
      <c r="L202" t="str">
        <f t="shared" ref="L202:L250" si="8">J202&amp;K202</f>
        <v>E30</v>
      </c>
    </row>
    <row r="203" spans="1:12" x14ac:dyDescent="0.2">
      <c r="A203" s="26" t="s">
        <v>36</v>
      </c>
      <c r="B203" t="s">
        <v>69</v>
      </c>
      <c r="C203">
        <v>1</v>
      </c>
      <c r="D203" s="26" t="s">
        <v>400</v>
      </c>
      <c r="E203" t="s">
        <v>71</v>
      </c>
      <c r="F203">
        <v>5</v>
      </c>
      <c r="G203" t="str">
        <f t="shared" si="7"/>
        <v>CoStep1StepTimeT5</v>
      </c>
      <c r="J203" s="26" t="s">
        <v>74</v>
      </c>
      <c r="K203">
        <v>30</v>
      </c>
      <c r="L203" t="str">
        <f t="shared" si="8"/>
        <v>J30</v>
      </c>
    </row>
    <row r="204" spans="1:12" x14ac:dyDescent="0.2">
      <c r="A204" s="26" t="s">
        <v>36</v>
      </c>
      <c r="B204" t="s">
        <v>69</v>
      </c>
      <c r="C204">
        <v>1</v>
      </c>
      <c r="D204" s="26" t="s">
        <v>401</v>
      </c>
      <c r="E204" t="s">
        <v>71</v>
      </c>
      <c r="F204">
        <v>5</v>
      </c>
      <c r="G204" t="str">
        <f t="shared" si="7"/>
        <v>CoStep1DoubleSupportTimeT5</v>
      </c>
      <c r="J204" s="26" t="s">
        <v>75</v>
      </c>
      <c r="K204">
        <v>30</v>
      </c>
      <c r="L204" t="str">
        <f t="shared" si="8"/>
        <v>O30</v>
      </c>
    </row>
    <row r="205" spans="1:12" x14ac:dyDescent="0.2">
      <c r="A205" s="26" t="s">
        <v>36</v>
      </c>
      <c r="B205" t="s">
        <v>69</v>
      </c>
      <c r="C205">
        <v>1</v>
      </c>
      <c r="D205" s="26" t="s">
        <v>402</v>
      </c>
      <c r="E205" t="s">
        <v>71</v>
      </c>
      <c r="F205">
        <v>5</v>
      </c>
      <c r="G205" t="str">
        <f t="shared" si="7"/>
        <v>CoStep1StanceTimeT5</v>
      </c>
      <c r="J205" s="26" t="s">
        <v>71</v>
      </c>
      <c r="K205">
        <v>30</v>
      </c>
      <c r="L205" t="str">
        <f t="shared" si="8"/>
        <v>T30</v>
      </c>
    </row>
    <row r="206" spans="1:12" x14ac:dyDescent="0.2">
      <c r="A206" s="26" t="s">
        <v>36</v>
      </c>
      <c r="B206" t="s">
        <v>69</v>
      </c>
      <c r="C206">
        <v>2</v>
      </c>
      <c r="D206" s="26" t="s">
        <v>384</v>
      </c>
      <c r="E206" t="s">
        <v>71</v>
      </c>
      <c r="F206">
        <v>5</v>
      </c>
      <c r="G206" t="str">
        <f t="shared" si="7"/>
        <v>CoStep2ColorT5</v>
      </c>
      <c r="J206" s="26" t="s">
        <v>72</v>
      </c>
      <c r="K206">
        <v>55</v>
      </c>
      <c r="L206" t="str">
        <f t="shared" si="8"/>
        <v>B55</v>
      </c>
    </row>
    <row r="207" spans="1:12" x14ac:dyDescent="0.2">
      <c r="A207" s="26" t="s">
        <v>36</v>
      </c>
      <c r="B207" t="s">
        <v>69</v>
      </c>
      <c r="C207">
        <v>2</v>
      </c>
      <c r="D207" t="s">
        <v>68</v>
      </c>
      <c r="E207" t="s">
        <v>71</v>
      </c>
      <c r="F207">
        <v>5</v>
      </c>
      <c r="G207" t="str">
        <f t="shared" si="7"/>
        <v>CoStep2StepLengthT5</v>
      </c>
      <c r="J207" s="26" t="s">
        <v>73</v>
      </c>
      <c r="K207">
        <v>55</v>
      </c>
      <c r="L207" t="str">
        <f t="shared" si="8"/>
        <v>E55</v>
      </c>
    </row>
    <row r="208" spans="1:12" x14ac:dyDescent="0.2">
      <c r="A208" s="26" t="s">
        <v>36</v>
      </c>
      <c r="B208" t="s">
        <v>69</v>
      </c>
      <c r="C208">
        <v>2</v>
      </c>
      <c r="D208" s="26" t="s">
        <v>400</v>
      </c>
      <c r="E208" t="s">
        <v>71</v>
      </c>
      <c r="F208">
        <v>5</v>
      </c>
      <c r="G208" t="str">
        <f t="shared" si="7"/>
        <v>CoStep2StepTimeT5</v>
      </c>
      <c r="J208" s="26" t="s">
        <v>74</v>
      </c>
      <c r="K208">
        <v>55</v>
      </c>
      <c r="L208" t="str">
        <f t="shared" si="8"/>
        <v>J55</v>
      </c>
    </row>
    <row r="209" spans="1:12" x14ac:dyDescent="0.2">
      <c r="A209" s="26" t="s">
        <v>36</v>
      </c>
      <c r="B209" t="s">
        <v>69</v>
      </c>
      <c r="C209">
        <v>2</v>
      </c>
      <c r="D209" s="26" t="s">
        <v>401</v>
      </c>
      <c r="E209" t="s">
        <v>71</v>
      </c>
      <c r="F209">
        <v>5</v>
      </c>
      <c r="G209" t="str">
        <f t="shared" si="7"/>
        <v>CoStep2DoubleSupportTimeT5</v>
      </c>
      <c r="J209" s="26" t="s">
        <v>75</v>
      </c>
      <c r="K209">
        <v>55</v>
      </c>
      <c r="L209" t="str">
        <f t="shared" si="8"/>
        <v>O55</v>
      </c>
    </row>
    <row r="210" spans="1:12" x14ac:dyDescent="0.2">
      <c r="A210" s="26" t="s">
        <v>36</v>
      </c>
      <c r="B210" t="s">
        <v>69</v>
      </c>
      <c r="C210">
        <v>2</v>
      </c>
      <c r="D210" s="26" t="s">
        <v>402</v>
      </c>
      <c r="E210" t="s">
        <v>71</v>
      </c>
      <c r="F210">
        <v>5</v>
      </c>
      <c r="G210" t="str">
        <f t="shared" si="7"/>
        <v>CoStep2StanceTimeT5</v>
      </c>
      <c r="J210" s="26" t="s">
        <v>71</v>
      </c>
      <c r="K210">
        <v>55</v>
      </c>
      <c r="L210" t="str">
        <f t="shared" si="8"/>
        <v>T55</v>
      </c>
    </row>
    <row r="211" spans="1:12" x14ac:dyDescent="0.2">
      <c r="A211" s="26" t="s">
        <v>36</v>
      </c>
      <c r="B211" t="s">
        <v>69</v>
      </c>
      <c r="C211">
        <v>3</v>
      </c>
      <c r="D211" s="26" t="s">
        <v>384</v>
      </c>
      <c r="E211" t="s">
        <v>71</v>
      </c>
      <c r="F211">
        <v>5</v>
      </c>
      <c r="G211" t="str">
        <f t="shared" si="7"/>
        <v>CoStep3ColorT5</v>
      </c>
      <c r="J211" s="26" t="s">
        <v>72</v>
      </c>
      <c r="K211">
        <v>80</v>
      </c>
      <c r="L211" t="str">
        <f t="shared" si="8"/>
        <v>B80</v>
      </c>
    </row>
    <row r="212" spans="1:12" x14ac:dyDescent="0.2">
      <c r="A212" s="26" t="s">
        <v>36</v>
      </c>
      <c r="B212" t="s">
        <v>69</v>
      </c>
      <c r="C212">
        <v>3</v>
      </c>
      <c r="D212" t="s">
        <v>68</v>
      </c>
      <c r="E212" t="s">
        <v>71</v>
      </c>
      <c r="F212">
        <v>5</v>
      </c>
      <c r="G212" t="str">
        <f t="shared" si="7"/>
        <v>CoStep3StepLengthT5</v>
      </c>
      <c r="J212" s="26" t="s">
        <v>73</v>
      </c>
      <c r="K212">
        <v>80</v>
      </c>
      <c r="L212" t="str">
        <f t="shared" si="8"/>
        <v>E80</v>
      </c>
    </row>
    <row r="213" spans="1:12" x14ac:dyDescent="0.2">
      <c r="A213" s="26" t="s">
        <v>36</v>
      </c>
      <c r="B213" t="s">
        <v>69</v>
      </c>
      <c r="C213">
        <v>3</v>
      </c>
      <c r="D213" s="26" t="s">
        <v>400</v>
      </c>
      <c r="E213" t="s">
        <v>71</v>
      </c>
      <c r="F213">
        <v>5</v>
      </c>
      <c r="G213" t="str">
        <f t="shared" si="7"/>
        <v>CoStep3StepTimeT5</v>
      </c>
      <c r="J213" s="26" t="s">
        <v>74</v>
      </c>
      <c r="K213">
        <v>80</v>
      </c>
      <c r="L213" t="str">
        <f t="shared" si="8"/>
        <v>J80</v>
      </c>
    </row>
    <row r="214" spans="1:12" x14ac:dyDescent="0.2">
      <c r="A214" s="26" t="s">
        <v>36</v>
      </c>
      <c r="B214" t="s">
        <v>69</v>
      </c>
      <c r="C214">
        <v>3</v>
      </c>
      <c r="D214" s="26" t="s">
        <v>401</v>
      </c>
      <c r="E214" t="s">
        <v>71</v>
      </c>
      <c r="F214">
        <v>5</v>
      </c>
      <c r="G214" t="str">
        <f t="shared" si="7"/>
        <v>CoStep3DoubleSupportTimeT5</v>
      </c>
      <c r="J214" s="26" t="s">
        <v>75</v>
      </c>
      <c r="K214">
        <v>80</v>
      </c>
      <c r="L214" t="str">
        <f t="shared" si="8"/>
        <v>O80</v>
      </c>
    </row>
    <row r="215" spans="1:12" x14ac:dyDescent="0.2">
      <c r="A215" s="26" t="s">
        <v>36</v>
      </c>
      <c r="B215" t="s">
        <v>69</v>
      </c>
      <c r="C215">
        <v>3</v>
      </c>
      <c r="D215" s="26" t="s">
        <v>402</v>
      </c>
      <c r="E215" t="s">
        <v>71</v>
      </c>
      <c r="F215">
        <v>5</v>
      </c>
      <c r="G215" t="str">
        <f t="shared" si="7"/>
        <v>CoStep3StanceTimeT5</v>
      </c>
      <c r="J215" s="26" t="s">
        <v>71</v>
      </c>
      <c r="K215">
        <v>80</v>
      </c>
      <c r="L215" t="str">
        <f t="shared" si="8"/>
        <v>T80</v>
      </c>
    </row>
    <row r="216" spans="1:12" x14ac:dyDescent="0.2">
      <c r="A216" s="26" t="s">
        <v>36</v>
      </c>
      <c r="B216" t="s">
        <v>69</v>
      </c>
      <c r="C216">
        <v>4</v>
      </c>
      <c r="D216" s="26" t="s">
        <v>384</v>
      </c>
      <c r="E216" t="s">
        <v>71</v>
      </c>
      <c r="F216">
        <v>5</v>
      </c>
      <c r="G216" t="str">
        <f t="shared" si="7"/>
        <v>CoStep4ColorT5</v>
      </c>
      <c r="J216" s="26" t="s">
        <v>72</v>
      </c>
      <c r="K216">
        <v>105</v>
      </c>
      <c r="L216" t="str">
        <f t="shared" si="8"/>
        <v>B105</v>
      </c>
    </row>
    <row r="217" spans="1:12" x14ac:dyDescent="0.2">
      <c r="A217" s="26" t="s">
        <v>36</v>
      </c>
      <c r="B217" t="s">
        <v>69</v>
      </c>
      <c r="C217">
        <v>4</v>
      </c>
      <c r="D217" t="s">
        <v>68</v>
      </c>
      <c r="E217" t="s">
        <v>71</v>
      </c>
      <c r="F217">
        <v>5</v>
      </c>
      <c r="G217" t="str">
        <f t="shared" si="7"/>
        <v>CoStep4StepLengthT5</v>
      </c>
      <c r="J217" s="26" t="s">
        <v>73</v>
      </c>
      <c r="K217">
        <v>105</v>
      </c>
      <c r="L217" t="str">
        <f t="shared" si="8"/>
        <v>E105</v>
      </c>
    </row>
    <row r="218" spans="1:12" x14ac:dyDescent="0.2">
      <c r="A218" s="26" t="s">
        <v>36</v>
      </c>
      <c r="B218" t="s">
        <v>69</v>
      </c>
      <c r="C218">
        <v>4</v>
      </c>
      <c r="D218" s="26" t="s">
        <v>400</v>
      </c>
      <c r="E218" t="s">
        <v>71</v>
      </c>
      <c r="F218">
        <v>5</v>
      </c>
      <c r="G218" t="str">
        <f t="shared" si="7"/>
        <v>CoStep4StepTimeT5</v>
      </c>
      <c r="J218" s="26" t="s">
        <v>74</v>
      </c>
      <c r="K218">
        <v>105</v>
      </c>
      <c r="L218" t="str">
        <f t="shared" si="8"/>
        <v>J105</v>
      </c>
    </row>
    <row r="219" spans="1:12" x14ac:dyDescent="0.2">
      <c r="A219" s="26" t="s">
        <v>36</v>
      </c>
      <c r="B219" t="s">
        <v>69</v>
      </c>
      <c r="C219">
        <v>4</v>
      </c>
      <c r="D219" s="26" t="s">
        <v>401</v>
      </c>
      <c r="E219" t="s">
        <v>71</v>
      </c>
      <c r="F219">
        <v>5</v>
      </c>
      <c r="G219" t="str">
        <f t="shared" si="7"/>
        <v>CoStep4DoubleSupportTimeT5</v>
      </c>
      <c r="J219" s="26" t="s">
        <v>75</v>
      </c>
      <c r="K219">
        <v>105</v>
      </c>
      <c r="L219" t="str">
        <f t="shared" si="8"/>
        <v>O105</v>
      </c>
    </row>
    <row r="220" spans="1:12" x14ac:dyDescent="0.2">
      <c r="A220" s="26" t="s">
        <v>36</v>
      </c>
      <c r="B220" t="s">
        <v>69</v>
      </c>
      <c r="C220">
        <v>4</v>
      </c>
      <c r="D220" s="26" t="s">
        <v>402</v>
      </c>
      <c r="E220" t="s">
        <v>71</v>
      </c>
      <c r="F220">
        <v>5</v>
      </c>
      <c r="G220" t="str">
        <f t="shared" si="7"/>
        <v>CoStep4StanceTimeT5</v>
      </c>
      <c r="J220" s="26" t="s">
        <v>71</v>
      </c>
      <c r="K220">
        <v>105</v>
      </c>
      <c r="L220" t="str">
        <f t="shared" si="8"/>
        <v>T105</v>
      </c>
    </row>
    <row r="221" spans="1:12" x14ac:dyDescent="0.2">
      <c r="A221" s="26" t="s">
        <v>36</v>
      </c>
      <c r="B221" t="s">
        <v>69</v>
      </c>
      <c r="C221">
        <v>5</v>
      </c>
      <c r="D221" s="26" t="s">
        <v>384</v>
      </c>
      <c r="E221" t="s">
        <v>71</v>
      </c>
      <c r="F221">
        <v>5</v>
      </c>
      <c r="G221" t="str">
        <f t="shared" si="7"/>
        <v>CoStep5ColorT5</v>
      </c>
      <c r="J221" s="26" t="s">
        <v>72</v>
      </c>
      <c r="K221">
        <v>130</v>
      </c>
      <c r="L221" t="str">
        <f t="shared" si="8"/>
        <v>B130</v>
      </c>
    </row>
    <row r="222" spans="1:12" x14ac:dyDescent="0.2">
      <c r="A222" s="26" t="s">
        <v>36</v>
      </c>
      <c r="B222" t="s">
        <v>69</v>
      </c>
      <c r="C222">
        <v>5</v>
      </c>
      <c r="D222" t="s">
        <v>68</v>
      </c>
      <c r="E222" t="s">
        <v>71</v>
      </c>
      <c r="F222">
        <v>5</v>
      </c>
      <c r="G222" t="str">
        <f t="shared" si="7"/>
        <v>CoStep5StepLengthT5</v>
      </c>
      <c r="J222" s="26" t="s">
        <v>73</v>
      </c>
      <c r="K222">
        <v>130</v>
      </c>
      <c r="L222" t="str">
        <f t="shared" si="8"/>
        <v>E130</v>
      </c>
    </row>
    <row r="223" spans="1:12" x14ac:dyDescent="0.2">
      <c r="A223" s="26" t="s">
        <v>36</v>
      </c>
      <c r="B223" t="s">
        <v>69</v>
      </c>
      <c r="C223">
        <v>5</v>
      </c>
      <c r="D223" s="26" t="s">
        <v>400</v>
      </c>
      <c r="E223" t="s">
        <v>71</v>
      </c>
      <c r="F223">
        <v>5</v>
      </c>
      <c r="G223" t="str">
        <f t="shared" si="7"/>
        <v>CoStep5StepTimeT5</v>
      </c>
      <c r="J223" s="26" t="s">
        <v>74</v>
      </c>
      <c r="K223">
        <v>130</v>
      </c>
      <c r="L223" t="str">
        <f t="shared" si="8"/>
        <v>J130</v>
      </c>
    </row>
    <row r="224" spans="1:12" x14ac:dyDescent="0.2">
      <c r="A224" s="26" t="s">
        <v>36</v>
      </c>
      <c r="B224" t="s">
        <v>69</v>
      </c>
      <c r="C224">
        <v>5</v>
      </c>
      <c r="D224" s="26" t="s">
        <v>401</v>
      </c>
      <c r="E224" t="s">
        <v>71</v>
      </c>
      <c r="F224">
        <v>5</v>
      </c>
      <c r="G224" t="str">
        <f t="shared" si="7"/>
        <v>CoStep5DoubleSupportTimeT5</v>
      </c>
      <c r="J224" s="26" t="s">
        <v>75</v>
      </c>
      <c r="K224">
        <v>130</v>
      </c>
      <c r="L224" t="str">
        <f t="shared" si="8"/>
        <v>O130</v>
      </c>
    </row>
    <row r="225" spans="1:12" x14ac:dyDescent="0.2">
      <c r="A225" s="26" t="s">
        <v>36</v>
      </c>
      <c r="B225" t="s">
        <v>69</v>
      </c>
      <c r="C225">
        <v>5</v>
      </c>
      <c r="D225" s="26" t="s">
        <v>402</v>
      </c>
      <c r="E225" t="s">
        <v>71</v>
      </c>
      <c r="F225">
        <v>5</v>
      </c>
      <c r="G225" t="str">
        <f t="shared" si="7"/>
        <v>CoStep5StanceTimeT5</v>
      </c>
      <c r="J225" s="26" t="s">
        <v>71</v>
      </c>
      <c r="K225">
        <v>130</v>
      </c>
      <c r="L225" t="str">
        <f t="shared" si="8"/>
        <v>T130</v>
      </c>
    </row>
    <row r="226" spans="1:12" x14ac:dyDescent="0.2">
      <c r="A226" s="26" t="s">
        <v>36</v>
      </c>
      <c r="B226" t="s">
        <v>69</v>
      </c>
      <c r="C226">
        <v>6</v>
      </c>
      <c r="D226" s="26" t="s">
        <v>384</v>
      </c>
      <c r="E226" t="s">
        <v>71</v>
      </c>
      <c r="F226">
        <v>5</v>
      </c>
      <c r="G226" t="str">
        <f t="shared" si="7"/>
        <v>CoStep6ColorT5</v>
      </c>
      <c r="J226" s="26" t="s">
        <v>72</v>
      </c>
      <c r="K226">
        <v>155</v>
      </c>
      <c r="L226" t="str">
        <f t="shared" si="8"/>
        <v>B155</v>
      </c>
    </row>
    <row r="227" spans="1:12" x14ac:dyDescent="0.2">
      <c r="A227" s="26" t="s">
        <v>36</v>
      </c>
      <c r="B227" t="s">
        <v>69</v>
      </c>
      <c r="C227">
        <v>6</v>
      </c>
      <c r="D227" t="s">
        <v>68</v>
      </c>
      <c r="E227" t="s">
        <v>71</v>
      </c>
      <c r="F227">
        <v>5</v>
      </c>
      <c r="G227" t="str">
        <f t="shared" si="7"/>
        <v>CoStep6StepLengthT5</v>
      </c>
      <c r="J227" s="26" t="s">
        <v>73</v>
      </c>
      <c r="K227">
        <v>155</v>
      </c>
      <c r="L227" t="str">
        <f t="shared" si="8"/>
        <v>E155</v>
      </c>
    </row>
    <row r="228" spans="1:12" x14ac:dyDescent="0.2">
      <c r="A228" s="26" t="s">
        <v>36</v>
      </c>
      <c r="B228" t="s">
        <v>69</v>
      </c>
      <c r="C228">
        <v>6</v>
      </c>
      <c r="D228" s="26" t="s">
        <v>400</v>
      </c>
      <c r="E228" t="s">
        <v>71</v>
      </c>
      <c r="F228">
        <v>5</v>
      </c>
      <c r="G228" t="str">
        <f t="shared" si="7"/>
        <v>CoStep6StepTimeT5</v>
      </c>
      <c r="J228" s="26" t="s">
        <v>74</v>
      </c>
      <c r="K228">
        <v>155</v>
      </c>
      <c r="L228" t="str">
        <f t="shared" si="8"/>
        <v>J155</v>
      </c>
    </row>
    <row r="229" spans="1:12" x14ac:dyDescent="0.2">
      <c r="A229" s="26" t="s">
        <v>36</v>
      </c>
      <c r="B229" t="s">
        <v>69</v>
      </c>
      <c r="C229">
        <v>6</v>
      </c>
      <c r="D229" s="26" t="s">
        <v>401</v>
      </c>
      <c r="E229" t="s">
        <v>71</v>
      </c>
      <c r="F229">
        <v>5</v>
      </c>
      <c r="G229" t="str">
        <f t="shared" si="7"/>
        <v>CoStep6DoubleSupportTimeT5</v>
      </c>
      <c r="J229" s="26" t="s">
        <v>75</v>
      </c>
      <c r="K229">
        <v>155</v>
      </c>
      <c r="L229" t="str">
        <f t="shared" si="8"/>
        <v>O155</v>
      </c>
    </row>
    <row r="230" spans="1:12" x14ac:dyDescent="0.2">
      <c r="A230" s="26" t="s">
        <v>36</v>
      </c>
      <c r="B230" t="s">
        <v>69</v>
      </c>
      <c r="C230">
        <v>6</v>
      </c>
      <c r="D230" s="26" t="s">
        <v>402</v>
      </c>
      <c r="E230" t="s">
        <v>71</v>
      </c>
      <c r="F230">
        <v>5</v>
      </c>
      <c r="G230" t="str">
        <f t="shared" si="7"/>
        <v>CoStep6StanceTimeT5</v>
      </c>
      <c r="J230" s="26" t="s">
        <v>71</v>
      </c>
      <c r="K230">
        <v>155</v>
      </c>
      <c r="L230" t="str">
        <f t="shared" si="8"/>
        <v>T155</v>
      </c>
    </row>
    <row r="231" spans="1:12" x14ac:dyDescent="0.2">
      <c r="A231" s="26" t="s">
        <v>36</v>
      </c>
      <c r="B231" t="s">
        <v>69</v>
      </c>
      <c r="C231">
        <v>7</v>
      </c>
      <c r="D231" s="26" t="s">
        <v>384</v>
      </c>
      <c r="E231" t="s">
        <v>71</v>
      </c>
      <c r="F231">
        <v>5</v>
      </c>
      <c r="G231" t="str">
        <f t="shared" si="7"/>
        <v>CoStep7ColorT5</v>
      </c>
      <c r="J231" s="26" t="s">
        <v>72</v>
      </c>
      <c r="K231">
        <v>188</v>
      </c>
      <c r="L231" t="str">
        <f t="shared" si="8"/>
        <v>B188</v>
      </c>
    </row>
    <row r="232" spans="1:12" x14ac:dyDescent="0.2">
      <c r="A232" s="26" t="s">
        <v>36</v>
      </c>
      <c r="B232" t="s">
        <v>69</v>
      </c>
      <c r="C232">
        <v>7</v>
      </c>
      <c r="D232" t="s">
        <v>68</v>
      </c>
      <c r="E232" t="s">
        <v>71</v>
      </c>
      <c r="F232">
        <v>5</v>
      </c>
      <c r="G232" t="str">
        <f t="shared" si="7"/>
        <v>CoStep7StepLengthT5</v>
      </c>
      <c r="J232" s="26" t="s">
        <v>73</v>
      </c>
      <c r="K232">
        <v>188</v>
      </c>
      <c r="L232" t="str">
        <f t="shared" si="8"/>
        <v>E188</v>
      </c>
    </row>
    <row r="233" spans="1:12" x14ac:dyDescent="0.2">
      <c r="A233" s="26" t="s">
        <v>36</v>
      </c>
      <c r="B233" t="s">
        <v>69</v>
      </c>
      <c r="C233">
        <v>7</v>
      </c>
      <c r="D233" s="26" t="s">
        <v>400</v>
      </c>
      <c r="E233" t="s">
        <v>71</v>
      </c>
      <c r="F233">
        <v>5</v>
      </c>
      <c r="G233" t="str">
        <f t="shared" si="7"/>
        <v>CoStep7StepTimeT5</v>
      </c>
      <c r="J233" s="26" t="s">
        <v>74</v>
      </c>
      <c r="K233">
        <v>188</v>
      </c>
      <c r="L233" t="str">
        <f t="shared" si="8"/>
        <v>J188</v>
      </c>
    </row>
    <row r="234" spans="1:12" x14ac:dyDescent="0.2">
      <c r="A234" s="26" t="s">
        <v>36</v>
      </c>
      <c r="B234" t="s">
        <v>69</v>
      </c>
      <c r="C234">
        <v>7</v>
      </c>
      <c r="D234" s="26" t="s">
        <v>401</v>
      </c>
      <c r="E234" t="s">
        <v>71</v>
      </c>
      <c r="F234">
        <v>5</v>
      </c>
      <c r="G234" t="str">
        <f t="shared" si="7"/>
        <v>CoStep7DoubleSupportTimeT5</v>
      </c>
      <c r="J234" s="26" t="s">
        <v>75</v>
      </c>
      <c r="K234">
        <v>188</v>
      </c>
      <c r="L234" t="str">
        <f t="shared" si="8"/>
        <v>O188</v>
      </c>
    </row>
    <row r="235" spans="1:12" x14ac:dyDescent="0.2">
      <c r="A235" s="26" t="s">
        <v>36</v>
      </c>
      <c r="B235" t="s">
        <v>69</v>
      </c>
      <c r="C235">
        <v>7</v>
      </c>
      <c r="D235" s="26" t="s">
        <v>402</v>
      </c>
      <c r="E235" t="s">
        <v>71</v>
      </c>
      <c r="F235">
        <v>5</v>
      </c>
      <c r="G235" t="str">
        <f t="shared" si="7"/>
        <v>CoStep7StanceTimeT5</v>
      </c>
      <c r="J235" s="26" t="s">
        <v>71</v>
      </c>
      <c r="K235">
        <v>188</v>
      </c>
      <c r="L235" t="str">
        <f t="shared" si="8"/>
        <v>T188</v>
      </c>
    </row>
    <row r="236" spans="1:12" x14ac:dyDescent="0.2">
      <c r="A236" s="26" t="s">
        <v>36</v>
      </c>
      <c r="B236" t="s">
        <v>69</v>
      </c>
      <c r="C236">
        <v>8</v>
      </c>
      <c r="D236" s="26" t="s">
        <v>384</v>
      </c>
      <c r="E236" t="s">
        <v>71</v>
      </c>
      <c r="F236">
        <v>5</v>
      </c>
      <c r="G236" t="str">
        <f t="shared" si="7"/>
        <v>CoStep8ColorT5</v>
      </c>
      <c r="J236" s="26" t="s">
        <v>72</v>
      </c>
      <c r="K236">
        <v>205</v>
      </c>
      <c r="L236" t="str">
        <f t="shared" si="8"/>
        <v>B205</v>
      </c>
    </row>
    <row r="237" spans="1:12" x14ac:dyDescent="0.2">
      <c r="A237" s="26" t="s">
        <v>36</v>
      </c>
      <c r="B237" t="s">
        <v>69</v>
      </c>
      <c r="C237">
        <v>8</v>
      </c>
      <c r="D237" t="s">
        <v>68</v>
      </c>
      <c r="E237" t="s">
        <v>71</v>
      </c>
      <c r="F237">
        <v>5</v>
      </c>
      <c r="G237" t="str">
        <f t="shared" si="7"/>
        <v>CoStep8StepLengthT5</v>
      </c>
      <c r="J237" s="26" t="s">
        <v>73</v>
      </c>
      <c r="K237">
        <v>205</v>
      </c>
      <c r="L237" t="str">
        <f t="shared" si="8"/>
        <v>E205</v>
      </c>
    </row>
    <row r="238" spans="1:12" x14ac:dyDescent="0.2">
      <c r="A238" s="26" t="s">
        <v>36</v>
      </c>
      <c r="B238" t="s">
        <v>69</v>
      </c>
      <c r="C238">
        <v>8</v>
      </c>
      <c r="D238" s="26" t="s">
        <v>400</v>
      </c>
      <c r="E238" t="s">
        <v>71</v>
      </c>
      <c r="F238">
        <v>5</v>
      </c>
      <c r="G238" t="str">
        <f t="shared" si="7"/>
        <v>CoStep8StepTimeT5</v>
      </c>
      <c r="J238" s="26" t="s">
        <v>74</v>
      </c>
      <c r="K238">
        <v>205</v>
      </c>
      <c r="L238" t="str">
        <f t="shared" si="8"/>
        <v>J205</v>
      </c>
    </row>
    <row r="239" spans="1:12" x14ac:dyDescent="0.2">
      <c r="A239" s="26" t="s">
        <v>36</v>
      </c>
      <c r="B239" t="s">
        <v>69</v>
      </c>
      <c r="C239">
        <v>8</v>
      </c>
      <c r="D239" s="26" t="s">
        <v>401</v>
      </c>
      <c r="E239" t="s">
        <v>71</v>
      </c>
      <c r="F239">
        <v>5</v>
      </c>
      <c r="G239" t="str">
        <f t="shared" si="7"/>
        <v>CoStep8DoubleSupportTimeT5</v>
      </c>
      <c r="J239" s="26" t="s">
        <v>75</v>
      </c>
      <c r="K239">
        <v>205</v>
      </c>
      <c r="L239" t="str">
        <f t="shared" si="8"/>
        <v>O205</v>
      </c>
    </row>
    <row r="240" spans="1:12" x14ac:dyDescent="0.2">
      <c r="A240" s="26" t="s">
        <v>36</v>
      </c>
      <c r="B240" t="s">
        <v>69</v>
      </c>
      <c r="C240">
        <v>8</v>
      </c>
      <c r="D240" s="26" t="s">
        <v>402</v>
      </c>
      <c r="E240" t="s">
        <v>71</v>
      </c>
      <c r="F240">
        <v>5</v>
      </c>
      <c r="G240" t="str">
        <f t="shared" si="7"/>
        <v>CoStep8StanceTimeT5</v>
      </c>
      <c r="J240" s="26" t="s">
        <v>71</v>
      </c>
      <c r="K240">
        <v>205</v>
      </c>
      <c r="L240" t="str">
        <f t="shared" si="8"/>
        <v>T205</v>
      </c>
    </row>
    <row r="241" spans="1:12" x14ac:dyDescent="0.2">
      <c r="A241" s="26" t="s">
        <v>36</v>
      </c>
      <c r="B241" t="s">
        <v>69</v>
      </c>
      <c r="C241">
        <v>9</v>
      </c>
      <c r="D241" s="26" t="s">
        <v>384</v>
      </c>
      <c r="E241" t="s">
        <v>71</v>
      </c>
      <c r="F241">
        <v>5</v>
      </c>
      <c r="G241" t="str">
        <f t="shared" si="7"/>
        <v>CoStep9ColorT5</v>
      </c>
      <c r="J241" s="26" t="s">
        <v>72</v>
      </c>
      <c r="K241">
        <v>230</v>
      </c>
      <c r="L241" t="str">
        <f t="shared" si="8"/>
        <v>B230</v>
      </c>
    </row>
    <row r="242" spans="1:12" x14ac:dyDescent="0.2">
      <c r="A242" s="26" t="s">
        <v>36</v>
      </c>
      <c r="B242" t="s">
        <v>69</v>
      </c>
      <c r="C242">
        <v>9</v>
      </c>
      <c r="D242" t="s">
        <v>68</v>
      </c>
      <c r="E242" t="s">
        <v>71</v>
      </c>
      <c r="F242">
        <v>5</v>
      </c>
      <c r="G242" t="str">
        <f t="shared" si="7"/>
        <v>CoStep9StepLengthT5</v>
      </c>
      <c r="J242" s="26" t="s">
        <v>73</v>
      </c>
      <c r="K242">
        <v>230</v>
      </c>
      <c r="L242" t="str">
        <f t="shared" si="8"/>
        <v>E230</v>
      </c>
    </row>
    <row r="243" spans="1:12" x14ac:dyDescent="0.2">
      <c r="A243" s="26" t="s">
        <v>36</v>
      </c>
      <c r="B243" t="s">
        <v>69</v>
      </c>
      <c r="C243">
        <v>9</v>
      </c>
      <c r="D243" s="26" t="s">
        <v>400</v>
      </c>
      <c r="E243" t="s">
        <v>71</v>
      </c>
      <c r="F243">
        <v>5</v>
      </c>
      <c r="G243" t="str">
        <f t="shared" si="7"/>
        <v>CoStep9StepTimeT5</v>
      </c>
      <c r="J243" s="26" t="s">
        <v>74</v>
      </c>
      <c r="K243">
        <v>230</v>
      </c>
      <c r="L243" t="str">
        <f t="shared" si="8"/>
        <v>J230</v>
      </c>
    </row>
    <row r="244" spans="1:12" x14ac:dyDescent="0.2">
      <c r="A244" s="26" t="s">
        <v>36</v>
      </c>
      <c r="B244" t="s">
        <v>69</v>
      </c>
      <c r="C244">
        <v>9</v>
      </c>
      <c r="D244" s="26" t="s">
        <v>401</v>
      </c>
      <c r="E244" t="s">
        <v>71</v>
      </c>
      <c r="F244">
        <v>5</v>
      </c>
      <c r="G244" t="str">
        <f t="shared" si="7"/>
        <v>CoStep9DoubleSupportTimeT5</v>
      </c>
      <c r="J244" s="26" t="s">
        <v>75</v>
      </c>
      <c r="K244">
        <v>230</v>
      </c>
      <c r="L244" t="str">
        <f t="shared" si="8"/>
        <v>O230</v>
      </c>
    </row>
    <row r="245" spans="1:12" x14ac:dyDescent="0.2">
      <c r="A245" s="26" t="s">
        <v>36</v>
      </c>
      <c r="B245" t="s">
        <v>69</v>
      </c>
      <c r="C245">
        <v>9</v>
      </c>
      <c r="D245" s="26" t="s">
        <v>402</v>
      </c>
      <c r="E245" t="s">
        <v>71</v>
      </c>
      <c r="F245">
        <v>5</v>
      </c>
      <c r="G245" t="str">
        <f t="shared" si="7"/>
        <v>CoStep9StanceTimeT5</v>
      </c>
      <c r="J245" s="26" t="s">
        <v>71</v>
      </c>
      <c r="K245">
        <v>230</v>
      </c>
      <c r="L245" t="str">
        <f t="shared" si="8"/>
        <v>T230</v>
      </c>
    </row>
    <row r="246" spans="1:12" x14ac:dyDescent="0.2">
      <c r="A246" s="26" t="s">
        <v>36</v>
      </c>
      <c r="B246" t="s">
        <v>69</v>
      </c>
      <c r="C246">
        <v>10</v>
      </c>
      <c r="D246" s="26" t="s">
        <v>384</v>
      </c>
      <c r="E246" t="s">
        <v>71</v>
      </c>
      <c r="F246">
        <v>5</v>
      </c>
      <c r="G246" t="str">
        <f t="shared" si="7"/>
        <v>CoStep10ColorT5</v>
      </c>
      <c r="J246" s="26" t="s">
        <v>72</v>
      </c>
      <c r="K246">
        <v>255</v>
      </c>
      <c r="L246" t="str">
        <f t="shared" si="8"/>
        <v>B255</v>
      </c>
    </row>
    <row r="247" spans="1:12" x14ac:dyDescent="0.2">
      <c r="A247" s="26" t="s">
        <v>36</v>
      </c>
      <c r="B247" t="s">
        <v>69</v>
      </c>
      <c r="C247">
        <v>10</v>
      </c>
      <c r="D247" t="s">
        <v>68</v>
      </c>
      <c r="E247" t="s">
        <v>71</v>
      </c>
      <c r="F247">
        <v>5</v>
      </c>
      <c r="G247" t="str">
        <f t="shared" si="7"/>
        <v>CoStep10StepLengthT5</v>
      </c>
      <c r="J247" s="26" t="s">
        <v>73</v>
      </c>
      <c r="K247">
        <v>255</v>
      </c>
      <c r="L247" t="str">
        <f t="shared" si="8"/>
        <v>E255</v>
      </c>
    </row>
    <row r="248" spans="1:12" x14ac:dyDescent="0.2">
      <c r="A248" s="26" t="s">
        <v>36</v>
      </c>
      <c r="B248" t="s">
        <v>69</v>
      </c>
      <c r="C248">
        <v>10</v>
      </c>
      <c r="D248" s="26" t="s">
        <v>400</v>
      </c>
      <c r="E248" t="s">
        <v>71</v>
      </c>
      <c r="F248">
        <v>5</v>
      </c>
      <c r="G248" t="str">
        <f t="shared" si="7"/>
        <v>CoStep10StepTimeT5</v>
      </c>
      <c r="J248" s="26" t="s">
        <v>74</v>
      </c>
      <c r="K248">
        <v>255</v>
      </c>
      <c r="L248" t="str">
        <f t="shared" si="8"/>
        <v>J255</v>
      </c>
    </row>
    <row r="249" spans="1:12" x14ac:dyDescent="0.2">
      <c r="A249" s="26" t="s">
        <v>36</v>
      </c>
      <c r="B249" t="s">
        <v>69</v>
      </c>
      <c r="C249">
        <v>10</v>
      </c>
      <c r="D249" s="26" t="s">
        <v>401</v>
      </c>
      <c r="E249" t="s">
        <v>71</v>
      </c>
      <c r="F249">
        <v>5</v>
      </c>
      <c r="G249" t="str">
        <f t="shared" si="7"/>
        <v>CoStep10DoubleSupportTimeT5</v>
      </c>
      <c r="J249" s="26" t="s">
        <v>75</v>
      </c>
      <c r="K249">
        <v>255</v>
      </c>
      <c r="L249" t="str">
        <f t="shared" si="8"/>
        <v>O255</v>
      </c>
    </row>
    <row r="250" spans="1:12" x14ac:dyDescent="0.2">
      <c r="A250" s="26" t="s">
        <v>36</v>
      </c>
      <c r="B250" t="s">
        <v>69</v>
      </c>
      <c r="C250">
        <v>10</v>
      </c>
      <c r="D250" s="26" t="s">
        <v>402</v>
      </c>
      <c r="E250" t="s">
        <v>71</v>
      </c>
      <c r="F250">
        <v>5</v>
      </c>
      <c r="G250" t="str">
        <f t="shared" si="7"/>
        <v>CoStep10StanceTimeT5</v>
      </c>
      <c r="J250" s="26" t="s">
        <v>71</v>
      </c>
      <c r="K250">
        <v>255</v>
      </c>
      <c r="L250" t="str">
        <f t="shared" si="8"/>
        <v>T255</v>
      </c>
    </row>
    <row r="251" spans="1:12" x14ac:dyDescent="0.2">
      <c r="A251" s="26" t="s">
        <v>36</v>
      </c>
      <c r="B251" t="s">
        <v>69</v>
      </c>
      <c r="C251">
        <v>1</v>
      </c>
      <c r="D251" s="26" t="s">
        <v>384</v>
      </c>
      <c r="E251" t="s">
        <v>71</v>
      </c>
      <c r="F251">
        <v>6</v>
      </c>
      <c r="G251" t="str">
        <f t="shared" si="7"/>
        <v>CoStep1ColorT6</v>
      </c>
      <c r="J251" s="26" t="s">
        <v>72</v>
      </c>
      <c r="K251">
        <v>30</v>
      </c>
      <c r="L251" t="str">
        <f>J251&amp;K251</f>
        <v>B30</v>
      </c>
    </row>
    <row r="252" spans="1:12" x14ac:dyDescent="0.2">
      <c r="A252" s="26" t="s">
        <v>36</v>
      </c>
      <c r="B252" t="s">
        <v>69</v>
      </c>
      <c r="C252">
        <v>1</v>
      </c>
      <c r="D252" t="s">
        <v>68</v>
      </c>
      <c r="E252" t="s">
        <v>71</v>
      </c>
      <c r="F252">
        <v>6</v>
      </c>
      <c r="G252" t="str">
        <f t="shared" si="7"/>
        <v>CoStep1StepLengthT6</v>
      </c>
      <c r="J252" s="26" t="s">
        <v>73</v>
      </c>
      <c r="K252">
        <v>30</v>
      </c>
      <c r="L252" t="str">
        <f t="shared" ref="L252:L300" si="9">J252&amp;K252</f>
        <v>E30</v>
      </c>
    </row>
    <row r="253" spans="1:12" x14ac:dyDescent="0.2">
      <c r="A253" s="26" t="s">
        <v>36</v>
      </c>
      <c r="B253" t="s">
        <v>69</v>
      </c>
      <c r="C253">
        <v>1</v>
      </c>
      <c r="D253" s="26" t="s">
        <v>400</v>
      </c>
      <c r="E253" t="s">
        <v>71</v>
      </c>
      <c r="F253">
        <v>6</v>
      </c>
      <c r="G253" t="str">
        <f t="shared" si="7"/>
        <v>CoStep1StepTimeT6</v>
      </c>
      <c r="J253" s="26" t="s">
        <v>74</v>
      </c>
      <c r="K253">
        <v>30</v>
      </c>
      <c r="L253" t="str">
        <f t="shared" si="9"/>
        <v>J30</v>
      </c>
    </row>
    <row r="254" spans="1:12" x14ac:dyDescent="0.2">
      <c r="A254" s="26" t="s">
        <v>36</v>
      </c>
      <c r="B254" t="s">
        <v>69</v>
      </c>
      <c r="C254">
        <v>1</v>
      </c>
      <c r="D254" s="26" t="s">
        <v>401</v>
      </c>
      <c r="E254" t="s">
        <v>71</v>
      </c>
      <c r="F254">
        <v>6</v>
      </c>
      <c r="G254" t="str">
        <f t="shared" si="7"/>
        <v>CoStep1DoubleSupportTimeT6</v>
      </c>
      <c r="J254" s="26" t="s">
        <v>75</v>
      </c>
      <c r="K254">
        <v>30</v>
      </c>
      <c r="L254" t="str">
        <f t="shared" si="9"/>
        <v>O30</v>
      </c>
    </row>
    <row r="255" spans="1:12" x14ac:dyDescent="0.2">
      <c r="A255" s="26" t="s">
        <v>36</v>
      </c>
      <c r="B255" t="s">
        <v>69</v>
      </c>
      <c r="C255">
        <v>1</v>
      </c>
      <c r="D255" s="26" t="s">
        <v>402</v>
      </c>
      <c r="E255" t="s">
        <v>71</v>
      </c>
      <c r="F255">
        <v>6</v>
      </c>
      <c r="G255" t="str">
        <f t="shared" si="7"/>
        <v>CoStep1StanceTimeT6</v>
      </c>
      <c r="J255" s="26" t="s">
        <v>71</v>
      </c>
      <c r="K255">
        <v>30</v>
      </c>
      <c r="L255" t="str">
        <f t="shared" si="9"/>
        <v>T30</v>
      </c>
    </row>
    <row r="256" spans="1:12" x14ac:dyDescent="0.2">
      <c r="A256" s="26" t="s">
        <v>36</v>
      </c>
      <c r="B256" t="s">
        <v>69</v>
      </c>
      <c r="C256">
        <v>2</v>
      </c>
      <c r="D256" s="26" t="s">
        <v>384</v>
      </c>
      <c r="E256" t="s">
        <v>71</v>
      </c>
      <c r="F256">
        <v>6</v>
      </c>
      <c r="G256" t="str">
        <f t="shared" si="7"/>
        <v>CoStep2ColorT6</v>
      </c>
      <c r="J256" s="26" t="s">
        <v>72</v>
      </c>
      <c r="K256">
        <v>55</v>
      </c>
      <c r="L256" t="str">
        <f t="shared" si="9"/>
        <v>B55</v>
      </c>
    </row>
    <row r="257" spans="1:12" x14ac:dyDescent="0.2">
      <c r="A257" s="26" t="s">
        <v>36</v>
      </c>
      <c r="B257" t="s">
        <v>69</v>
      </c>
      <c r="C257">
        <v>2</v>
      </c>
      <c r="D257" t="s">
        <v>68</v>
      </c>
      <c r="E257" t="s">
        <v>71</v>
      </c>
      <c r="F257">
        <v>6</v>
      </c>
      <c r="G257" t="str">
        <f t="shared" si="7"/>
        <v>CoStep2StepLengthT6</v>
      </c>
      <c r="J257" s="26" t="s">
        <v>73</v>
      </c>
      <c r="K257">
        <v>55</v>
      </c>
      <c r="L257" t="str">
        <f t="shared" si="9"/>
        <v>E55</v>
      </c>
    </row>
    <row r="258" spans="1:12" x14ac:dyDescent="0.2">
      <c r="A258" s="26" t="s">
        <v>36</v>
      </c>
      <c r="B258" t="s">
        <v>69</v>
      </c>
      <c r="C258">
        <v>2</v>
      </c>
      <c r="D258" s="26" t="s">
        <v>400</v>
      </c>
      <c r="E258" t="s">
        <v>71</v>
      </c>
      <c r="F258">
        <v>6</v>
      </c>
      <c r="G258" t="str">
        <f t="shared" si="7"/>
        <v>CoStep2StepTimeT6</v>
      </c>
      <c r="J258" s="26" t="s">
        <v>74</v>
      </c>
      <c r="K258">
        <v>55</v>
      </c>
      <c r="L258" t="str">
        <f t="shared" si="9"/>
        <v>J55</v>
      </c>
    </row>
    <row r="259" spans="1:12" x14ac:dyDescent="0.2">
      <c r="A259" s="26" t="s">
        <v>36</v>
      </c>
      <c r="B259" t="s">
        <v>69</v>
      </c>
      <c r="C259">
        <v>2</v>
      </c>
      <c r="D259" s="26" t="s">
        <v>401</v>
      </c>
      <c r="E259" t="s">
        <v>71</v>
      </c>
      <c r="F259">
        <v>6</v>
      </c>
      <c r="G259" t="str">
        <f t="shared" si="7"/>
        <v>CoStep2DoubleSupportTimeT6</v>
      </c>
      <c r="J259" s="26" t="s">
        <v>75</v>
      </c>
      <c r="K259">
        <v>55</v>
      </c>
      <c r="L259" t="str">
        <f t="shared" si="9"/>
        <v>O55</v>
      </c>
    </row>
    <row r="260" spans="1:12" x14ac:dyDescent="0.2">
      <c r="A260" s="26" t="s">
        <v>36</v>
      </c>
      <c r="B260" t="s">
        <v>69</v>
      </c>
      <c r="C260">
        <v>2</v>
      </c>
      <c r="D260" s="26" t="s">
        <v>402</v>
      </c>
      <c r="E260" t="s">
        <v>71</v>
      </c>
      <c r="F260">
        <v>6</v>
      </c>
      <c r="G260" t="str">
        <f t="shared" si="7"/>
        <v>CoStep2StanceTimeT6</v>
      </c>
      <c r="J260" s="26" t="s">
        <v>71</v>
      </c>
      <c r="K260">
        <v>55</v>
      </c>
      <c r="L260" t="str">
        <f t="shared" si="9"/>
        <v>T55</v>
      </c>
    </row>
    <row r="261" spans="1:12" x14ac:dyDescent="0.2">
      <c r="A261" s="26" t="s">
        <v>36</v>
      </c>
      <c r="B261" t="s">
        <v>69</v>
      </c>
      <c r="C261">
        <v>3</v>
      </c>
      <c r="D261" s="26" t="s">
        <v>384</v>
      </c>
      <c r="E261" t="s">
        <v>71</v>
      </c>
      <c r="F261">
        <v>6</v>
      </c>
      <c r="G261" t="str">
        <f t="shared" si="7"/>
        <v>CoStep3ColorT6</v>
      </c>
      <c r="J261" s="26" t="s">
        <v>72</v>
      </c>
      <c r="K261">
        <v>80</v>
      </c>
      <c r="L261" t="str">
        <f t="shared" si="9"/>
        <v>B80</v>
      </c>
    </row>
    <row r="262" spans="1:12" x14ac:dyDescent="0.2">
      <c r="A262" s="26" t="s">
        <v>36</v>
      </c>
      <c r="B262" t="s">
        <v>69</v>
      </c>
      <c r="C262">
        <v>3</v>
      </c>
      <c r="D262" t="s">
        <v>68</v>
      </c>
      <c r="E262" t="s">
        <v>71</v>
      </c>
      <c r="F262">
        <v>6</v>
      </c>
      <c r="G262" t="str">
        <f t="shared" ref="G262:G325" si="10">A262&amp;B262&amp;C262&amp;D262&amp;E262&amp;F262</f>
        <v>CoStep3StepLengthT6</v>
      </c>
      <c r="J262" s="26" t="s">
        <v>73</v>
      </c>
      <c r="K262">
        <v>80</v>
      </c>
      <c r="L262" t="str">
        <f t="shared" si="9"/>
        <v>E80</v>
      </c>
    </row>
    <row r="263" spans="1:12" x14ac:dyDescent="0.2">
      <c r="A263" s="26" t="s">
        <v>36</v>
      </c>
      <c r="B263" t="s">
        <v>69</v>
      </c>
      <c r="C263">
        <v>3</v>
      </c>
      <c r="D263" s="26" t="s">
        <v>400</v>
      </c>
      <c r="E263" t="s">
        <v>71</v>
      </c>
      <c r="F263">
        <v>6</v>
      </c>
      <c r="G263" t="str">
        <f t="shared" si="10"/>
        <v>CoStep3StepTimeT6</v>
      </c>
      <c r="J263" s="26" t="s">
        <v>74</v>
      </c>
      <c r="K263">
        <v>80</v>
      </c>
      <c r="L263" t="str">
        <f t="shared" si="9"/>
        <v>J80</v>
      </c>
    </row>
    <row r="264" spans="1:12" x14ac:dyDescent="0.2">
      <c r="A264" s="26" t="s">
        <v>36</v>
      </c>
      <c r="B264" t="s">
        <v>69</v>
      </c>
      <c r="C264">
        <v>3</v>
      </c>
      <c r="D264" s="26" t="s">
        <v>401</v>
      </c>
      <c r="E264" t="s">
        <v>71</v>
      </c>
      <c r="F264">
        <v>6</v>
      </c>
      <c r="G264" t="str">
        <f t="shared" si="10"/>
        <v>CoStep3DoubleSupportTimeT6</v>
      </c>
      <c r="J264" s="26" t="s">
        <v>75</v>
      </c>
      <c r="K264">
        <v>80</v>
      </c>
      <c r="L264" t="str">
        <f t="shared" si="9"/>
        <v>O80</v>
      </c>
    </row>
    <row r="265" spans="1:12" x14ac:dyDescent="0.2">
      <c r="A265" s="26" t="s">
        <v>36</v>
      </c>
      <c r="B265" t="s">
        <v>69</v>
      </c>
      <c r="C265">
        <v>3</v>
      </c>
      <c r="D265" s="26" t="s">
        <v>402</v>
      </c>
      <c r="E265" t="s">
        <v>71</v>
      </c>
      <c r="F265">
        <v>6</v>
      </c>
      <c r="G265" t="str">
        <f t="shared" si="10"/>
        <v>CoStep3StanceTimeT6</v>
      </c>
      <c r="J265" s="26" t="s">
        <v>71</v>
      </c>
      <c r="K265">
        <v>80</v>
      </c>
      <c r="L265" t="str">
        <f t="shared" si="9"/>
        <v>T80</v>
      </c>
    </row>
    <row r="266" spans="1:12" x14ac:dyDescent="0.2">
      <c r="A266" s="26" t="s">
        <v>36</v>
      </c>
      <c r="B266" t="s">
        <v>69</v>
      </c>
      <c r="C266">
        <v>4</v>
      </c>
      <c r="D266" s="26" t="s">
        <v>384</v>
      </c>
      <c r="E266" t="s">
        <v>71</v>
      </c>
      <c r="F266">
        <v>6</v>
      </c>
      <c r="G266" t="str">
        <f t="shared" si="10"/>
        <v>CoStep4ColorT6</v>
      </c>
      <c r="J266" s="26" t="s">
        <v>72</v>
      </c>
      <c r="K266">
        <v>105</v>
      </c>
      <c r="L266" t="str">
        <f t="shared" si="9"/>
        <v>B105</v>
      </c>
    </row>
    <row r="267" spans="1:12" x14ac:dyDescent="0.2">
      <c r="A267" s="26" t="s">
        <v>36</v>
      </c>
      <c r="B267" t="s">
        <v>69</v>
      </c>
      <c r="C267">
        <v>4</v>
      </c>
      <c r="D267" t="s">
        <v>68</v>
      </c>
      <c r="E267" t="s">
        <v>71</v>
      </c>
      <c r="F267">
        <v>6</v>
      </c>
      <c r="G267" t="str">
        <f t="shared" si="10"/>
        <v>CoStep4StepLengthT6</v>
      </c>
      <c r="J267" s="26" t="s">
        <v>73</v>
      </c>
      <c r="K267">
        <v>105</v>
      </c>
      <c r="L267" t="str">
        <f t="shared" si="9"/>
        <v>E105</v>
      </c>
    </row>
    <row r="268" spans="1:12" x14ac:dyDescent="0.2">
      <c r="A268" s="26" t="s">
        <v>36</v>
      </c>
      <c r="B268" t="s">
        <v>69</v>
      </c>
      <c r="C268">
        <v>4</v>
      </c>
      <c r="D268" s="26" t="s">
        <v>400</v>
      </c>
      <c r="E268" t="s">
        <v>71</v>
      </c>
      <c r="F268">
        <v>6</v>
      </c>
      <c r="G268" t="str">
        <f t="shared" si="10"/>
        <v>CoStep4StepTimeT6</v>
      </c>
      <c r="J268" s="26" t="s">
        <v>74</v>
      </c>
      <c r="K268">
        <v>105</v>
      </c>
      <c r="L268" t="str">
        <f t="shared" si="9"/>
        <v>J105</v>
      </c>
    </row>
    <row r="269" spans="1:12" x14ac:dyDescent="0.2">
      <c r="A269" s="26" t="s">
        <v>36</v>
      </c>
      <c r="B269" t="s">
        <v>69</v>
      </c>
      <c r="C269">
        <v>4</v>
      </c>
      <c r="D269" s="26" t="s">
        <v>401</v>
      </c>
      <c r="E269" t="s">
        <v>71</v>
      </c>
      <c r="F269">
        <v>6</v>
      </c>
      <c r="G269" t="str">
        <f t="shared" si="10"/>
        <v>CoStep4DoubleSupportTimeT6</v>
      </c>
      <c r="J269" s="26" t="s">
        <v>75</v>
      </c>
      <c r="K269">
        <v>105</v>
      </c>
      <c r="L269" t="str">
        <f t="shared" si="9"/>
        <v>O105</v>
      </c>
    </row>
    <row r="270" spans="1:12" x14ac:dyDescent="0.2">
      <c r="A270" s="26" t="s">
        <v>36</v>
      </c>
      <c r="B270" t="s">
        <v>69</v>
      </c>
      <c r="C270">
        <v>4</v>
      </c>
      <c r="D270" s="26" t="s">
        <v>402</v>
      </c>
      <c r="E270" t="s">
        <v>71</v>
      </c>
      <c r="F270">
        <v>6</v>
      </c>
      <c r="G270" t="str">
        <f t="shared" si="10"/>
        <v>CoStep4StanceTimeT6</v>
      </c>
      <c r="J270" s="26" t="s">
        <v>71</v>
      </c>
      <c r="K270">
        <v>105</v>
      </c>
      <c r="L270" t="str">
        <f t="shared" si="9"/>
        <v>T105</v>
      </c>
    </row>
    <row r="271" spans="1:12" x14ac:dyDescent="0.2">
      <c r="A271" s="26" t="s">
        <v>36</v>
      </c>
      <c r="B271" t="s">
        <v>69</v>
      </c>
      <c r="C271">
        <v>5</v>
      </c>
      <c r="D271" s="26" t="s">
        <v>384</v>
      </c>
      <c r="E271" t="s">
        <v>71</v>
      </c>
      <c r="F271">
        <v>6</v>
      </c>
      <c r="G271" t="str">
        <f t="shared" si="10"/>
        <v>CoStep5ColorT6</v>
      </c>
      <c r="J271" s="26" t="s">
        <v>72</v>
      </c>
      <c r="K271">
        <v>130</v>
      </c>
      <c r="L271" t="str">
        <f t="shared" si="9"/>
        <v>B130</v>
      </c>
    </row>
    <row r="272" spans="1:12" x14ac:dyDescent="0.2">
      <c r="A272" s="26" t="s">
        <v>36</v>
      </c>
      <c r="B272" t="s">
        <v>69</v>
      </c>
      <c r="C272">
        <v>5</v>
      </c>
      <c r="D272" t="s">
        <v>68</v>
      </c>
      <c r="E272" t="s">
        <v>71</v>
      </c>
      <c r="F272">
        <v>6</v>
      </c>
      <c r="G272" t="str">
        <f t="shared" si="10"/>
        <v>CoStep5StepLengthT6</v>
      </c>
      <c r="J272" s="26" t="s">
        <v>73</v>
      </c>
      <c r="K272">
        <v>130</v>
      </c>
      <c r="L272" t="str">
        <f t="shared" si="9"/>
        <v>E130</v>
      </c>
    </row>
    <row r="273" spans="1:12" x14ac:dyDescent="0.2">
      <c r="A273" s="26" t="s">
        <v>36</v>
      </c>
      <c r="B273" t="s">
        <v>69</v>
      </c>
      <c r="C273">
        <v>5</v>
      </c>
      <c r="D273" s="26" t="s">
        <v>400</v>
      </c>
      <c r="E273" t="s">
        <v>71</v>
      </c>
      <c r="F273">
        <v>6</v>
      </c>
      <c r="G273" t="str">
        <f t="shared" si="10"/>
        <v>CoStep5StepTimeT6</v>
      </c>
      <c r="J273" s="26" t="s">
        <v>74</v>
      </c>
      <c r="K273">
        <v>130</v>
      </c>
      <c r="L273" t="str">
        <f t="shared" si="9"/>
        <v>J130</v>
      </c>
    </row>
    <row r="274" spans="1:12" x14ac:dyDescent="0.2">
      <c r="A274" s="26" t="s">
        <v>36</v>
      </c>
      <c r="B274" t="s">
        <v>69</v>
      </c>
      <c r="C274">
        <v>5</v>
      </c>
      <c r="D274" s="26" t="s">
        <v>401</v>
      </c>
      <c r="E274" t="s">
        <v>71</v>
      </c>
      <c r="F274">
        <v>6</v>
      </c>
      <c r="G274" t="str">
        <f t="shared" si="10"/>
        <v>CoStep5DoubleSupportTimeT6</v>
      </c>
      <c r="J274" s="26" t="s">
        <v>75</v>
      </c>
      <c r="K274">
        <v>130</v>
      </c>
      <c r="L274" t="str">
        <f t="shared" si="9"/>
        <v>O130</v>
      </c>
    </row>
    <row r="275" spans="1:12" x14ac:dyDescent="0.2">
      <c r="A275" s="26" t="s">
        <v>36</v>
      </c>
      <c r="B275" t="s">
        <v>69</v>
      </c>
      <c r="C275">
        <v>5</v>
      </c>
      <c r="D275" s="26" t="s">
        <v>402</v>
      </c>
      <c r="E275" t="s">
        <v>71</v>
      </c>
      <c r="F275">
        <v>6</v>
      </c>
      <c r="G275" t="str">
        <f t="shared" si="10"/>
        <v>CoStep5StanceTimeT6</v>
      </c>
      <c r="J275" s="26" t="s">
        <v>71</v>
      </c>
      <c r="K275">
        <v>130</v>
      </c>
      <c r="L275" t="str">
        <f t="shared" si="9"/>
        <v>T130</v>
      </c>
    </row>
    <row r="276" spans="1:12" x14ac:dyDescent="0.2">
      <c r="A276" s="26" t="s">
        <v>36</v>
      </c>
      <c r="B276" t="s">
        <v>69</v>
      </c>
      <c r="C276">
        <v>6</v>
      </c>
      <c r="D276" s="26" t="s">
        <v>384</v>
      </c>
      <c r="E276" t="s">
        <v>71</v>
      </c>
      <c r="F276">
        <v>6</v>
      </c>
      <c r="G276" t="str">
        <f t="shared" si="10"/>
        <v>CoStep6ColorT6</v>
      </c>
      <c r="J276" s="26" t="s">
        <v>72</v>
      </c>
      <c r="K276">
        <v>155</v>
      </c>
      <c r="L276" t="str">
        <f t="shared" si="9"/>
        <v>B155</v>
      </c>
    </row>
    <row r="277" spans="1:12" x14ac:dyDescent="0.2">
      <c r="A277" s="26" t="s">
        <v>36</v>
      </c>
      <c r="B277" t="s">
        <v>69</v>
      </c>
      <c r="C277">
        <v>6</v>
      </c>
      <c r="D277" t="s">
        <v>68</v>
      </c>
      <c r="E277" t="s">
        <v>71</v>
      </c>
      <c r="F277">
        <v>6</v>
      </c>
      <c r="G277" t="str">
        <f t="shared" si="10"/>
        <v>CoStep6StepLengthT6</v>
      </c>
      <c r="J277" s="26" t="s">
        <v>73</v>
      </c>
      <c r="K277">
        <v>155</v>
      </c>
      <c r="L277" t="str">
        <f t="shared" si="9"/>
        <v>E155</v>
      </c>
    </row>
    <row r="278" spans="1:12" x14ac:dyDescent="0.2">
      <c r="A278" s="26" t="s">
        <v>36</v>
      </c>
      <c r="B278" t="s">
        <v>69</v>
      </c>
      <c r="C278">
        <v>6</v>
      </c>
      <c r="D278" s="26" t="s">
        <v>400</v>
      </c>
      <c r="E278" t="s">
        <v>71</v>
      </c>
      <c r="F278">
        <v>6</v>
      </c>
      <c r="G278" t="str">
        <f t="shared" si="10"/>
        <v>CoStep6StepTimeT6</v>
      </c>
      <c r="J278" s="26" t="s">
        <v>74</v>
      </c>
      <c r="K278">
        <v>155</v>
      </c>
      <c r="L278" t="str">
        <f t="shared" si="9"/>
        <v>J155</v>
      </c>
    </row>
    <row r="279" spans="1:12" x14ac:dyDescent="0.2">
      <c r="A279" s="26" t="s">
        <v>36</v>
      </c>
      <c r="B279" t="s">
        <v>69</v>
      </c>
      <c r="C279">
        <v>6</v>
      </c>
      <c r="D279" s="26" t="s">
        <v>401</v>
      </c>
      <c r="E279" t="s">
        <v>71</v>
      </c>
      <c r="F279">
        <v>6</v>
      </c>
      <c r="G279" t="str">
        <f t="shared" si="10"/>
        <v>CoStep6DoubleSupportTimeT6</v>
      </c>
      <c r="J279" s="26" t="s">
        <v>75</v>
      </c>
      <c r="K279">
        <v>155</v>
      </c>
      <c r="L279" t="str">
        <f t="shared" si="9"/>
        <v>O155</v>
      </c>
    </row>
    <row r="280" spans="1:12" x14ac:dyDescent="0.2">
      <c r="A280" s="26" t="s">
        <v>36</v>
      </c>
      <c r="B280" t="s">
        <v>69</v>
      </c>
      <c r="C280">
        <v>6</v>
      </c>
      <c r="D280" s="26" t="s">
        <v>402</v>
      </c>
      <c r="E280" t="s">
        <v>71</v>
      </c>
      <c r="F280">
        <v>6</v>
      </c>
      <c r="G280" t="str">
        <f t="shared" si="10"/>
        <v>CoStep6StanceTimeT6</v>
      </c>
      <c r="J280" s="26" t="s">
        <v>71</v>
      </c>
      <c r="K280">
        <v>155</v>
      </c>
      <c r="L280" t="str">
        <f t="shared" si="9"/>
        <v>T155</v>
      </c>
    </row>
    <row r="281" spans="1:12" x14ac:dyDescent="0.2">
      <c r="A281" s="26" t="s">
        <v>36</v>
      </c>
      <c r="B281" t="s">
        <v>69</v>
      </c>
      <c r="C281">
        <v>7</v>
      </c>
      <c r="D281" s="26" t="s">
        <v>384</v>
      </c>
      <c r="E281" t="s">
        <v>71</v>
      </c>
      <c r="F281">
        <v>6</v>
      </c>
      <c r="G281" t="str">
        <f t="shared" si="10"/>
        <v>CoStep7ColorT6</v>
      </c>
      <c r="J281" s="26" t="s">
        <v>72</v>
      </c>
      <c r="K281">
        <v>188</v>
      </c>
      <c r="L281" t="str">
        <f t="shared" si="9"/>
        <v>B188</v>
      </c>
    </row>
    <row r="282" spans="1:12" x14ac:dyDescent="0.2">
      <c r="A282" s="26" t="s">
        <v>36</v>
      </c>
      <c r="B282" t="s">
        <v>69</v>
      </c>
      <c r="C282">
        <v>7</v>
      </c>
      <c r="D282" t="s">
        <v>68</v>
      </c>
      <c r="E282" t="s">
        <v>71</v>
      </c>
      <c r="F282">
        <v>6</v>
      </c>
      <c r="G282" t="str">
        <f t="shared" si="10"/>
        <v>CoStep7StepLengthT6</v>
      </c>
      <c r="J282" s="26" t="s">
        <v>73</v>
      </c>
      <c r="K282">
        <v>188</v>
      </c>
      <c r="L282" t="str">
        <f t="shared" si="9"/>
        <v>E188</v>
      </c>
    </row>
    <row r="283" spans="1:12" x14ac:dyDescent="0.2">
      <c r="A283" s="26" t="s">
        <v>36</v>
      </c>
      <c r="B283" t="s">
        <v>69</v>
      </c>
      <c r="C283">
        <v>7</v>
      </c>
      <c r="D283" s="26" t="s">
        <v>400</v>
      </c>
      <c r="E283" t="s">
        <v>71</v>
      </c>
      <c r="F283">
        <v>6</v>
      </c>
      <c r="G283" t="str">
        <f t="shared" si="10"/>
        <v>CoStep7StepTimeT6</v>
      </c>
      <c r="J283" s="26" t="s">
        <v>74</v>
      </c>
      <c r="K283">
        <v>188</v>
      </c>
      <c r="L283" t="str">
        <f t="shared" si="9"/>
        <v>J188</v>
      </c>
    </row>
    <row r="284" spans="1:12" x14ac:dyDescent="0.2">
      <c r="A284" s="26" t="s">
        <v>36</v>
      </c>
      <c r="B284" t="s">
        <v>69</v>
      </c>
      <c r="C284">
        <v>7</v>
      </c>
      <c r="D284" s="26" t="s">
        <v>401</v>
      </c>
      <c r="E284" t="s">
        <v>71</v>
      </c>
      <c r="F284">
        <v>6</v>
      </c>
      <c r="G284" t="str">
        <f t="shared" si="10"/>
        <v>CoStep7DoubleSupportTimeT6</v>
      </c>
      <c r="J284" s="26" t="s">
        <v>75</v>
      </c>
      <c r="K284">
        <v>188</v>
      </c>
      <c r="L284" t="str">
        <f t="shared" si="9"/>
        <v>O188</v>
      </c>
    </row>
    <row r="285" spans="1:12" x14ac:dyDescent="0.2">
      <c r="A285" s="26" t="s">
        <v>36</v>
      </c>
      <c r="B285" t="s">
        <v>69</v>
      </c>
      <c r="C285">
        <v>7</v>
      </c>
      <c r="D285" s="26" t="s">
        <v>402</v>
      </c>
      <c r="E285" t="s">
        <v>71</v>
      </c>
      <c r="F285">
        <v>6</v>
      </c>
      <c r="G285" t="str">
        <f t="shared" si="10"/>
        <v>CoStep7StanceTimeT6</v>
      </c>
      <c r="J285" s="26" t="s">
        <v>71</v>
      </c>
      <c r="K285">
        <v>188</v>
      </c>
      <c r="L285" t="str">
        <f t="shared" si="9"/>
        <v>T188</v>
      </c>
    </row>
    <row r="286" spans="1:12" x14ac:dyDescent="0.2">
      <c r="A286" s="26" t="s">
        <v>36</v>
      </c>
      <c r="B286" t="s">
        <v>69</v>
      </c>
      <c r="C286">
        <v>8</v>
      </c>
      <c r="D286" s="26" t="s">
        <v>384</v>
      </c>
      <c r="E286" t="s">
        <v>71</v>
      </c>
      <c r="F286">
        <v>6</v>
      </c>
      <c r="G286" t="str">
        <f t="shared" si="10"/>
        <v>CoStep8ColorT6</v>
      </c>
      <c r="J286" s="26" t="s">
        <v>72</v>
      </c>
      <c r="K286">
        <v>205</v>
      </c>
      <c r="L286" t="str">
        <f t="shared" si="9"/>
        <v>B205</v>
      </c>
    </row>
    <row r="287" spans="1:12" x14ac:dyDescent="0.2">
      <c r="A287" s="26" t="s">
        <v>36</v>
      </c>
      <c r="B287" t="s">
        <v>69</v>
      </c>
      <c r="C287">
        <v>8</v>
      </c>
      <c r="D287" t="s">
        <v>68</v>
      </c>
      <c r="E287" t="s">
        <v>71</v>
      </c>
      <c r="F287">
        <v>6</v>
      </c>
      <c r="G287" t="str">
        <f t="shared" si="10"/>
        <v>CoStep8StepLengthT6</v>
      </c>
      <c r="J287" s="26" t="s">
        <v>73</v>
      </c>
      <c r="K287">
        <v>205</v>
      </c>
      <c r="L287" t="str">
        <f t="shared" si="9"/>
        <v>E205</v>
      </c>
    </row>
    <row r="288" spans="1:12" x14ac:dyDescent="0.2">
      <c r="A288" s="26" t="s">
        <v>36</v>
      </c>
      <c r="B288" t="s">
        <v>69</v>
      </c>
      <c r="C288">
        <v>8</v>
      </c>
      <c r="D288" s="26" t="s">
        <v>400</v>
      </c>
      <c r="E288" t="s">
        <v>71</v>
      </c>
      <c r="F288">
        <v>6</v>
      </c>
      <c r="G288" t="str">
        <f t="shared" si="10"/>
        <v>CoStep8StepTimeT6</v>
      </c>
      <c r="J288" s="26" t="s">
        <v>74</v>
      </c>
      <c r="K288">
        <v>205</v>
      </c>
      <c r="L288" t="str">
        <f t="shared" si="9"/>
        <v>J205</v>
      </c>
    </row>
    <row r="289" spans="1:12" x14ac:dyDescent="0.2">
      <c r="A289" s="26" t="s">
        <v>36</v>
      </c>
      <c r="B289" t="s">
        <v>69</v>
      </c>
      <c r="C289">
        <v>8</v>
      </c>
      <c r="D289" s="26" t="s">
        <v>401</v>
      </c>
      <c r="E289" t="s">
        <v>71</v>
      </c>
      <c r="F289">
        <v>6</v>
      </c>
      <c r="G289" t="str">
        <f t="shared" si="10"/>
        <v>CoStep8DoubleSupportTimeT6</v>
      </c>
      <c r="J289" s="26" t="s">
        <v>75</v>
      </c>
      <c r="K289">
        <v>205</v>
      </c>
      <c r="L289" t="str">
        <f t="shared" si="9"/>
        <v>O205</v>
      </c>
    </row>
    <row r="290" spans="1:12" x14ac:dyDescent="0.2">
      <c r="A290" s="26" t="s">
        <v>36</v>
      </c>
      <c r="B290" t="s">
        <v>69</v>
      </c>
      <c r="C290">
        <v>8</v>
      </c>
      <c r="D290" s="26" t="s">
        <v>402</v>
      </c>
      <c r="E290" t="s">
        <v>71</v>
      </c>
      <c r="F290">
        <v>6</v>
      </c>
      <c r="G290" t="str">
        <f t="shared" si="10"/>
        <v>CoStep8StanceTimeT6</v>
      </c>
      <c r="J290" s="26" t="s">
        <v>71</v>
      </c>
      <c r="K290">
        <v>205</v>
      </c>
      <c r="L290" t="str">
        <f t="shared" si="9"/>
        <v>T205</v>
      </c>
    </row>
    <row r="291" spans="1:12" x14ac:dyDescent="0.2">
      <c r="A291" s="26" t="s">
        <v>36</v>
      </c>
      <c r="B291" t="s">
        <v>69</v>
      </c>
      <c r="C291">
        <v>9</v>
      </c>
      <c r="D291" s="26" t="s">
        <v>384</v>
      </c>
      <c r="E291" t="s">
        <v>71</v>
      </c>
      <c r="F291">
        <v>6</v>
      </c>
      <c r="G291" t="str">
        <f t="shared" si="10"/>
        <v>CoStep9ColorT6</v>
      </c>
      <c r="J291" s="26" t="s">
        <v>72</v>
      </c>
      <c r="K291">
        <v>230</v>
      </c>
      <c r="L291" t="str">
        <f t="shared" si="9"/>
        <v>B230</v>
      </c>
    </row>
    <row r="292" spans="1:12" x14ac:dyDescent="0.2">
      <c r="A292" s="26" t="s">
        <v>36</v>
      </c>
      <c r="B292" t="s">
        <v>69</v>
      </c>
      <c r="C292">
        <v>9</v>
      </c>
      <c r="D292" t="s">
        <v>68</v>
      </c>
      <c r="E292" t="s">
        <v>71</v>
      </c>
      <c r="F292">
        <v>6</v>
      </c>
      <c r="G292" t="str">
        <f t="shared" si="10"/>
        <v>CoStep9StepLengthT6</v>
      </c>
      <c r="J292" s="26" t="s">
        <v>73</v>
      </c>
      <c r="K292">
        <v>230</v>
      </c>
      <c r="L292" t="str">
        <f t="shared" si="9"/>
        <v>E230</v>
      </c>
    </row>
    <row r="293" spans="1:12" x14ac:dyDescent="0.2">
      <c r="A293" s="26" t="s">
        <v>36</v>
      </c>
      <c r="B293" t="s">
        <v>69</v>
      </c>
      <c r="C293">
        <v>9</v>
      </c>
      <c r="D293" s="26" t="s">
        <v>400</v>
      </c>
      <c r="E293" t="s">
        <v>71</v>
      </c>
      <c r="F293">
        <v>6</v>
      </c>
      <c r="G293" t="str">
        <f t="shared" si="10"/>
        <v>CoStep9StepTimeT6</v>
      </c>
      <c r="J293" s="26" t="s">
        <v>74</v>
      </c>
      <c r="K293">
        <v>230</v>
      </c>
      <c r="L293" t="str">
        <f t="shared" si="9"/>
        <v>J230</v>
      </c>
    </row>
    <row r="294" spans="1:12" x14ac:dyDescent="0.2">
      <c r="A294" s="26" t="s">
        <v>36</v>
      </c>
      <c r="B294" t="s">
        <v>69</v>
      </c>
      <c r="C294">
        <v>9</v>
      </c>
      <c r="D294" s="26" t="s">
        <v>401</v>
      </c>
      <c r="E294" t="s">
        <v>71</v>
      </c>
      <c r="F294">
        <v>6</v>
      </c>
      <c r="G294" t="str">
        <f t="shared" si="10"/>
        <v>CoStep9DoubleSupportTimeT6</v>
      </c>
      <c r="J294" s="26" t="s">
        <v>75</v>
      </c>
      <c r="K294">
        <v>230</v>
      </c>
      <c r="L294" t="str">
        <f t="shared" si="9"/>
        <v>O230</v>
      </c>
    </row>
    <row r="295" spans="1:12" x14ac:dyDescent="0.2">
      <c r="A295" s="26" t="s">
        <v>36</v>
      </c>
      <c r="B295" t="s">
        <v>69</v>
      </c>
      <c r="C295">
        <v>9</v>
      </c>
      <c r="D295" s="26" t="s">
        <v>402</v>
      </c>
      <c r="E295" t="s">
        <v>71</v>
      </c>
      <c r="F295">
        <v>6</v>
      </c>
      <c r="G295" t="str">
        <f t="shared" si="10"/>
        <v>CoStep9StanceTimeT6</v>
      </c>
      <c r="J295" s="26" t="s">
        <v>71</v>
      </c>
      <c r="K295">
        <v>230</v>
      </c>
      <c r="L295" t="str">
        <f t="shared" si="9"/>
        <v>T230</v>
      </c>
    </row>
    <row r="296" spans="1:12" x14ac:dyDescent="0.2">
      <c r="A296" s="26" t="s">
        <v>36</v>
      </c>
      <c r="B296" t="s">
        <v>69</v>
      </c>
      <c r="C296">
        <v>10</v>
      </c>
      <c r="D296" s="26" t="s">
        <v>384</v>
      </c>
      <c r="E296" t="s">
        <v>71</v>
      </c>
      <c r="F296">
        <v>6</v>
      </c>
      <c r="G296" t="str">
        <f t="shared" si="10"/>
        <v>CoStep10ColorT6</v>
      </c>
      <c r="J296" s="26" t="s">
        <v>72</v>
      </c>
      <c r="K296">
        <v>255</v>
      </c>
      <c r="L296" t="str">
        <f t="shared" si="9"/>
        <v>B255</v>
      </c>
    </row>
    <row r="297" spans="1:12" x14ac:dyDescent="0.2">
      <c r="A297" s="26" t="s">
        <v>36</v>
      </c>
      <c r="B297" t="s">
        <v>69</v>
      </c>
      <c r="C297">
        <v>10</v>
      </c>
      <c r="D297" t="s">
        <v>68</v>
      </c>
      <c r="E297" t="s">
        <v>71</v>
      </c>
      <c r="F297">
        <v>6</v>
      </c>
      <c r="G297" t="str">
        <f t="shared" si="10"/>
        <v>CoStep10StepLengthT6</v>
      </c>
      <c r="J297" s="26" t="s">
        <v>73</v>
      </c>
      <c r="K297">
        <v>255</v>
      </c>
      <c r="L297" t="str">
        <f t="shared" si="9"/>
        <v>E255</v>
      </c>
    </row>
    <row r="298" spans="1:12" x14ac:dyDescent="0.2">
      <c r="A298" s="26" t="s">
        <v>36</v>
      </c>
      <c r="B298" t="s">
        <v>69</v>
      </c>
      <c r="C298">
        <v>10</v>
      </c>
      <c r="D298" s="26" t="s">
        <v>400</v>
      </c>
      <c r="E298" t="s">
        <v>71</v>
      </c>
      <c r="F298">
        <v>6</v>
      </c>
      <c r="G298" t="str">
        <f t="shared" si="10"/>
        <v>CoStep10StepTimeT6</v>
      </c>
      <c r="J298" s="26" t="s">
        <v>74</v>
      </c>
      <c r="K298">
        <v>255</v>
      </c>
      <c r="L298" t="str">
        <f t="shared" si="9"/>
        <v>J255</v>
      </c>
    </row>
    <row r="299" spans="1:12" x14ac:dyDescent="0.2">
      <c r="A299" s="26" t="s">
        <v>36</v>
      </c>
      <c r="B299" t="s">
        <v>69</v>
      </c>
      <c r="C299">
        <v>10</v>
      </c>
      <c r="D299" s="26" t="s">
        <v>401</v>
      </c>
      <c r="E299" t="s">
        <v>71</v>
      </c>
      <c r="F299">
        <v>6</v>
      </c>
      <c r="G299" t="str">
        <f t="shared" si="10"/>
        <v>CoStep10DoubleSupportTimeT6</v>
      </c>
      <c r="J299" s="26" t="s">
        <v>75</v>
      </c>
      <c r="K299">
        <v>255</v>
      </c>
      <c r="L299" t="str">
        <f t="shared" si="9"/>
        <v>O255</v>
      </c>
    </row>
    <row r="300" spans="1:12" x14ac:dyDescent="0.2">
      <c r="A300" s="26" t="s">
        <v>36</v>
      </c>
      <c r="B300" t="s">
        <v>69</v>
      </c>
      <c r="C300">
        <v>10</v>
      </c>
      <c r="D300" s="26" t="s">
        <v>402</v>
      </c>
      <c r="E300" t="s">
        <v>71</v>
      </c>
      <c r="F300">
        <v>6</v>
      </c>
      <c r="G300" t="str">
        <f t="shared" si="10"/>
        <v>CoStep10StanceTimeT6</v>
      </c>
      <c r="J300" s="26" t="s">
        <v>71</v>
      </c>
      <c r="K300">
        <v>255</v>
      </c>
      <c r="L300" t="str">
        <f t="shared" si="9"/>
        <v>T255</v>
      </c>
    </row>
    <row r="301" spans="1:12" x14ac:dyDescent="0.2">
      <c r="A301" s="26" t="s">
        <v>36</v>
      </c>
      <c r="B301" t="s">
        <v>69</v>
      </c>
      <c r="C301">
        <v>1</v>
      </c>
      <c r="D301" s="26" t="s">
        <v>384</v>
      </c>
      <c r="E301" t="s">
        <v>71</v>
      </c>
      <c r="F301">
        <v>7</v>
      </c>
      <c r="G301" t="str">
        <f t="shared" si="10"/>
        <v>CoStep1ColorT7</v>
      </c>
      <c r="J301" s="26" t="s">
        <v>72</v>
      </c>
      <c r="K301">
        <v>30</v>
      </c>
      <c r="L301" t="str">
        <f>J301&amp;K301</f>
        <v>B30</v>
      </c>
    </row>
    <row r="302" spans="1:12" x14ac:dyDescent="0.2">
      <c r="A302" s="26" t="s">
        <v>36</v>
      </c>
      <c r="B302" t="s">
        <v>69</v>
      </c>
      <c r="C302">
        <v>1</v>
      </c>
      <c r="D302" t="s">
        <v>68</v>
      </c>
      <c r="E302" t="s">
        <v>71</v>
      </c>
      <c r="F302">
        <v>7</v>
      </c>
      <c r="G302" t="str">
        <f t="shared" si="10"/>
        <v>CoStep1StepLengthT7</v>
      </c>
      <c r="J302" s="26" t="s">
        <v>73</v>
      </c>
      <c r="K302">
        <v>30</v>
      </c>
      <c r="L302" t="str">
        <f t="shared" ref="L302:L350" si="11">J302&amp;K302</f>
        <v>E30</v>
      </c>
    </row>
    <row r="303" spans="1:12" x14ac:dyDescent="0.2">
      <c r="A303" s="26" t="s">
        <v>36</v>
      </c>
      <c r="B303" t="s">
        <v>69</v>
      </c>
      <c r="C303">
        <v>1</v>
      </c>
      <c r="D303" s="26" t="s">
        <v>400</v>
      </c>
      <c r="E303" t="s">
        <v>71</v>
      </c>
      <c r="F303">
        <v>7</v>
      </c>
      <c r="G303" t="str">
        <f t="shared" si="10"/>
        <v>CoStep1StepTimeT7</v>
      </c>
      <c r="J303" s="26" t="s">
        <v>74</v>
      </c>
      <c r="K303">
        <v>30</v>
      </c>
      <c r="L303" t="str">
        <f t="shared" si="11"/>
        <v>J30</v>
      </c>
    </row>
    <row r="304" spans="1:12" x14ac:dyDescent="0.2">
      <c r="A304" s="26" t="s">
        <v>36</v>
      </c>
      <c r="B304" t="s">
        <v>69</v>
      </c>
      <c r="C304">
        <v>1</v>
      </c>
      <c r="D304" s="26" t="s">
        <v>401</v>
      </c>
      <c r="E304" t="s">
        <v>71</v>
      </c>
      <c r="F304">
        <v>7</v>
      </c>
      <c r="G304" t="str">
        <f t="shared" si="10"/>
        <v>CoStep1DoubleSupportTimeT7</v>
      </c>
      <c r="J304" s="26" t="s">
        <v>75</v>
      </c>
      <c r="K304">
        <v>30</v>
      </c>
      <c r="L304" t="str">
        <f t="shared" si="11"/>
        <v>O30</v>
      </c>
    </row>
    <row r="305" spans="1:12" x14ac:dyDescent="0.2">
      <c r="A305" s="26" t="s">
        <v>36</v>
      </c>
      <c r="B305" t="s">
        <v>69</v>
      </c>
      <c r="C305">
        <v>1</v>
      </c>
      <c r="D305" s="26" t="s">
        <v>402</v>
      </c>
      <c r="E305" t="s">
        <v>71</v>
      </c>
      <c r="F305">
        <v>7</v>
      </c>
      <c r="G305" t="str">
        <f t="shared" si="10"/>
        <v>CoStep1StanceTimeT7</v>
      </c>
      <c r="J305" s="26" t="s">
        <v>71</v>
      </c>
      <c r="K305">
        <v>30</v>
      </c>
      <c r="L305" t="str">
        <f t="shared" si="11"/>
        <v>T30</v>
      </c>
    </row>
    <row r="306" spans="1:12" x14ac:dyDescent="0.2">
      <c r="A306" s="26" t="s">
        <v>36</v>
      </c>
      <c r="B306" t="s">
        <v>69</v>
      </c>
      <c r="C306">
        <v>2</v>
      </c>
      <c r="D306" s="26" t="s">
        <v>384</v>
      </c>
      <c r="E306" t="s">
        <v>71</v>
      </c>
      <c r="F306">
        <v>7</v>
      </c>
      <c r="G306" t="str">
        <f t="shared" si="10"/>
        <v>CoStep2ColorT7</v>
      </c>
      <c r="J306" s="26" t="s">
        <v>72</v>
      </c>
      <c r="K306">
        <v>55</v>
      </c>
      <c r="L306" t="str">
        <f t="shared" si="11"/>
        <v>B55</v>
      </c>
    </row>
    <row r="307" spans="1:12" x14ac:dyDescent="0.2">
      <c r="A307" s="26" t="s">
        <v>36</v>
      </c>
      <c r="B307" t="s">
        <v>69</v>
      </c>
      <c r="C307">
        <v>2</v>
      </c>
      <c r="D307" t="s">
        <v>68</v>
      </c>
      <c r="E307" t="s">
        <v>71</v>
      </c>
      <c r="F307">
        <v>7</v>
      </c>
      <c r="G307" t="str">
        <f t="shared" si="10"/>
        <v>CoStep2StepLengthT7</v>
      </c>
      <c r="J307" s="26" t="s">
        <v>73</v>
      </c>
      <c r="K307">
        <v>55</v>
      </c>
      <c r="L307" t="str">
        <f t="shared" si="11"/>
        <v>E55</v>
      </c>
    </row>
    <row r="308" spans="1:12" x14ac:dyDescent="0.2">
      <c r="A308" s="26" t="s">
        <v>36</v>
      </c>
      <c r="B308" t="s">
        <v>69</v>
      </c>
      <c r="C308">
        <v>2</v>
      </c>
      <c r="D308" s="26" t="s">
        <v>400</v>
      </c>
      <c r="E308" t="s">
        <v>71</v>
      </c>
      <c r="F308">
        <v>7</v>
      </c>
      <c r="G308" t="str">
        <f t="shared" si="10"/>
        <v>CoStep2StepTimeT7</v>
      </c>
      <c r="J308" s="26" t="s">
        <v>74</v>
      </c>
      <c r="K308">
        <v>55</v>
      </c>
      <c r="L308" t="str">
        <f t="shared" si="11"/>
        <v>J55</v>
      </c>
    </row>
    <row r="309" spans="1:12" x14ac:dyDescent="0.2">
      <c r="A309" s="26" t="s">
        <v>36</v>
      </c>
      <c r="B309" t="s">
        <v>69</v>
      </c>
      <c r="C309">
        <v>2</v>
      </c>
      <c r="D309" s="26" t="s">
        <v>401</v>
      </c>
      <c r="E309" t="s">
        <v>71</v>
      </c>
      <c r="F309">
        <v>7</v>
      </c>
      <c r="G309" t="str">
        <f t="shared" si="10"/>
        <v>CoStep2DoubleSupportTimeT7</v>
      </c>
      <c r="J309" s="26" t="s">
        <v>75</v>
      </c>
      <c r="K309">
        <v>55</v>
      </c>
      <c r="L309" t="str">
        <f t="shared" si="11"/>
        <v>O55</v>
      </c>
    </row>
    <row r="310" spans="1:12" x14ac:dyDescent="0.2">
      <c r="A310" s="26" t="s">
        <v>36</v>
      </c>
      <c r="B310" t="s">
        <v>69</v>
      </c>
      <c r="C310">
        <v>2</v>
      </c>
      <c r="D310" s="26" t="s">
        <v>402</v>
      </c>
      <c r="E310" t="s">
        <v>71</v>
      </c>
      <c r="F310">
        <v>7</v>
      </c>
      <c r="G310" t="str">
        <f t="shared" si="10"/>
        <v>CoStep2StanceTimeT7</v>
      </c>
      <c r="J310" s="26" t="s">
        <v>71</v>
      </c>
      <c r="K310">
        <v>55</v>
      </c>
      <c r="L310" t="str">
        <f t="shared" si="11"/>
        <v>T55</v>
      </c>
    </row>
    <row r="311" spans="1:12" x14ac:dyDescent="0.2">
      <c r="A311" s="26" t="s">
        <v>36</v>
      </c>
      <c r="B311" t="s">
        <v>69</v>
      </c>
      <c r="C311">
        <v>3</v>
      </c>
      <c r="D311" s="26" t="s">
        <v>384</v>
      </c>
      <c r="E311" t="s">
        <v>71</v>
      </c>
      <c r="F311">
        <v>7</v>
      </c>
      <c r="G311" t="str">
        <f t="shared" si="10"/>
        <v>CoStep3ColorT7</v>
      </c>
      <c r="J311" s="26" t="s">
        <v>72</v>
      </c>
      <c r="K311">
        <v>80</v>
      </c>
      <c r="L311" t="str">
        <f t="shared" si="11"/>
        <v>B80</v>
      </c>
    </row>
    <row r="312" spans="1:12" x14ac:dyDescent="0.2">
      <c r="A312" s="26" t="s">
        <v>36</v>
      </c>
      <c r="B312" t="s">
        <v>69</v>
      </c>
      <c r="C312">
        <v>3</v>
      </c>
      <c r="D312" t="s">
        <v>68</v>
      </c>
      <c r="E312" t="s">
        <v>71</v>
      </c>
      <c r="F312">
        <v>7</v>
      </c>
      <c r="G312" t="str">
        <f t="shared" si="10"/>
        <v>CoStep3StepLengthT7</v>
      </c>
      <c r="J312" s="26" t="s">
        <v>73</v>
      </c>
      <c r="K312">
        <v>80</v>
      </c>
      <c r="L312" t="str">
        <f t="shared" si="11"/>
        <v>E80</v>
      </c>
    </row>
    <row r="313" spans="1:12" x14ac:dyDescent="0.2">
      <c r="A313" s="26" t="s">
        <v>36</v>
      </c>
      <c r="B313" t="s">
        <v>69</v>
      </c>
      <c r="C313">
        <v>3</v>
      </c>
      <c r="D313" s="26" t="s">
        <v>400</v>
      </c>
      <c r="E313" t="s">
        <v>71</v>
      </c>
      <c r="F313">
        <v>7</v>
      </c>
      <c r="G313" t="str">
        <f t="shared" si="10"/>
        <v>CoStep3StepTimeT7</v>
      </c>
      <c r="J313" s="26" t="s">
        <v>74</v>
      </c>
      <c r="K313">
        <v>80</v>
      </c>
      <c r="L313" t="str">
        <f t="shared" si="11"/>
        <v>J80</v>
      </c>
    </row>
    <row r="314" spans="1:12" x14ac:dyDescent="0.2">
      <c r="A314" s="26" t="s">
        <v>36</v>
      </c>
      <c r="B314" t="s">
        <v>69</v>
      </c>
      <c r="C314">
        <v>3</v>
      </c>
      <c r="D314" s="26" t="s">
        <v>401</v>
      </c>
      <c r="E314" t="s">
        <v>71</v>
      </c>
      <c r="F314">
        <v>7</v>
      </c>
      <c r="G314" t="str">
        <f t="shared" si="10"/>
        <v>CoStep3DoubleSupportTimeT7</v>
      </c>
      <c r="J314" s="26" t="s">
        <v>75</v>
      </c>
      <c r="K314">
        <v>80</v>
      </c>
      <c r="L314" t="str">
        <f t="shared" si="11"/>
        <v>O80</v>
      </c>
    </row>
    <row r="315" spans="1:12" x14ac:dyDescent="0.2">
      <c r="A315" s="26" t="s">
        <v>36</v>
      </c>
      <c r="B315" t="s">
        <v>69</v>
      </c>
      <c r="C315">
        <v>3</v>
      </c>
      <c r="D315" s="26" t="s">
        <v>402</v>
      </c>
      <c r="E315" t="s">
        <v>71</v>
      </c>
      <c r="F315">
        <v>7</v>
      </c>
      <c r="G315" t="str">
        <f t="shared" si="10"/>
        <v>CoStep3StanceTimeT7</v>
      </c>
      <c r="J315" s="26" t="s">
        <v>71</v>
      </c>
      <c r="K315">
        <v>80</v>
      </c>
      <c r="L315" t="str">
        <f t="shared" si="11"/>
        <v>T80</v>
      </c>
    </row>
    <row r="316" spans="1:12" x14ac:dyDescent="0.2">
      <c r="A316" s="26" t="s">
        <v>36</v>
      </c>
      <c r="B316" t="s">
        <v>69</v>
      </c>
      <c r="C316">
        <v>4</v>
      </c>
      <c r="D316" s="26" t="s">
        <v>384</v>
      </c>
      <c r="E316" t="s">
        <v>71</v>
      </c>
      <c r="F316">
        <v>7</v>
      </c>
      <c r="G316" t="str">
        <f t="shared" si="10"/>
        <v>CoStep4ColorT7</v>
      </c>
      <c r="J316" s="26" t="s">
        <v>72</v>
      </c>
      <c r="K316">
        <v>105</v>
      </c>
      <c r="L316" t="str">
        <f t="shared" si="11"/>
        <v>B105</v>
      </c>
    </row>
    <row r="317" spans="1:12" x14ac:dyDescent="0.2">
      <c r="A317" s="26" t="s">
        <v>36</v>
      </c>
      <c r="B317" t="s">
        <v>69</v>
      </c>
      <c r="C317">
        <v>4</v>
      </c>
      <c r="D317" t="s">
        <v>68</v>
      </c>
      <c r="E317" t="s">
        <v>71</v>
      </c>
      <c r="F317">
        <v>7</v>
      </c>
      <c r="G317" t="str">
        <f t="shared" si="10"/>
        <v>CoStep4StepLengthT7</v>
      </c>
      <c r="J317" s="26" t="s">
        <v>73</v>
      </c>
      <c r="K317">
        <v>105</v>
      </c>
      <c r="L317" t="str">
        <f t="shared" si="11"/>
        <v>E105</v>
      </c>
    </row>
    <row r="318" spans="1:12" x14ac:dyDescent="0.2">
      <c r="A318" s="26" t="s">
        <v>36</v>
      </c>
      <c r="B318" t="s">
        <v>69</v>
      </c>
      <c r="C318">
        <v>4</v>
      </c>
      <c r="D318" s="26" t="s">
        <v>400</v>
      </c>
      <c r="E318" t="s">
        <v>71</v>
      </c>
      <c r="F318">
        <v>7</v>
      </c>
      <c r="G318" t="str">
        <f t="shared" si="10"/>
        <v>CoStep4StepTimeT7</v>
      </c>
      <c r="J318" s="26" t="s">
        <v>74</v>
      </c>
      <c r="K318">
        <v>105</v>
      </c>
      <c r="L318" t="str">
        <f t="shared" si="11"/>
        <v>J105</v>
      </c>
    </row>
    <row r="319" spans="1:12" x14ac:dyDescent="0.2">
      <c r="A319" s="26" t="s">
        <v>36</v>
      </c>
      <c r="B319" t="s">
        <v>69</v>
      </c>
      <c r="C319">
        <v>4</v>
      </c>
      <c r="D319" s="26" t="s">
        <v>401</v>
      </c>
      <c r="E319" t="s">
        <v>71</v>
      </c>
      <c r="F319">
        <v>7</v>
      </c>
      <c r="G319" t="str">
        <f t="shared" si="10"/>
        <v>CoStep4DoubleSupportTimeT7</v>
      </c>
      <c r="J319" s="26" t="s">
        <v>75</v>
      </c>
      <c r="K319">
        <v>105</v>
      </c>
      <c r="L319" t="str">
        <f t="shared" si="11"/>
        <v>O105</v>
      </c>
    </row>
    <row r="320" spans="1:12" x14ac:dyDescent="0.2">
      <c r="A320" s="26" t="s">
        <v>36</v>
      </c>
      <c r="B320" t="s">
        <v>69</v>
      </c>
      <c r="C320">
        <v>4</v>
      </c>
      <c r="D320" s="26" t="s">
        <v>402</v>
      </c>
      <c r="E320" t="s">
        <v>71</v>
      </c>
      <c r="F320">
        <v>7</v>
      </c>
      <c r="G320" t="str">
        <f t="shared" si="10"/>
        <v>CoStep4StanceTimeT7</v>
      </c>
      <c r="J320" s="26" t="s">
        <v>71</v>
      </c>
      <c r="K320">
        <v>105</v>
      </c>
      <c r="L320" t="str">
        <f t="shared" si="11"/>
        <v>T105</v>
      </c>
    </row>
    <row r="321" spans="1:12" x14ac:dyDescent="0.2">
      <c r="A321" s="26" t="s">
        <v>36</v>
      </c>
      <c r="B321" t="s">
        <v>69</v>
      </c>
      <c r="C321">
        <v>5</v>
      </c>
      <c r="D321" s="26" t="s">
        <v>384</v>
      </c>
      <c r="E321" t="s">
        <v>71</v>
      </c>
      <c r="F321">
        <v>7</v>
      </c>
      <c r="G321" t="str">
        <f t="shared" si="10"/>
        <v>CoStep5ColorT7</v>
      </c>
      <c r="J321" s="26" t="s">
        <v>72</v>
      </c>
      <c r="K321">
        <v>130</v>
      </c>
      <c r="L321" t="str">
        <f t="shared" si="11"/>
        <v>B130</v>
      </c>
    </row>
    <row r="322" spans="1:12" x14ac:dyDescent="0.2">
      <c r="A322" s="26" t="s">
        <v>36</v>
      </c>
      <c r="B322" t="s">
        <v>69</v>
      </c>
      <c r="C322">
        <v>5</v>
      </c>
      <c r="D322" t="s">
        <v>68</v>
      </c>
      <c r="E322" t="s">
        <v>71</v>
      </c>
      <c r="F322">
        <v>7</v>
      </c>
      <c r="G322" t="str">
        <f t="shared" si="10"/>
        <v>CoStep5StepLengthT7</v>
      </c>
      <c r="J322" s="26" t="s">
        <v>73</v>
      </c>
      <c r="K322">
        <v>130</v>
      </c>
      <c r="L322" t="str">
        <f t="shared" si="11"/>
        <v>E130</v>
      </c>
    </row>
    <row r="323" spans="1:12" x14ac:dyDescent="0.2">
      <c r="A323" s="26" t="s">
        <v>36</v>
      </c>
      <c r="B323" t="s">
        <v>69</v>
      </c>
      <c r="C323">
        <v>5</v>
      </c>
      <c r="D323" s="26" t="s">
        <v>400</v>
      </c>
      <c r="E323" t="s">
        <v>71</v>
      </c>
      <c r="F323">
        <v>7</v>
      </c>
      <c r="G323" t="str">
        <f t="shared" si="10"/>
        <v>CoStep5StepTimeT7</v>
      </c>
      <c r="J323" s="26" t="s">
        <v>74</v>
      </c>
      <c r="K323">
        <v>130</v>
      </c>
      <c r="L323" t="str">
        <f t="shared" si="11"/>
        <v>J130</v>
      </c>
    </row>
    <row r="324" spans="1:12" x14ac:dyDescent="0.2">
      <c r="A324" s="26" t="s">
        <v>36</v>
      </c>
      <c r="B324" t="s">
        <v>69</v>
      </c>
      <c r="C324">
        <v>5</v>
      </c>
      <c r="D324" s="26" t="s">
        <v>401</v>
      </c>
      <c r="E324" t="s">
        <v>71</v>
      </c>
      <c r="F324">
        <v>7</v>
      </c>
      <c r="G324" t="str">
        <f t="shared" si="10"/>
        <v>CoStep5DoubleSupportTimeT7</v>
      </c>
      <c r="J324" s="26" t="s">
        <v>75</v>
      </c>
      <c r="K324">
        <v>130</v>
      </c>
      <c r="L324" t="str">
        <f t="shared" si="11"/>
        <v>O130</v>
      </c>
    </row>
    <row r="325" spans="1:12" x14ac:dyDescent="0.2">
      <c r="A325" s="26" t="s">
        <v>36</v>
      </c>
      <c r="B325" t="s">
        <v>69</v>
      </c>
      <c r="C325">
        <v>5</v>
      </c>
      <c r="D325" s="26" t="s">
        <v>402</v>
      </c>
      <c r="E325" t="s">
        <v>71</v>
      </c>
      <c r="F325">
        <v>7</v>
      </c>
      <c r="G325" t="str">
        <f t="shared" si="10"/>
        <v>CoStep5StanceTimeT7</v>
      </c>
      <c r="J325" s="26" t="s">
        <v>71</v>
      </c>
      <c r="K325">
        <v>130</v>
      </c>
      <c r="L325" t="str">
        <f t="shared" si="11"/>
        <v>T130</v>
      </c>
    </row>
    <row r="326" spans="1:12" x14ac:dyDescent="0.2">
      <c r="A326" s="26" t="s">
        <v>36</v>
      </c>
      <c r="B326" t="s">
        <v>69</v>
      </c>
      <c r="C326">
        <v>6</v>
      </c>
      <c r="D326" s="26" t="s">
        <v>384</v>
      </c>
      <c r="E326" t="s">
        <v>71</v>
      </c>
      <c r="F326">
        <v>7</v>
      </c>
      <c r="G326" t="str">
        <f t="shared" ref="G326:G389" si="12">A326&amp;B326&amp;C326&amp;D326&amp;E326&amp;F326</f>
        <v>CoStep6ColorT7</v>
      </c>
      <c r="J326" s="26" t="s">
        <v>72</v>
      </c>
      <c r="K326">
        <v>155</v>
      </c>
      <c r="L326" t="str">
        <f t="shared" si="11"/>
        <v>B155</v>
      </c>
    </row>
    <row r="327" spans="1:12" x14ac:dyDescent="0.2">
      <c r="A327" s="26" t="s">
        <v>36</v>
      </c>
      <c r="B327" t="s">
        <v>69</v>
      </c>
      <c r="C327">
        <v>6</v>
      </c>
      <c r="D327" t="s">
        <v>68</v>
      </c>
      <c r="E327" t="s">
        <v>71</v>
      </c>
      <c r="F327">
        <v>7</v>
      </c>
      <c r="G327" t="str">
        <f t="shared" si="12"/>
        <v>CoStep6StepLengthT7</v>
      </c>
      <c r="J327" s="26" t="s">
        <v>73</v>
      </c>
      <c r="K327">
        <v>155</v>
      </c>
      <c r="L327" t="str">
        <f t="shared" si="11"/>
        <v>E155</v>
      </c>
    </row>
    <row r="328" spans="1:12" x14ac:dyDescent="0.2">
      <c r="A328" s="26" t="s">
        <v>36</v>
      </c>
      <c r="B328" t="s">
        <v>69</v>
      </c>
      <c r="C328">
        <v>6</v>
      </c>
      <c r="D328" s="26" t="s">
        <v>400</v>
      </c>
      <c r="E328" t="s">
        <v>71</v>
      </c>
      <c r="F328">
        <v>7</v>
      </c>
      <c r="G328" t="str">
        <f t="shared" si="12"/>
        <v>CoStep6StepTimeT7</v>
      </c>
      <c r="J328" s="26" t="s">
        <v>74</v>
      </c>
      <c r="K328">
        <v>155</v>
      </c>
      <c r="L328" t="str">
        <f t="shared" si="11"/>
        <v>J155</v>
      </c>
    </row>
    <row r="329" spans="1:12" x14ac:dyDescent="0.2">
      <c r="A329" s="26" t="s">
        <v>36</v>
      </c>
      <c r="B329" t="s">
        <v>69</v>
      </c>
      <c r="C329">
        <v>6</v>
      </c>
      <c r="D329" s="26" t="s">
        <v>401</v>
      </c>
      <c r="E329" t="s">
        <v>71</v>
      </c>
      <c r="F329">
        <v>7</v>
      </c>
      <c r="G329" t="str">
        <f t="shared" si="12"/>
        <v>CoStep6DoubleSupportTimeT7</v>
      </c>
      <c r="J329" s="26" t="s">
        <v>75</v>
      </c>
      <c r="K329">
        <v>155</v>
      </c>
      <c r="L329" t="str">
        <f t="shared" si="11"/>
        <v>O155</v>
      </c>
    </row>
    <row r="330" spans="1:12" x14ac:dyDescent="0.2">
      <c r="A330" s="26" t="s">
        <v>36</v>
      </c>
      <c r="B330" t="s">
        <v>69</v>
      </c>
      <c r="C330">
        <v>6</v>
      </c>
      <c r="D330" s="26" t="s">
        <v>402</v>
      </c>
      <c r="E330" t="s">
        <v>71</v>
      </c>
      <c r="F330">
        <v>7</v>
      </c>
      <c r="G330" t="str">
        <f t="shared" si="12"/>
        <v>CoStep6StanceTimeT7</v>
      </c>
      <c r="J330" s="26" t="s">
        <v>71</v>
      </c>
      <c r="K330">
        <v>155</v>
      </c>
      <c r="L330" t="str">
        <f t="shared" si="11"/>
        <v>T155</v>
      </c>
    </row>
    <row r="331" spans="1:12" x14ac:dyDescent="0.2">
      <c r="A331" s="26" t="s">
        <v>36</v>
      </c>
      <c r="B331" t="s">
        <v>69</v>
      </c>
      <c r="C331">
        <v>7</v>
      </c>
      <c r="D331" s="26" t="s">
        <v>384</v>
      </c>
      <c r="E331" t="s">
        <v>71</v>
      </c>
      <c r="F331">
        <v>7</v>
      </c>
      <c r="G331" t="str">
        <f t="shared" si="12"/>
        <v>CoStep7ColorT7</v>
      </c>
      <c r="J331" s="26" t="s">
        <v>72</v>
      </c>
      <c r="K331">
        <v>188</v>
      </c>
      <c r="L331" t="str">
        <f t="shared" si="11"/>
        <v>B188</v>
      </c>
    </row>
    <row r="332" spans="1:12" x14ac:dyDescent="0.2">
      <c r="A332" s="26" t="s">
        <v>36</v>
      </c>
      <c r="B332" t="s">
        <v>69</v>
      </c>
      <c r="C332">
        <v>7</v>
      </c>
      <c r="D332" t="s">
        <v>68</v>
      </c>
      <c r="E332" t="s">
        <v>71</v>
      </c>
      <c r="F332">
        <v>7</v>
      </c>
      <c r="G332" t="str">
        <f t="shared" si="12"/>
        <v>CoStep7StepLengthT7</v>
      </c>
      <c r="J332" s="26" t="s">
        <v>73</v>
      </c>
      <c r="K332">
        <v>188</v>
      </c>
      <c r="L332" t="str">
        <f t="shared" si="11"/>
        <v>E188</v>
      </c>
    </row>
    <row r="333" spans="1:12" x14ac:dyDescent="0.2">
      <c r="A333" s="26" t="s">
        <v>36</v>
      </c>
      <c r="B333" t="s">
        <v>69</v>
      </c>
      <c r="C333">
        <v>7</v>
      </c>
      <c r="D333" s="26" t="s">
        <v>400</v>
      </c>
      <c r="E333" t="s">
        <v>71</v>
      </c>
      <c r="F333">
        <v>7</v>
      </c>
      <c r="G333" t="str">
        <f t="shared" si="12"/>
        <v>CoStep7StepTimeT7</v>
      </c>
      <c r="J333" s="26" t="s">
        <v>74</v>
      </c>
      <c r="K333">
        <v>188</v>
      </c>
      <c r="L333" t="str">
        <f t="shared" si="11"/>
        <v>J188</v>
      </c>
    </row>
    <row r="334" spans="1:12" x14ac:dyDescent="0.2">
      <c r="A334" s="26" t="s">
        <v>36</v>
      </c>
      <c r="B334" t="s">
        <v>69</v>
      </c>
      <c r="C334">
        <v>7</v>
      </c>
      <c r="D334" s="26" t="s">
        <v>401</v>
      </c>
      <c r="E334" t="s">
        <v>71</v>
      </c>
      <c r="F334">
        <v>7</v>
      </c>
      <c r="G334" t="str">
        <f t="shared" si="12"/>
        <v>CoStep7DoubleSupportTimeT7</v>
      </c>
      <c r="J334" s="26" t="s">
        <v>75</v>
      </c>
      <c r="K334">
        <v>188</v>
      </c>
      <c r="L334" t="str">
        <f t="shared" si="11"/>
        <v>O188</v>
      </c>
    </row>
    <row r="335" spans="1:12" x14ac:dyDescent="0.2">
      <c r="A335" s="26" t="s">
        <v>36</v>
      </c>
      <c r="B335" t="s">
        <v>69</v>
      </c>
      <c r="C335">
        <v>7</v>
      </c>
      <c r="D335" s="26" t="s">
        <v>402</v>
      </c>
      <c r="E335" t="s">
        <v>71</v>
      </c>
      <c r="F335">
        <v>7</v>
      </c>
      <c r="G335" t="str">
        <f t="shared" si="12"/>
        <v>CoStep7StanceTimeT7</v>
      </c>
      <c r="J335" s="26" t="s">
        <v>71</v>
      </c>
      <c r="K335">
        <v>188</v>
      </c>
      <c r="L335" t="str">
        <f t="shared" si="11"/>
        <v>T188</v>
      </c>
    </row>
    <row r="336" spans="1:12" x14ac:dyDescent="0.2">
      <c r="A336" s="26" t="s">
        <v>36</v>
      </c>
      <c r="B336" t="s">
        <v>69</v>
      </c>
      <c r="C336">
        <v>8</v>
      </c>
      <c r="D336" s="26" t="s">
        <v>384</v>
      </c>
      <c r="E336" t="s">
        <v>71</v>
      </c>
      <c r="F336">
        <v>7</v>
      </c>
      <c r="G336" t="str">
        <f t="shared" si="12"/>
        <v>CoStep8ColorT7</v>
      </c>
      <c r="J336" s="26" t="s">
        <v>72</v>
      </c>
      <c r="K336">
        <v>205</v>
      </c>
      <c r="L336" t="str">
        <f t="shared" si="11"/>
        <v>B205</v>
      </c>
    </row>
    <row r="337" spans="1:12" x14ac:dyDescent="0.2">
      <c r="A337" s="26" t="s">
        <v>36</v>
      </c>
      <c r="B337" t="s">
        <v>69</v>
      </c>
      <c r="C337">
        <v>8</v>
      </c>
      <c r="D337" t="s">
        <v>68</v>
      </c>
      <c r="E337" t="s">
        <v>71</v>
      </c>
      <c r="F337">
        <v>7</v>
      </c>
      <c r="G337" t="str">
        <f t="shared" si="12"/>
        <v>CoStep8StepLengthT7</v>
      </c>
      <c r="J337" s="26" t="s">
        <v>73</v>
      </c>
      <c r="K337">
        <v>205</v>
      </c>
      <c r="L337" t="str">
        <f t="shared" si="11"/>
        <v>E205</v>
      </c>
    </row>
    <row r="338" spans="1:12" x14ac:dyDescent="0.2">
      <c r="A338" s="26" t="s">
        <v>36</v>
      </c>
      <c r="B338" t="s">
        <v>69</v>
      </c>
      <c r="C338">
        <v>8</v>
      </c>
      <c r="D338" s="26" t="s">
        <v>400</v>
      </c>
      <c r="E338" t="s">
        <v>71</v>
      </c>
      <c r="F338">
        <v>7</v>
      </c>
      <c r="G338" t="str">
        <f t="shared" si="12"/>
        <v>CoStep8StepTimeT7</v>
      </c>
      <c r="J338" s="26" t="s">
        <v>74</v>
      </c>
      <c r="K338">
        <v>205</v>
      </c>
      <c r="L338" t="str">
        <f t="shared" si="11"/>
        <v>J205</v>
      </c>
    </row>
    <row r="339" spans="1:12" x14ac:dyDescent="0.2">
      <c r="A339" s="26" t="s">
        <v>36</v>
      </c>
      <c r="B339" t="s">
        <v>69</v>
      </c>
      <c r="C339">
        <v>8</v>
      </c>
      <c r="D339" s="26" t="s">
        <v>401</v>
      </c>
      <c r="E339" t="s">
        <v>71</v>
      </c>
      <c r="F339">
        <v>7</v>
      </c>
      <c r="G339" t="str">
        <f t="shared" si="12"/>
        <v>CoStep8DoubleSupportTimeT7</v>
      </c>
      <c r="J339" s="26" t="s">
        <v>75</v>
      </c>
      <c r="K339">
        <v>205</v>
      </c>
      <c r="L339" t="str">
        <f t="shared" si="11"/>
        <v>O205</v>
      </c>
    </row>
    <row r="340" spans="1:12" x14ac:dyDescent="0.2">
      <c r="A340" s="26" t="s">
        <v>36</v>
      </c>
      <c r="B340" t="s">
        <v>69</v>
      </c>
      <c r="C340">
        <v>8</v>
      </c>
      <c r="D340" s="26" t="s">
        <v>402</v>
      </c>
      <c r="E340" t="s">
        <v>71</v>
      </c>
      <c r="F340">
        <v>7</v>
      </c>
      <c r="G340" t="str">
        <f t="shared" si="12"/>
        <v>CoStep8StanceTimeT7</v>
      </c>
      <c r="J340" s="26" t="s">
        <v>71</v>
      </c>
      <c r="K340">
        <v>205</v>
      </c>
      <c r="L340" t="str">
        <f t="shared" si="11"/>
        <v>T205</v>
      </c>
    </row>
    <row r="341" spans="1:12" x14ac:dyDescent="0.2">
      <c r="A341" s="26" t="s">
        <v>36</v>
      </c>
      <c r="B341" t="s">
        <v>69</v>
      </c>
      <c r="C341">
        <v>9</v>
      </c>
      <c r="D341" s="26" t="s">
        <v>384</v>
      </c>
      <c r="E341" t="s">
        <v>71</v>
      </c>
      <c r="F341">
        <v>7</v>
      </c>
      <c r="G341" t="str">
        <f t="shared" si="12"/>
        <v>CoStep9ColorT7</v>
      </c>
      <c r="J341" s="26" t="s">
        <v>72</v>
      </c>
      <c r="K341">
        <v>230</v>
      </c>
      <c r="L341" t="str">
        <f t="shared" si="11"/>
        <v>B230</v>
      </c>
    </row>
    <row r="342" spans="1:12" x14ac:dyDescent="0.2">
      <c r="A342" s="26" t="s">
        <v>36</v>
      </c>
      <c r="B342" t="s">
        <v>69</v>
      </c>
      <c r="C342">
        <v>9</v>
      </c>
      <c r="D342" t="s">
        <v>68</v>
      </c>
      <c r="E342" t="s">
        <v>71</v>
      </c>
      <c r="F342">
        <v>7</v>
      </c>
      <c r="G342" t="str">
        <f t="shared" si="12"/>
        <v>CoStep9StepLengthT7</v>
      </c>
      <c r="J342" s="26" t="s">
        <v>73</v>
      </c>
      <c r="K342">
        <v>230</v>
      </c>
      <c r="L342" t="str">
        <f t="shared" si="11"/>
        <v>E230</v>
      </c>
    </row>
    <row r="343" spans="1:12" x14ac:dyDescent="0.2">
      <c r="A343" s="26" t="s">
        <v>36</v>
      </c>
      <c r="B343" t="s">
        <v>69</v>
      </c>
      <c r="C343">
        <v>9</v>
      </c>
      <c r="D343" s="26" t="s">
        <v>400</v>
      </c>
      <c r="E343" t="s">
        <v>71</v>
      </c>
      <c r="F343">
        <v>7</v>
      </c>
      <c r="G343" t="str">
        <f t="shared" si="12"/>
        <v>CoStep9StepTimeT7</v>
      </c>
      <c r="J343" s="26" t="s">
        <v>74</v>
      </c>
      <c r="K343">
        <v>230</v>
      </c>
      <c r="L343" t="str">
        <f t="shared" si="11"/>
        <v>J230</v>
      </c>
    </row>
    <row r="344" spans="1:12" x14ac:dyDescent="0.2">
      <c r="A344" s="26" t="s">
        <v>36</v>
      </c>
      <c r="B344" t="s">
        <v>69</v>
      </c>
      <c r="C344">
        <v>9</v>
      </c>
      <c r="D344" s="26" t="s">
        <v>401</v>
      </c>
      <c r="E344" t="s">
        <v>71</v>
      </c>
      <c r="F344">
        <v>7</v>
      </c>
      <c r="G344" t="str">
        <f t="shared" si="12"/>
        <v>CoStep9DoubleSupportTimeT7</v>
      </c>
      <c r="J344" s="26" t="s">
        <v>75</v>
      </c>
      <c r="K344">
        <v>230</v>
      </c>
      <c r="L344" t="str">
        <f t="shared" si="11"/>
        <v>O230</v>
      </c>
    </row>
    <row r="345" spans="1:12" x14ac:dyDescent="0.2">
      <c r="A345" s="26" t="s">
        <v>36</v>
      </c>
      <c r="B345" t="s">
        <v>69</v>
      </c>
      <c r="C345">
        <v>9</v>
      </c>
      <c r="D345" s="26" t="s">
        <v>402</v>
      </c>
      <c r="E345" t="s">
        <v>71</v>
      </c>
      <c r="F345">
        <v>7</v>
      </c>
      <c r="G345" t="str">
        <f t="shared" si="12"/>
        <v>CoStep9StanceTimeT7</v>
      </c>
      <c r="J345" s="26" t="s">
        <v>71</v>
      </c>
      <c r="K345">
        <v>230</v>
      </c>
      <c r="L345" t="str">
        <f t="shared" si="11"/>
        <v>T230</v>
      </c>
    </row>
    <row r="346" spans="1:12" x14ac:dyDescent="0.2">
      <c r="A346" s="26" t="s">
        <v>36</v>
      </c>
      <c r="B346" t="s">
        <v>69</v>
      </c>
      <c r="C346">
        <v>10</v>
      </c>
      <c r="D346" s="26" t="s">
        <v>384</v>
      </c>
      <c r="E346" t="s">
        <v>71</v>
      </c>
      <c r="F346">
        <v>7</v>
      </c>
      <c r="G346" t="str">
        <f t="shared" si="12"/>
        <v>CoStep10ColorT7</v>
      </c>
      <c r="J346" s="26" t="s">
        <v>72</v>
      </c>
      <c r="K346">
        <v>255</v>
      </c>
      <c r="L346" t="str">
        <f t="shared" si="11"/>
        <v>B255</v>
      </c>
    </row>
    <row r="347" spans="1:12" x14ac:dyDescent="0.2">
      <c r="A347" s="26" t="s">
        <v>36</v>
      </c>
      <c r="B347" t="s">
        <v>69</v>
      </c>
      <c r="C347">
        <v>10</v>
      </c>
      <c r="D347" t="s">
        <v>68</v>
      </c>
      <c r="E347" t="s">
        <v>71</v>
      </c>
      <c r="F347">
        <v>7</v>
      </c>
      <c r="G347" t="str">
        <f t="shared" si="12"/>
        <v>CoStep10StepLengthT7</v>
      </c>
      <c r="J347" s="26" t="s">
        <v>73</v>
      </c>
      <c r="K347">
        <v>255</v>
      </c>
      <c r="L347" t="str">
        <f t="shared" si="11"/>
        <v>E255</v>
      </c>
    </row>
    <row r="348" spans="1:12" x14ac:dyDescent="0.2">
      <c r="A348" s="26" t="s">
        <v>36</v>
      </c>
      <c r="B348" t="s">
        <v>69</v>
      </c>
      <c r="C348">
        <v>10</v>
      </c>
      <c r="D348" s="26" t="s">
        <v>400</v>
      </c>
      <c r="E348" t="s">
        <v>71</v>
      </c>
      <c r="F348">
        <v>7</v>
      </c>
      <c r="G348" t="str">
        <f t="shared" si="12"/>
        <v>CoStep10StepTimeT7</v>
      </c>
      <c r="J348" s="26" t="s">
        <v>74</v>
      </c>
      <c r="K348">
        <v>255</v>
      </c>
      <c r="L348" t="str">
        <f t="shared" si="11"/>
        <v>J255</v>
      </c>
    </row>
    <row r="349" spans="1:12" x14ac:dyDescent="0.2">
      <c r="A349" s="26" t="s">
        <v>36</v>
      </c>
      <c r="B349" t="s">
        <v>69</v>
      </c>
      <c r="C349">
        <v>10</v>
      </c>
      <c r="D349" s="26" t="s">
        <v>401</v>
      </c>
      <c r="E349" t="s">
        <v>71</v>
      </c>
      <c r="F349">
        <v>7</v>
      </c>
      <c r="G349" t="str">
        <f t="shared" si="12"/>
        <v>CoStep10DoubleSupportTimeT7</v>
      </c>
      <c r="J349" s="26" t="s">
        <v>75</v>
      </c>
      <c r="K349">
        <v>255</v>
      </c>
      <c r="L349" t="str">
        <f t="shared" si="11"/>
        <v>O255</v>
      </c>
    </row>
    <row r="350" spans="1:12" x14ac:dyDescent="0.2">
      <c r="A350" s="26" t="s">
        <v>36</v>
      </c>
      <c r="B350" t="s">
        <v>69</v>
      </c>
      <c r="C350">
        <v>10</v>
      </c>
      <c r="D350" s="26" t="s">
        <v>402</v>
      </c>
      <c r="E350" t="s">
        <v>71</v>
      </c>
      <c r="F350">
        <v>7</v>
      </c>
      <c r="G350" t="str">
        <f t="shared" si="12"/>
        <v>CoStep10StanceTimeT7</v>
      </c>
      <c r="J350" s="26" t="s">
        <v>71</v>
      </c>
      <c r="K350">
        <v>255</v>
      </c>
      <c r="L350" t="str">
        <f t="shared" si="11"/>
        <v>T255</v>
      </c>
    </row>
    <row r="351" spans="1:12" x14ac:dyDescent="0.2">
      <c r="A351" s="26" t="s">
        <v>36</v>
      </c>
      <c r="B351" t="s">
        <v>69</v>
      </c>
      <c r="C351">
        <v>1</v>
      </c>
      <c r="D351" s="26" t="s">
        <v>384</v>
      </c>
      <c r="E351" t="s">
        <v>71</v>
      </c>
      <c r="F351">
        <v>8</v>
      </c>
      <c r="G351" t="str">
        <f t="shared" si="12"/>
        <v>CoStep1ColorT8</v>
      </c>
      <c r="J351" s="26" t="s">
        <v>72</v>
      </c>
      <c r="K351">
        <v>30</v>
      </c>
      <c r="L351" t="str">
        <f>J351&amp;K351</f>
        <v>B30</v>
      </c>
    </row>
    <row r="352" spans="1:12" x14ac:dyDescent="0.2">
      <c r="A352" s="26" t="s">
        <v>36</v>
      </c>
      <c r="B352" t="s">
        <v>69</v>
      </c>
      <c r="C352">
        <v>1</v>
      </c>
      <c r="D352" t="s">
        <v>68</v>
      </c>
      <c r="E352" t="s">
        <v>71</v>
      </c>
      <c r="F352">
        <v>8</v>
      </c>
      <c r="G352" t="str">
        <f t="shared" si="12"/>
        <v>CoStep1StepLengthT8</v>
      </c>
      <c r="J352" s="26" t="s">
        <v>73</v>
      </c>
      <c r="K352">
        <v>30</v>
      </c>
      <c r="L352" t="str">
        <f t="shared" ref="L352:L400" si="13">J352&amp;K352</f>
        <v>E30</v>
      </c>
    </row>
    <row r="353" spans="1:12" x14ac:dyDescent="0.2">
      <c r="A353" s="26" t="s">
        <v>36</v>
      </c>
      <c r="B353" t="s">
        <v>69</v>
      </c>
      <c r="C353">
        <v>1</v>
      </c>
      <c r="D353" s="26" t="s">
        <v>400</v>
      </c>
      <c r="E353" t="s">
        <v>71</v>
      </c>
      <c r="F353">
        <v>8</v>
      </c>
      <c r="G353" t="str">
        <f t="shared" si="12"/>
        <v>CoStep1StepTimeT8</v>
      </c>
      <c r="J353" s="26" t="s">
        <v>74</v>
      </c>
      <c r="K353">
        <v>30</v>
      </c>
      <c r="L353" t="str">
        <f t="shared" si="13"/>
        <v>J30</v>
      </c>
    </row>
    <row r="354" spans="1:12" x14ac:dyDescent="0.2">
      <c r="A354" s="26" t="s">
        <v>36</v>
      </c>
      <c r="B354" t="s">
        <v>69</v>
      </c>
      <c r="C354">
        <v>1</v>
      </c>
      <c r="D354" s="26" t="s">
        <v>401</v>
      </c>
      <c r="E354" t="s">
        <v>71</v>
      </c>
      <c r="F354">
        <v>8</v>
      </c>
      <c r="G354" t="str">
        <f t="shared" si="12"/>
        <v>CoStep1DoubleSupportTimeT8</v>
      </c>
      <c r="J354" s="26" t="s">
        <v>75</v>
      </c>
      <c r="K354">
        <v>30</v>
      </c>
      <c r="L354" t="str">
        <f t="shared" si="13"/>
        <v>O30</v>
      </c>
    </row>
    <row r="355" spans="1:12" x14ac:dyDescent="0.2">
      <c r="A355" s="26" t="s">
        <v>36</v>
      </c>
      <c r="B355" t="s">
        <v>69</v>
      </c>
      <c r="C355">
        <v>1</v>
      </c>
      <c r="D355" s="26" t="s">
        <v>402</v>
      </c>
      <c r="E355" t="s">
        <v>71</v>
      </c>
      <c r="F355">
        <v>8</v>
      </c>
      <c r="G355" t="str">
        <f t="shared" si="12"/>
        <v>CoStep1StanceTimeT8</v>
      </c>
      <c r="J355" s="26" t="s">
        <v>71</v>
      </c>
      <c r="K355">
        <v>30</v>
      </c>
      <c r="L355" t="str">
        <f t="shared" si="13"/>
        <v>T30</v>
      </c>
    </row>
    <row r="356" spans="1:12" x14ac:dyDescent="0.2">
      <c r="A356" s="26" t="s">
        <v>36</v>
      </c>
      <c r="B356" t="s">
        <v>69</v>
      </c>
      <c r="C356">
        <v>2</v>
      </c>
      <c r="D356" s="26" t="s">
        <v>384</v>
      </c>
      <c r="E356" t="s">
        <v>71</v>
      </c>
      <c r="F356">
        <v>8</v>
      </c>
      <c r="G356" t="str">
        <f t="shared" si="12"/>
        <v>CoStep2ColorT8</v>
      </c>
      <c r="J356" s="26" t="s">
        <v>72</v>
      </c>
      <c r="K356">
        <v>55</v>
      </c>
      <c r="L356" t="str">
        <f t="shared" si="13"/>
        <v>B55</v>
      </c>
    </row>
    <row r="357" spans="1:12" x14ac:dyDescent="0.2">
      <c r="A357" s="26" t="s">
        <v>36</v>
      </c>
      <c r="B357" t="s">
        <v>69</v>
      </c>
      <c r="C357">
        <v>2</v>
      </c>
      <c r="D357" t="s">
        <v>68</v>
      </c>
      <c r="E357" t="s">
        <v>71</v>
      </c>
      <c r="F357">
        <v>8</v>
      </c>
      <c r="G357" t="str">
        <f t="shared" si="12"/>
        <v>CoStep2StepLengthT8</v>
      </c>
      <c r="J357" s="26" t="s">
        <v>73</v>
      </c>
      <c r="K357">
        <v>55</v>
      </c>
      <c r="L357" t="str">
        <f t="shared" si="13"/>
        <v>E55</v>
      </c>
    </row>
    <row r="358" spans="1:12" x14ac:dyDescent="0.2">
      <c r="A358" s="26" t="s">
        <v>36</v>
      </c>
      <c r="B358" t="s">
        <v>69</v>
      </c>
      <c r="C358">
        <v>2</v>
      </c>
      <c r="D358" s="26" t="s">
        <v>400</v>
      </c>
      <c r="E358" t="s">
        <v>71</v>
      </c>
      <c r="F358">
        <v>8</v>
      </c>
      <c r="G358" t="str">
        <f t="shared" si="12"/>
        <v>CoStep2StepTimeT8</v>
      </c>
      <c r="J358" s="26" t="s">
        <v>74</v>
      </c>
      <c r="K358">
        <v>55</v>
      </c>
      <c r="L358" t="str">
        <f t="shared" si="13"/>
        <v>J55</v>
      </c>
    </row>
    <row r="359" spans="1:12" x14ac:dyDescent="0.2">
      <c r="A359" s="26" t="s">
        <v>36</v>
      </c>
      <c r="B359" t="s">
        <v>69</v>
      </c>
      <c r="C359">
        <v>2</v>
      </c>
      <c r="D359" s="26" t="s">
        <v>401</v>
      </c>
      <c r="E359" t="s">
        <v>71</v>
      </c>
      <c r="F359">
        <v>8</v>
      </c>
      <c r="G359" t="str">
        <f t="shared" si="12"/>
        <v>CoStep2DoubleSupportTimeT8</v>
      </c>
      <c r="J359" s="26" t="s">
        <v>75</v>
      </c>
      <c r="K359">
        <v>55</v>
      </c>
      <c r="L359" t="str">
        <f t="shared" si="13"/>
        <v>O55</v>
      </c>
    </row>
    <row r="360" spans="1:12" x14ac:dyDescent="0.2">
      <c r="A360" s="26" t="s">
        <v>36</v>
      </c>
      <c r="B360" t="s">
        <v>69</v>
      </c>
      <c r="C360">
        <v>2</v>
      </c>
      <c r="D360" s="26" t="s">
        <v>402</v>
      </c>
      <c r="E360" t="s">
        <v>71</v>
      </c>
      <c r="F360">
        <v>8</v>
      </c>
      <c r="G360" t="str">
        <f t="shared" si="12"/>
        <v>CoStep2StanceTimeT8</v>
      </c>
      <c r="J360" s="26" t="s">
        <v>71</v>
      </c>
      <c r="K360">
        <v>55</v>
      </c>
      <c r="L360" t="str">
        <f t="shared" si="13"/>
        <v>T55</v>
      </c>
    </row>
    <row r="361" spans="1:12" x14ac:dyDescent="0.2">
      <c r="A361" s="26" t="s">
        <v>36</v>
      </c>
      <c r="B361" t="s">
        <v>69</v>
      </c>
      <c r="C361">
        <v>3</v>
      </c>
      <c r="D361" s="26" t="s">
        <v>384</v>
      </c>
      <c r="E361" t="s">
        <v>71</v>
      </c>
      <c r="F361">
        <v>8</v>
      </c>
      <c r="G361" t="str">
        <f t="shared" si="12"/>
        <v>CoStep3ColorT8</v>
      </c>
      <c r="J361" s="26" t="s">
        <v>72</v>
      </c>
      <c r="K361">
        <v>80</v>
      </c>
      <c r="L361" t="str">
        <f t="shared" si="13"/>
        <v>B80</v>
      </c>
    </row>
    <row r="362" spans="1:12" x14ac:dyDescent="0.2">
      <c r="A362" s="26" t="s">
        <v>36</v>
      </c>
      <c r="B362" t="s">
        <v>69</v>
      </c>
      <c r="C362">
        <v>3</v>
      </c>
      <c r="D362" t="s">
        <v>68</v>
      </c>
      <c r="E362" t="s">
        <v>71</v>
      </c>
      <c r="F362">
        <v>8</v>
      </c>
      <c r="G362" t="str">
        <f t="shared" si="12"/>
        <v>CoStep3StepLengthT8</v>
      </c>
      <c r="J362" s="26" t="s">
        <v>73</v>
      </c>
      <c r="K362">
        <v>80</v>
      </c>
      <c r="L362" t="str">
        <f t="shared" si="13"/>
        <v>E80</v>
      </c>
    </row>
    <row r="363" spans="1:12" x14ac:dyDescent="0.2">
      <c r="A363" s="26" t="s">
        <v>36</v>
      </c>
      <c r="B363" t="s">
        <v>69</v>
      </c>
      <c r="C363">
        <v>3</v>
      </c>
      <c r="D363" s="26" t="s">
        <v>400</v>
      </c>
      <c r="E363" t="s">
        <v>71</v>
      </c>
      <c r="F363">
        <v>8</v>
      </c>
      <c r="G363" t="str">
        <f t="shared" si="12"/>
        <v>CoStep3StepTimeT8</v>
      </c>
      <c r="J363" s="26" t="s">
        <v>74</v>
      </c>
      <c r="K363">
        <v>80</v>
      </c>
      <c r="L363" t="str">
        <f t="shared" si="13"/>
        <v>J80</v>
      </c>
    </row>
    <row r="364" spans="1:12" x14ac:dyDescent="0.2">
      <c r="A364" s="26" t="s">
        <v>36</v>
      </c>
      <c r="B364" t="s">
        <v>69</v>
      </c>
      <c r="C364">
        <v>3</v>
      </c>
      <c r="D364" s="26" t="s">
        <v>401</v>
      </c>
      <c r="E364" t="s">
        <v>71</v>
      </c>
      <c r="F364">
        <v>8</v>
      </c>
      <c r="G364" t="str">
        <f t="shared" si="12"/>
        <v>CoStep3DoubleSupportTimeT8</v>
      </c>
      <c r="J364" s="26" t="s">
        <v>75</v>
      </c>
      <c r="K364">
        <v>80</v>
      </c>
      <c r="L364" t="str">
        <f t="shared" si="13"/>
        <v>O80</v>
      </c>
    </row>
    <row r="365" spans="1:12" x14ac:dyDescent="0.2">
      <c r="A365" s="26" t="s">
        <v>36</v>
      </c>
      <c r="B365" t="s">
        <v>69</v>
      </c>
      <c r="C365">
        <v>3</v>
      </c>
      <c r="D365" s="26" t="s">
        <v>402</v>
      </c>
      <c r="E365" t="s">
        <v>71</v>
      </c>
      <c r="F365">
        <v>8</v>
      </c>
      <c r="G365" t="str">
        <f t="shared" si="12"/>
        <v>CoStep3StanceTimeT8</v>
      </c>
      <c r="J365" s="26" t="s">
        <v>71</v>
      </c>
      <c r="K365">
        <v>80</v>
      </c>
      <c r="L365" t="str">
        <f t="shared" si="13"/>
        <v>T80</v>
      </c>
    </row>
    <row r="366" spans="1:12" x14ac:dyDescent="0.2">
      <c r="A366" s="26" t="s">
        <v>36</v>
      </c>
      <c r="B366" t="s">
        <v>69</v>
      </c>
      <c r="C366">
        <v>4</v>
      </c>
      <c r="D366" s="26" t="s">
        <v>384</v>
      </c>
      <c r="E366" t="s">
        <v>71</v>
      </c>
      <c r="F366">
        <v>8</v>
      </c>
      <c r="G366" t="str">
        <f t="shared" si="12"/>
        <v>CoStep4ColorT8</v>
      </c>
      <c r="J366" s="26" t="s">
        <v>72</v>
      </c>
      <c r="K366">
        <v>105</v>
      </c>
      <c r="L366" t="str">
        <f t="shared" si="13"/>
        <v>B105</v>
      </c>
    </row>
    <row r="367" spans="1:12" x14ac:dyDescent="0.2">
      <c r="A367" s="26" t="s">
        <v>36</v>
      </c>
      <c r="B367" t="s">
        <v>69</v>
      </c>
      <c r="C367">
        <v>4</v>
      </c>
      <c r="D367" t="s">
        <v>68</v>
      </c>
      <c r="E367" t="s">
        <v>71</v>
      </c>
      <c r="F367">
        <v>8</v>
      </c>
      <c r="G367" t="str">
        <f t="shared" si="12"/>
        <v>CoStep4StepLengthT8</v>
      </c>
      <c r="J367" s="26" t="s">
        <v>73</v>
      </c>
      <c r="K367">
        <v>105</v>
      </c>
      <c r="L367" t="str">
        <f t="shared" si="13"/>
        <v>E105</v>
      </c>
    </row>
    <row r="368" spans="1:12" x14ac:dyDescent="0.2">
      <c r="A368" s="26" t="s">
        <v>36</v>
      </c>
      <c r="B368" t="s">
        <v>69</v>
      </c>
      <c r="C368">
        <v>4</v>
      </c>
      <c r="D368" s="26" t="s">
        <v>400</v>
      </c>
      <c r="E368" t="s">
        <v>71</v>
      </c>
      <c r="F368">
        <v>8</v>
      </c>
      <c r="G368" t="str">
        <f t="shared" si="12"/>
        <v>CoStep4StepTimeT8</v>
      </c>
      <c r="J368" s="26" t="s">
        <v>74</v>
      </c>
      <c r="K368">
        <v>105</v>
      </c>
      <c r="L368" t="str">
        <f t="shared" si="13"/>
        <v>J105</v>
      </c>
    </row>
    <row r="369" spans="1:12" x14ac:dyDescent="0.2">
      <c r="A369" s="26" t="s">
        <v>36</v>
      </c>
      <c r="B369" t="s">
        <v>69</v>
      </c>
      <c r="C369">
        <v>4</v>
      </c>
      <c r="D369" s="26" t="s">
        <v>401</v>
      </c>
      <c r="E369" t="s">
        <v>71</v>
      </c>
      <c r="F369">
        <v>8</v>
      </c>
      <c r="G369" t="str">
        <f t="shared" si="12"/>
        <v>CoStep4DoubleSupportTimeT8</v>
      </c>
      <c r="J369" s="26" t="s">
        <v>75</v>
      </c>
      <c r="K369">
        <v>105</v>
      </c>
      <c r="L369" t="str">
        <f t="shared" si="13"/>
        <v>O105</v>
      </c>
    </row>
    <row r="370" spans="1:12" x14ac:dyDescent="0.2">
      <c r="A370" s="26" t="s">
        <v>36</v>
      </c>
      <c r="B370" t="s">
        <v>69</v>
      </c>
      <c r="C370">
        <v>4</v>
      </c>
      <c r="D370" s="26" t="s">
        <v>402</v>
      </c>
      <c r="E370" t="s">
        <v>71</v>
      </c>
      <c r="F370">
        <v>8</v>
      </c>
      <c r="G370" t="str">
        <f t="shared" si="12"/>
        <v>CoStep4StanceTimeT8</v>
      </c>
      <c r="J370" s="26" t="s">
        <v>71</v>
      </c>
      <c r="K370">
        <v>105</v>
      </c>
      <c r="L370" t="str">
        <f t="shared" si="13"/>
        <v>T105</v>
      </c>
    </row>
    <row r="371" spans="1:12" x14ac:dyDescent="0.2">
      <c r="A371" s="26" t="s">
        <v>36</v>
      </c>
      <c r="B371" t="s">
        <v>69</v>
      </c>
      <c r="C371">
        <v>5</v>
      </c>
      <c r="D371" s="26" t="s">
        <v>384</v>
      </c>
      <c r="E371" t="s">
        <v>71</v>
      </c>
      <c r="F371">
        <v>8</v>
      </c>
      <c r="G371" t="str">
        <f t="shared" si="12"/>
        <v>CoStep5ColorT8</v>
      </c>
      <c r="J371" s="26" t="s">
        <v>72</v>
      </c>
      <c r="K371">
        <v>130</v>
      </c>
      <c r="L371" t="str">
        <f t="shared" si="13"/>
        <v>B130</v>
      </c>
    </row>
    <row r="372" spans="1:12" x14ac:dyDescent="0.2">
      <c r="A372" s="26" t="s">
        <v>36</v>
      </c>
      <c r="B372" t="s">
        <v>69</v>
      </c>
      <c r="C372">
        <v>5</v>
      </c>
      <c r="D372" t="s">
        <v>68</v>
      </c>
      <c r="E372" t="s">
        <v>71</v>
      </c>
      <c r="F372">
        <v>8</v>
      </c>
      <c r="G372" t="str">
        <f t="shared" si="12"/>
        <v>CoStep5StepLengthT8</v>
      </c>
      <c r="J372" s="26" t="s">
        <v>73</v>
      </c>
      <c r="K372">
        <v>130</v>
      </c>
      <c r="L372" t="str">
        <f t="shared" si="13"/>
        <v>E130</v>
      </c>
    </row>
    <row r="373" spans="1:12" x14ac:dyDescent="0.2">
      <c r="A373" s="26" t="s">
        <v>36</v>
      </c>
      <c r="B373" t="s">
        <v>69</v>
      </c>
      <c r="C373">
        <v>5</v>
      </c>
      <c r="D373" s="26" t="s">
        <v>400</v>
      </c>
      <c r="E373" t="s">
        <v>71</v>
      </c>
      <c r="F373">
        <v>8</v>
      </c>
      <c r="G373" t="str">
        <f t="shared" si="12"/>
        <v>CoStep5StepTimeT8</v>
      </c>
      <c r="J373" s="26" t="s">
        <v>74</v>
      </c>
      <c r="K373">
        <v>130</v>
      </c>
      <c r="L373" t="str">
        <f t="shared" si="13"/>
        <v>J130</v>
      </c>
    </row>
    <row r="374" spans="1:12" x14ac:dyDescent="0.2">
      <c r="A374" s="26" t="s">
        <v>36</v>
      </c>
      <c r="B374" t="s">
        <v>69</v>
      </c>
      <c r="C374">
        <v>5</v>
      </c>
      <c r="D374" s="26" t="s">
        <v>401</v>
      </c>
      <c r="E374" t="s">
        <v>71</v>
      </c>
      <c r="F374">
        <v>8</v>
      </c>
      <c r="G374" t="str">
        <f t="shared" si="12"/>
        <v>CoStep5DoubleSupportTimeT8</v>
      </c>
      <c r="J374" s="26" t="s">
        <v>75</v>
      </c>
      <c r="K374">
        <v>130</v>
      </c>
      <c r="L374" t="str">
        <f t="shared" si="13"/>
        <v>O130</v>
      </c>
    </row>
    <row r="375" spans="1:12" x14ac:dyDescent="0.2">
      <c r="A375" s="26" t="s">
        <v>36</v>
      </c>
      <c r="B375" t="s">
        <v>69</v>
      </c>
      <c r="C375">
        <v>5</v>
      </c>
      <c r="D375" s="26" t="s">
        <v>402</v>
      </c>
      <c r="E375" t="s">
        <v>71</v>
      </c>
      <c r="F375">
        <v>8</v>
      </c>
      <c r="G375" t="str">
        <f t="shared" si="12"/>
        <v>CoStep5StanceTimeT8</v>
      </c>
      <c r="J375" s="26" t="s">
        <v>71</v>
      </c>
      <c r="K375">
        <v>130</v>
      </c>
      <c r="L375" t="str">
        <f t="shared" si="13"/>
        <v>T130</v>
      </c>
    </row>
    <row r="376" spans="1:12" x14ac:dyDescent="0.2">
      <c r="A376" s="26" t="s">
        <v>36</v>
      </c>
      <c r="B376" t="s">
        <v>69</v>
      </c>
      <c r="C376">
        <v>6</v>
      </c>
      <c r="D376" s="26" t="s">
        <v>384</v>
      </c>
      <c r="E376" t="s">
        <v>71</v>
      </c>
      <c r="F376">
        <v>8</v>
      </c>
      <c r="G376" t="str">
        <f t="shared" si="12"/>
        <v>CoStep6ColorT8</v>
      </c>
      <c r="J376" s="26" t="s">
        <v>72</v>
      </c>
      <c r="K376">
        <v>155</v>
      </c>
      <c r="L376" t="str">
        <f t="shared" si="13"/>
        <v>B155</v>
      </c>
    </row>
    <row r="377" spans="1:12" x14ac:dyDescent="0.2">
      <c r="A377" s="26" t="s">
        <v>36</v>
      </c>
      <c r="B377" t="s">
        <v>69</v>
      </c>
      <c r="C377">
        <v>6</v>
      </c>
      <c r="D377" t="s">
        <v>68</v>
      </c>
      <c r="E377" t="s">
        <v>71</v>
      </c>
      <c r="F377">
        <v>8</v>
      </c>
      <c r="G377" t="str">
        <f t="shared" si="12"/>
        <v>CoStep6StepLengthT8</v>
      </c>
      <c r="J377" s="26" t="s">
        <v>73</v>
      </c>
      <c r="K377">
        <v>155</v>
      </c>
      <c r="L377" t="str">
        <f t="shared" si="13"/>
        <v>E155</v>
      </c>
    </row>
    <row r="378" spans="1:12" x14ac:dyDescent="0.2">
      <c r="A378" s="26" t="s">
        <v>36</v>
      </c>
      <c r="B378" t="s">
        <v>69</v>
      </c>
      <c r="C378">
        <v>6</v>
      </c>
      <c r="D378" s="26" t="s">
        <v>400</v>
      </c>
      <c r="E378" t="s">
        <v>71</v>
      </c>
      <c r="F378">
        <v>8</v>
      </c>
      <c r="G378" t="str">
        <f t="shared" si="12"/>
        <v>CoStep6StepTimeT8</v>
      </c>
      <c r="J378" s="26" t="s">
        <v>74</v>
      </c>
      <c r="K378">
        <v>155</v>
      </c>
      <c r="L378" t="str">
        <f t="shared" si="13"/>
        <v>J155</v>
      </c>
    </row>
    <row r="379" spans="1:12" x14ac:dyDescent="0.2">
      <c r="A379" s="26" t="s">
        <v>36</v>
      </c>
      <c r="B379" t="s">
        <v>69</v>
      </c>
      <c r="C379">
        <v>6</v>
      </c>
      <c r="D379" s="26" t="s">
        <v>401</v>
      </c>
      <c r="E379" t="s">
        <v>71</v>
      </c>
      <c r="F379">
        <v>8</v>
      </c>
      <c r="G379" t="str">
        <f t="shared" si="12"/>
        <v>CoStep6DoubleSupportTimeT8</v>
      </c>
      <c r="J379" s="26" t="s">
        <v>75</v>
      </c>
      <c r="K379">
        <v>155</v>
      </c>
      <c r="L379" t="str">
        <f t="shared" si="13"/>
        <v>O155</v>
      </c>
    </row>
    <row r="380" spans="1:12" x14ac:dyDescent="0.2">
      <c r="A380" s="26" t="s">
        <v>36</v>
      </c>
      <c r="B380" t="s">
        <v>69</v>
      </c>
      <c r="C380">
        <v>6</v>
      </c>
      <c r="D380" s="26" t="s">
        <v>402</v>
      </c>
      <c r="E380" t="s">
        <v>71</v>
      </c>
      <c r="F380">
        <v>8</v>
      </c>
      <c r="G380" t="str">
        <f t="shared" si="12"/>
        <v>CoStep6StanceTimeT8</v>
      </c>
      <c r="J380" s="26" t="s">
        <v>71</v>
      </c>
      <c r="K380">
        <v>155</v>
      </c>
      <c r="L380" t="str">
        <f t="shared" si="13"/>
        <v>T155</v>
      </c>
    </row>
    <row r="381" spans="1:12" x14ac:dyDescent="0.2">
      <c r="A381" s="26" t="s">
        <v>36</v>
      </c>
      <c r="B381" t="s">
        <v>69</v>
      </c>
      <c r="C381">
        <v>7</v>
      </c>
      <c r="D381" s="26" t="s">
        <v>384</v>
      </c>
      <c r="E381" t="s">
        <v>71</v>
      </c>
      <c r="F381">
        <v>8</v>
      </c>
      <c r="G381" t="str">
        <f t="shared" si="12"/>
        <v>CoStep7ColorT8</v>
      </c>
      <c r="J381" s="26" t="s">
        <v>72</v>
      </c>
      <c r="K381">
        <v>188</v>
      </c>
      <c r="L381" t="str">
        <f t="shared" si="13"/>
        <v>B188</v>
      </c>
    </row>
    <row r="382" spans="1:12" x14ac:dyDescent="0.2">
      <c r="A382" s="26" t="s">
        <v>36</v>
      </c>
      <c r="B382" t="s">
        <v>69</v>
      </c>
      <c r="C382">
        <v>7</v>
      </c>
      <c r="D382" t="s">
        <v>68</v>
      </c>
      <c r="E382" t="s">
        <v>71</v>
      </c>
      <c r="F382">
        <v>8</v>
      </c>
      <c r="G382" t="str">
        <f t="shared" si="12"/>
        <v>CoStep7StepLengthT8</v>
      </c>
      <c r="J382" s="26" t="s">
        <v>73</v>
      </c>
      <c r="K382">
        <v>188</v>
      </c>
      <c r="L382" t="str">
        <f t="shared" si="13"/>
        <v>E188</v>
      </c>
    </row>
    <row r="383" spans="1:12" x14ac:dyDescent="0.2">
      <c r="A383" s="26" t="s">
        <v>36</v>
      </c>
      <c r="B383" t="s">
        <v>69</v>
      </c>
      <c r="C383">
        <v>7</v>
      </c>
      <c r="D383" s="26" t="s">
        <v>400</v>
      </c>
      <c r="E383" t="s">
        <v>71</v>
      </c>
      <c r="F383">
        <v>8</v>
      </c>
      <c r="G383" t="str">
        <f t="shared" si="12"/>
        <v>CoStep7StepTimeT8</v>
      </c>
      <c r="J383" s="26" t="s">
        <v>74</v>
      </c>
      <c r="K383">
        <v>188</v>
      </c>
      <c r="L383" t="str">
        <f t="shared" si="13"/>
        <v>J188</v>
      </c>
    </row>
    <row r="384" spans="1:12" x14ac:dyDescent="0.2">
      <c r="A384" s="26" t="s">
        <v>36</v>
      </c>
      <c r="B384" t="s">
        <v>69</v>
      </c>
      <c r="C384">
        <v>7</v>
      </c>
      <c r="D384" s="26" t="s">
        <v>401</v>
      </c>
      <c r="E384" t="s">
        <v>71</v>
      </c>
      <c r="F384">
        <v>8</v>
      </c>
      <c r="G384" t="str">
        <f t="shared" si="12"/>
        <v>CoStep7DoubleSupportTimeT8</v>
      </c>
      <c r="J384" s="26" t="s">
        <v>75</v>
      </c>
      <c r="K384">
        <v>188</v>
      </c>
      <c r="L384" t="str">
        <f t="shared" si="13"/>
        <v>O188</v>
      </c>
    </row>
    <row r="385" spans="1:12" x14ac:dyDescent="0.2">
      <c r="A385" s="26" t="s">
        <v>36</v>
      </c>
      <c r="B385" t="s">
        <v>69</v>
      </c>
      <c r="C385">
        <v>7</v>
      </c>
      <c r="D385" s="26" t="s">
        <v>402</v>
      </c>
      <c r="E385" t="s">
        <v>71</v>
      </c>
      <c r="F385">
        <v>8</v>
      </c>
      <c r="G385" t="str">
        <f t="shared" si="12"/>
        <v>CoStep7StanceTimeT8</v>
      </c>
      <c r="J385" s="26" t="s">
        <v>71</v>
      </c>
      <c r="K385">
        <v>188</v>
      </c>
      <c r="L385" t="str">
        <f t="shared" si="13"/>
        <v>T188</v>
      </c>
    </row>
    <row r="386" spans="1:12" x14ac:dyDescent="0.2">
      <c r="A386" s="26" t="s">
        <v>36</v>
      </c>
      <c r="B386" t="s">
        <v>69</v>
      </c>
      <c r="C386">
        <v>8</v>
      </c>
      <c r="D386" s="26" t="s">
        <v>384</v>
      </c>
      <c r="E386" t="s">
        <v>71</v>
      </c>
      <c r="F386">
        <v>8</v>
      </c>
      <c r="G386" t="str">
        <f t="shared" si="12"/>
        <v>CoStep8ColorT8</v>
      </c>
      <c r="J386" s="26" t="s">
        <v>72</v>
      </c>
      <c r="K386">
        <v>205</v>
      </c>
      <c r="L386" t="str">
        <f t="shared" si="13"/>
        <v>B205</v>
      </c>
    </row>
    <row r="387" spans="1:12" x14ac:dyDescent="0.2">
      <c r="A387" s="26" t="s">
        <v>36</v>
      </c>
      <c r="B387" t="s">
        <v>69</v>
      </c>
      <c r="C387">
        <v>8</v>
      </c>
      <c r="D387" t="s">
        <v>68</v>
      </c>
      <c r="E387" t="s">
        <v>71</v>
      </c>
      <c r="F387">
        <v>8</v>
      </c>
      <c r="G387" t="str">
        <f t="shared" si="12"/>
        <v>CoStep8StepLengthT8</v>
      </c>
      <c r="J387" s="26" t="s">
        <v>73</v>
      </c>
      <c r="K387">
        <v>205</v>
      </c>
      <c r="L387" t="str">
        <f t="shared" si="13"/>
        <v>E205</v>
      </c>
    </row>
    <row r="388" spans="1:12" x14ac:dyDescent="0.2">
      <c r="A388" s="26" t="s">
        <v>36</v>
      </c>
      <c r="B388" t="s">
        <v>69</v>
      </c>
      <c r="C388">
        <v>8</v>
      </c>
      <c r="D388" s="26" t="s">
        <v>400</v>
      </c>
      <c r="E388" t="s">
        <v>71</v>
      </c>
      <c r="F388">
        <v>8</v>
      </c>
      <c r="G388" t="str">
        <f t="shared" si="12"/>
        <v>CoStep8StepTimeT8</v>
      </c>
      <c r="J388" s="26" t="s">
        <v>74</v>
      </c>
      <c r="K388">
        <v>205</v>
      </c>
      <c r="L388" t="str">
        <f t="shared" si="13"/>
        <v>J205</v>
      </c>
    </row>
    <row r="389" spans="1:12" x14ac:dyDescent="0.2">
      <c r="A389" s="26" t="s">
        <v>36</v>
      </c>
      <c r="B389" t="s">
        <v>69</v>
      </c>
      <c r="C389">
        <v>8</v>
      </c>
      <c r="D389" s="26" t="s">
        <v>401</v>
      </c>
      <c r="E389" t="s">
        <v>71</v>
      </c>
      <c r="F389">
        <v>8</v>
      </c>
      <c r="G389" t="str">
        <f t="shared" si="12"/>
        <v>CoStep8DoubleSupportTimeT8</v>
      </c>
      <c r="J389" s="26" t="s">
        <v>75</v>
      </c>
      <c r="K389">
        <v>205</v>
      </c>
      <c r="L389" t="str">
        <f t="shared" si="13"/>
        <v>O205</v>
      </c>
    </row>
    <row r="390" spans="1:12" x14ac:dyDescent="0.2">
      <c r="A390" s="26" t="s">
        <v>36</v>
      </c>
      <c r="B390" t="s">
        <v>69</v>
      </c>
      <c r="C390">
        <v>8</v>
      </c>
      <c r="D390" s="26" t="s">
        <v>402</v>
      </c>
      <c r="E390" t="s">
        <v>71</v>
      </c>
      <c r="F390">
        <v>8</v>
      </c>
      <c r="G390" t="str">
        <f t="shared" ref="G390:G453" si="14">A390&amp;B390&amp;C390&amp;D390&amp;E390&amp;F390</f>
        <v>CoStep8StanceTimeT8</v>
      </c>
      <c r="J390" s="26" t="s">
        <v>71</v>
      </c>
      <c r="K390">
        <v>205</v>
      </c>
      <c r="L390" t="str">
        <f t="shared" si="13"/>
        <v>T205</v>
      </c>
    </row>
    <row r="391" spans="1:12" x14ac:dyDescent="0.2">
      <c r="A391" s="26" t="s">
        <v>36</v>
      </c>
      <c r="B391" t="s">
        <v>69</v>
      </c>
      <c r="C391">
        <v>9</v>
      </c>
      <c r="D391" s="26" t="s">
        <v>384</v>
      </c>
      <c r="E391" t="s">
        <v>71</v>
      </c>
      <c r="F391">
        <v>8</v>
      </c>
      <c r="G391" t="str">
        <f t="shared" si="14"/>
        <v>CoStep9ColorT8</v>
      </c>
      <c r="J391" s="26" t="s">
        <v>72</v>
      </c>
      <c r="K391">
        <v>230</v>
      </c>
      <c r="L391" t="str">
        <f t="shared" si="13"/>
        <v>B230</v>
      </c>
    </row>
    <row r="392" spans="1:12" x14ac:dyDescent="0.2">
      <c r="A392" s="26" t="s">
        <v>36</v>
      </c>
      <c r="B392" t="s">
        <v>69</v>
      </c>
      <c r="C392">
        <v>9</v>
      </c>
      <c r="D392" t="s">
        <v>68</v>
      </c>
      <c r="E392" t="s">
        <v>71</v>
      </c>
      <c r="F392">
        <v>8</v>
      </c>
      <c r="G392" t="str">
        <f t="shared" si="14"/>
        <v>CoStep9StepLengthT8</v>
      </c>
      <c r="J392" s="26" t="s">
        <v>73</v>
      </c>
      <c r="K392">
        <v>230</v>
      </c>
      <c r="L392" t="str">
        <f t="shared" si="13"/>
        <v>E230</v>
      </c>
    </row>
    <row r="393" spans="1:12" x14ac:dyDescent="0.2">
      <c r="A393" s="26" t="s">
        <v>36</v>
      </c>
      <c r="B393" t="s">
        <v>69</v>
      </c>
      <c r="C393">
        <v>9</v>
      </c>
      <c r="D393" s="26" t="s">
        <v>400</v>
      </c>
      <c r="E393" t="s">
        <v>71</v>
      </c>
      <c r="F393">
        <v>8</v>
      </c>
      <c r="G393" t="str">
        <f t="shared" si="14"/>
        <v>CoStep9StepTimeT8</v>
      </c>
      <c r="J393" s="26" t="s">
        <v>74</v>
      </c>
      <c r="K393">
        <v>230</v>
      </c>
      <c r="L393" t="str">
        <f t="shared" si="13"/>
        <v>J230</v>
      </c>
    </row>
    <row r="394" spans="1:12" x14ac:dyDescent="0.2">
      <c r="A394" s="26" t="s">
        <v>36</v>
      </c>
      <c r="B394" t="s">
        <v>69</v>
      </c>
      <c r="C394">
        <v>9</v>
      </c>
      <c r="D394" s="26" t="s">
        <v>401</v>
      </c>
      <c r="E394" t="s">
        <v>71</v>
      </c>
      <c r="F394">
        <v>8</v>
      </c>
      <c r="G394" t="str">
        <f t="shared" si="14"/>
        <v>CoStep9DoubleSupportTimeT8</v>
      </c>
      <c r="J394" s="26" t="s">
        <v>75</v>
      </c>
      <c r="K394">
        <v>230</v>
      </c>
      <c r="L394" t="str">
        <f t="shared" si="13"/>
        <v>O230</v>
      </c>
    </row>
    <row r="395" spans="1:12" x14ac:dyDescent="0.2">
      <c r="A395" s="26" t="s">
        <v>36</v>
      </c>
      <c r="B395" t="s">
        <v>69</v>
      </c>
      <c r="C395">
        <v>9</v>
      </c>
      <c r="D395" s="26" t="s">
        <v>402</v>
      </c>
      <c r="E395" t="s">
        <v>71</v>
      </c>
      <c r="F395">
        <v>8</v>
      </c>
      <c r="G395" t="str">
        <f t="shared" si="14"/>
        <v>CoStep9StanceTimeT8</v>
      </c>
      <c r="J395" s="26" t="s">
        <v>71</v>
      </c>
      <c r="K395">
        <v>230</v>
      </c>
      <c r="L395" t="str">
        <f t="shared" si="13"/>
        <v>T230</v>
      </c>
    </row>
    <row r="396" spans="1:12" x14ac:dyDescent="0.2">
      <c r="A396" s="26" t="s">
        <v>36</v>
      </c>
      <c r="B396" t="s">
        <v>69</v>
      </c>
      <c r="C396">
        <v>10</v>
      </c>
      <c r="D396" s="26" t="s">
        <v>384</v>
      </c>
      <c r="E396" t="s">
        <v>71</v>
      </c>
      <c r="F396">
        <v>8</v>
      </c>
      <c r="G396" t="str">
        <f t="shared" si="14"/>
        <v>CoStep10ColorT8</v>
      </c>
      <c r="J396" s="26" t="s">
        <v>72</v>
      </c>
      <c r="K396">
        <v>255</v>
      </c>
      <c r="L396" t="str">
        <f t="shared" si="13"/>
        <v>B255</v>
      </c>
    </row>
    <row r="397" spans="1:12" x14ac:dyDescent="0.2">
      <c r="A397" s="26" t="s">
        <v>36</v>
      </c>
      <c r="B397" t="s">
        <v>69</v>
      </c>
      <c r="C397">
        <v>10</v>
      </c>
      <c r="D397" t="s">
        <v>68</v>
      </c>
      <c r="E397" t="s">
        <v>71</v>
      </c>
      <c r="F397">
        <v>8</v>
      </c>
      <c r="G397" t="str">
        <f t="shared" si="14"/>
        <v>CoStep10StepLengthT8</v>
      </c>
      <c r="J397" s="26" t="s">
        <v>73</v>
      </c>
      <c r="K397">
        <v>255</v>
      </c>
      <c r="L397" t="str">
        <f t="shared" si="13"/>
        <v>E255</v>
      </c>
    </row>
    <row r="398" spans="1:12" x14ac:dyDescent="0.2">
      <c r="A398" s="26" t="s">
        <v>36</v>
      </c>
      <c r="B398" t="s">
        <v>69</v>
      </c>
      <c r="C398">
        <v>10</v>
      </c>
      <c r="D398" s="26" t="s">
        <v>400</v>
      </c>
      <c r="E398" t="s">
        <v>71</v>
      </c>
      <c r="F398">
        <v>8</v>
      </c>
      <c r="G398" t="str">
        <f t="shared" si="14"/>
        <v>CoStep10StepTimeT8</v>
      </c>
      <c r="J398" s="26" t="s">
        <v>74</v>
      </c>
      <c r="K398">
        <v>255</v>
      </c>
      <c r="L398" t="str">
        <f t="shared" si="13"/>
        <v>J255</v>
      </c>
    </row>
    <row r="399" spans="1:12" x14ac:dyDescent="0.2">
      <c r="A399" s="26" t="s">
        <v>36</v>
      </c>
      <c r="B399" t="s">
        <v>69</v>
      </c>
      <c r="C399">
        <v>10</v>
      </c>
      <c r="D399" s="26" t="s">
        <v>401</v>
      </c>
      <c r="E399" t="s">
        <v>71</v>
      </c>
      <c r="F399">
        <v>8</v>
      </c>
      <c r="G399" t="str">
        <f t="shared" si="14"/>
        <v>CoStep10DoubleSupportTimeT8</v>
      </c>
      <c r="J399" s="26" t="s">
        <v>75</v>
      </c>
      <c r="K399">
        <v>255</v>
      </c>
      <c r="L399" t="str">
        <f t="shared" si="13"/>
        <v>O255</v>
      </c>
    </row>
    <row r="400" spans="1:12" x14ac:dyDescent="0.2">
      <c r="A400" s="26" t="s">
        <v>36</v>
      </c>
      <c r="B400" t="s">
        <v>69</v>
      </c>
      <c r="C400">
        <v>10</v>
      </c>
      <c r="D400" s="26" t="s">
        <v>402</v>
      </c>
      <c r="E400" t="s">
        <v>71</v>
      </c>
      <c r="F400">
        <v>8</v>
      </c>
      <c r="G400" t="str">
        <f t="shared" si="14"/>
        <v>CoStep10StanceTimeT8</v>
      </c>
      <c r="J400" s="26" t="s">
        <v>71</v>
      </c>
      <c r="K400">
        <v>255</v>
      </c>
      <c r="L400" t="str">
        <f t="shared" si="13"/>
        <v>T255</v>
      </c>
    </row>
    <row r="401" spans="1:12" x14ac:dyDescent="0.2">
      <c r="A401" s="26" t="s">
        <v>36</v>
      </c>
      <c r="B401" t="s">
        <v>69</v>
      </c>
      <c r="C401">
        <v>1</v>
      </c>
      <c r="D401" s="26" t="s">
        <v>384</v>
      </c>
      <c r="E401" t="s">
        <v>71</v>
      </c>
      <c r="F401">
        <v>9</v>
      </c>
      <c r="G401" t="str">
        <f t="shared" si="14"/>
        <v>CoStep1ColorT9</v>
      </c>
      <c r="J401" s="26" t="s">
        <v>72</v>
      </c>
      <c r="K401">
        <v>30</v>
      </c>
      <c r="L401" t="str">
        <f>J401&amp;K401</f>
        <v>B30</v>
      </c>
    </row>
    <row r="402" spans="1:12" x14ac:dyDescent="0.2">
      <c r="A402" s="26" t="s">
        <v>36</v>
      </c>
      <c r="B402" t="s">
        <v>69</v>
      </c>
      <c r="C402">
        <v>1</v>
      </c>
      <c r="D402" t="s">
        <v>68</v>
      </c>
      <c r="E402" t="s">
        <v>71</v>
      </c>
      <c r="F402">
        <v>9</v>
      </c>
      <c r="G402" t="str">
        <f t="shared" si="14"/>
        <v>CoStep1StepLengthT9</v>
      </c>
      <c r="J402" s="26" t="s">
        <v>73</v>
      </c>
      <c r="K402">
        <v>30</v>
      </c>
      <c r="L402" t="str">
        <f t="shared" ref="L402:L450" si="15">J402&amp;K402</f>
        <v>E30</v>
      </c>
    </row>
    <row r="403" spans="1:12" x14ac:dyDescent="0.2">
      <c r="A403" s="26" t="s">
        <v>36</v>
      </c>
      <c r="B403" t="s">
        <v>69</v>
      </c>
      <c r="C403">
        <v>1</v>
      </c>
      <c r="D403" s="26" t="s">
        <v>400</v>
      </c>
      <c r="E403" t="s">
        <v>71</v>
      </c>
      <c r="F403">
        <v>9</v>
      </c>
      <c r="G403" t="str">
        <f t="shared" si="14"/>
        <v>CoStep1StepTimeT9</v>
      </c>
      <c r="J403" s="26" t="s">
        <v>74</v>
      </c>
      <c r="K403">
        <v>30</v>
      </c>
      <c r="L403" t="str">
        <f t="shared" si="15"/>
        <v>J30</v>
      </c>
    </row>
    <row r="404" spans="1:12" x14ac:dyDescent="0.2">
      <c r="A404" s="26" t="s">
        <v>36</v>
      </c>
      <c r="B404" t="s">
        <v>69</v>
      </c>
      <c r="C404">
        <v>1</v>
      </c>
      <c r="D404" s="26" t="s">
        <v>401</v>
      </c>
      <c r="E404" t="s">
        <v>71</v>
      </c>
      <c r="F404">
        <v>9</v>
      </c>
      <c r="G404" t="str">
        <f t="shared" si="14"/>
        <v>CoStep1DoubleSupportTimeT9</v>
      </c>
      <c r="J404" s="26" t="s">
        <v>75</v>
      </c>
      <c r="K404">
        <v>30</v>
      </c>
      <c r="L404" t="str">
        <f t="shared" si="15"/>
        <v>O30</v>
      </c>
    </row>
    <row r="405" spans="1:12" x14ac:dyDescent="0.2">
      <c r="A405" s="26" t="s">
        <v>36</v>
      </c>
      <c r="B405" t="s">
        <v>69</v>
      </c>
      <c r="C405">
        <v>1</v>
      </c>
      <c r="D405" s="26" t="s">
        <v>402</v>
      </c>
      <c r="E405" t="s">
        <v>71</v>
      </c>
      <c r="F405">
        <v>9</v>
      </c>
      <c r="G405" t="str">
        <f t="shared" si="14"/>
        <v>CoStep1StanceTimeT9</v>
      </c>
      <c r="J405" s="26" t="s">
        <v>71</v>
      </c>
      <c r="K405">
        <v>30</v>
      </c>
      <c r="L405" t="str">
        <f t="shared" si="15"/>
        <v>T30</v>
      </c>
    </row>
    <row r="406" spans="1:12" x14ac:dyDescent="0.2">
      <c r="A406" s="26" t="s">
        <v>36</v>
      </c>
      <c r="B406" t="s">
        <v>69</v>
      </c>
      <c r="C406">
        <v>2</v>
      </c>
      <c r="D406" s="26" t="s">
        <v>384</v>
      </c>
      <c r="E406" t="s">
        <v>71</v>
      </c>
      <c r="F406">
        <v>9</v>
      </c>
      <c r="G406" t="str">
        <f t="shared" si="14"/>
        <v>CoStep2ColorT9</v>
      </c>
      <c r="J406" s="26" t="s">
        <v>72</v>
      </c>
      <c r="K406">
        <v>55</v>
      </c>
      <c r="L406" t="str">
        <f t="shared" si="15"/>
        <v>B55</v>
      </c>
    </row>
    <row r="407" spans="1:12" x14ac:dyDescent="0.2">
      <c r="A407" s="26" t="s">
        <v>36</v>
      </c>
      <c r="B407" t="s">
        <v>69</v>
      </c>
      <c r="C407">
        <v>2</v>
      </c>
      <c r="D407" t="s">
        <v>68</v>
      </c>
      <c r="E407" t="s">
        <v>71</v>
      </c>
      <c r="F407">
        <v>9</v>
      </c>
      <c r="G407" t="str">
        <f t="shared" si="14"/>
        <v>CoStep2StepLengthT9</v>
      </c>
      <c r="J407" s="26" t="s">
        <v>73</v>
      </c>
      <c r="K407">
        <v>55</v>
      </c>
      <c r="L407" t="str">
        <f t="shared" si="15"/>
        <v>E55</v>
      </c>
    </row>
    <row r="408" spans="1:12" x14ac:dyDescent="0.2">
      <c r="A408" s="26" t="s">
        <v>36</v>
      </c>
      <c r="B408" t="s">
        <v>69</v>
      </c>
      <c r="C408">
        <v>2</v>
      </c>
      <c r="D408" s="26" t="s">
        <v>400</v>
      </c>
      <c r="E408" t="s">
        <v>71</v>
      </c>
      <c r="F408">
        <v>9</v>
      </c>
      <c r="G408" t="str">
        <f t="shared" si="14"/>
        <v>CoStep2StepTimeT9</v>
      </c>
      <c r="J408" s="26" t="s">
        <v>74</v>
      </c>
      <c r="K408">
        <v>55</v>
      </c>
      <c r="L408" t="str">
        <f t="shared" si="15"/>
        <v>J55</v>
      </c>
    </row>
    <row r="409" spans="1:12" x14ac:dyDescent="0.2">
      <c r="A409" s="26" t="s">
        <v>36</v>
      </c>
      <c r="B409" t="s">
        <v>69</v>
      </c>
      <c r="C409">
        <v>2</v>
      </c>
      <c r="D409" s="26" t="s">
        <v>401</v>
      </c>
      <c r="E409" t="s">
        <v>71</v>
      </c>
      <c r="F409">
        <v>9</v>
      </c>
      <c r="G409" t="str">
        <f t="shared" si="14"/>
        <v>CoStep2DoubleSupportTimeT9</v>
      </c>
      <c r="J409" s="26" t="s">
        <v>75</v>
      </c>
      <c r="K409">
        <v>55</v>
      </c>
      <c r="L409" t="str">
        <f t="shared" si="15"/>
        <v>O55</v>
      </c>
    </row>
    <row r="410" spans="1:12" x14ac:dyDescent="0.2">
      <c r="A410" s="26" t="s">
        <v>36</v>
      </c>
      <c r="B410" t="s">
        <v>69</v>
      </c>
      <c r="C410">
        <v>2</v>
      </c>
      <c r="D410" s="26" t="s">
        <v>402</v>
      </c>
      <c r="E410" t="s">
        <v>71</v>
      </c>
      <c r="F410">
        <v>9</v>
      </c>
      <c r="G410" t="str">
        <f t="shared" si="14"/>
        <v>CoStep2StanceTimeT9</v>
      </c>
      <c r="J410" s="26" t="s">
        <v>71</v>
      </c>
      <c r="K410">
        <v>55</v>
      </c>
      <c r="L410" t="str">
        <f t="shared" si="15"/>
        <v>T55</v>
      </c>
    </row>
    <row r="411" spans="1:12" x14ac:dyDescent="0.2">
      <c r="A411" s="26" t="s">
        <v>36</v>
      </c>
      <c r="B411" t="s">
        <v>69</v>
      </c>
      <c r="C411">
        <v>3</v>
      </c>
      <c r="D411" s="26" t="s">
        <v>384</v>
      </c>
      <c r="E411" t="s">
        <v>71</v>
      </c>
      <c r="F411">
        <v>9</v>
      </c>
      <c r="G411" t="str">
        <f t="shared" si="14"/>
        <v>CoStep3ColorT9</v>
      </c>
      <c r="J411" s="26" t="s">
        <v>72</v>
      </c>
      <c r="K411">
        <v>80</v>
      </c>
      <c r="L411" t="str">
        <f t="shared" si="15"/>
        <v>B80</v>
      </c>
    </row>
    <row r="412" spans="1:12" x14ac:dyDescent="0.2">
      <c r="A412" s="26" t="s">
        <v>36</v>
      </c>
      <c r="B412" t="s">
        <v>69</v>
      </c>
      <c r="C412">
        <v>3</v>
      </c>
      <c r="D412" t="s">
        <v>68</v>
      </c>
      <c r="E412" t="s">
        <v>71</v>
      </c>
      <c r="F412">
        <v>9</v>
      </c>
      <c r="G412" t="str">
        <f t="shared" si="14"/>
        <v>CoStep3StepLengthT9</v>
      </c>
      <c r="J412" s="26" t="s">
        <v>73</v>
      </c>
      <c r="K412">
        <v>80</v>
      </c>
      <c r="L412" t="str">
        <f t="shared" si="15"/>
        <v>E80</v>
      </c>
    </row>
    <row r="413" spans="1:12" x14ac:dyDescent="0.2">
      <c r="A413" s="26" t="s">
        <v>36</v>
      </c>
      <c r="B413" t="s">
        <v>69</v>
      </c>
      <c r="C413">
        <v>3</v>
      </c>
      <c r="D413" s="26" t="s">
        <v>400</v>
      </c>
      <c r="E413" t="s">
        <v>71</v>
      </c>
      <c r="F413">
        <v>9</v>
      </c>
      <c r="G413" t="str">
        <f t="shared" si="14"/>
        <v>CoStep3StepTimeT9</v>
      </c>
      <c r="J413" s="26" t="s">
        <v>74</v>
      </c>
      <c r="K413">
        <v>80</v>
      </c>
      <c r="L413" t="str">
        <f t="shared" si="15"/>
        <v>J80</v>
      </c>
    </row>
    <row r="414" spans="1:12" x14ac:dyDescent="0.2">
      <c r="A414" s="26" t="s">
        <v>36</v>
      </c>
      <c r="B414" t="s">
        <v>69</v>
      </c>
      <c r="C414">
        <v>3</v>
      </c>
      <c r="D414" s="26" t="s">
        <v>401</v>
      </c>
      <c r="E414" t="s">
        <v>71</v>
      </c>
      <c r="F414">
        <v>9</v>
      </c>
      <c r="G414" t="str">
        <f t="shared" si="14"/>
        <v>CoStep3DoubleSupportTimeT9</v>
      </c>
      <c r="J414" s="26" t="s">
        <v>75</v>
      </c>
      <c r="K414">
        <v>80</v>
      </c>
      <c r="L414" t="str">
        <f t="shared" si="15"/>
        <v>O80</v>
      </c>
    </row>
    <row r="415" spans="1:12" x14ac:dyDescent="0.2">
      <c r="A415" s="26" t="s">
        <v>36</v>
      </c>
      <c r="B415" t="s">
        <v>69</v>
      </c>
      <c r="C415">
        <v>3</v>
      </c>
      <c r="D415" s="26" t="s">
        <v>402</v>
      </c>
      <c r="E415" t="s">
        <v>71</v>
      </c>
      <c r="F415">
        <v>9</v>
      </c>
      <c r="G415" t="str">
        <f t="shared" si="14"/>
        <v>CoStep3StanceTimeT9</v>
      </c>
      <c r="J415" s="26" t="s">
        <v>71</v>
      </c>
      <c r="K415">
        <v>80</v>
      </c>
      <c r="L415" t="str">
        <f t="shared" si="15"/>
        <v>T80</v>
      </c>
    </row>
    <row r="416" spans="1:12" x14ac:dyDescent="0.2">
      <c r="A416" s="26" t="s">
        <v>36</v>
      </c>
      <c r="B416" t="s">
        <v>69</v>
      </c>
      <c r="C416">
        <v>4</v>
      </c>
      <c r="D416" s="26" t="s">
        <v>384</v>
      </c>
      <c r="E416" t="s">
        <v>71</v>
      </c>
      <c r="F416">
        <v>9</v>
      </c>
      <c r="G416" t="str">
        <f t="shared" si="14"/>
        <v>CoStep4ColorT9</v>
      </c>
      <c r="J416" s="26" t="s">
        <v>72</v>
      </c>
      <c r="K416">
        <v>105</v>
      </c>
      <c r="L416" t="str">
        <f t="shared" si="15"/>
        <v>B105</v>
      </c>
    </row>
    <row r="417" spans="1:12" x14ac:dyDescent="0.2">
      <c r="A417" s="26" t="s">
        <v>36</v>
      </c>
      <c r="B417" t="s">
        <v>69</v>
      </c>
      <c r="C417">
        <v>4</v>
      </c>
      <c r="D417" t="s">
        <v>68</v>
      </c>
      <c r="E417" t="s">
        <v>71</v>
      </c>
      <c r="F417">
        <v>9</v>
      </c>
      <c r="G417" t="str">
        <f t="shared" si="14"/>
        <v>CoStep4StepLengthT9</v>
      </c>
      <c r="J417" s="26" t="s">
        <v>73</v>
      </c>
      <c r="K417">
        <v>105</v>
      </c>
      <c r="L417" t="str">
        <f t="shared" si="15"/>
        <v>E105</v>
      </c>
    </row>
    <row r="418" spans="1:12" x14ac:dyDescent="0.2">
      <c r="A418" s="26" t="s">
        <v>36</v>
      </c>
      <c r="B418" t="s">
        <v>69</v>
      </c>
      <c r="C418">
        <v>4</v>
      </c>
      <c r="D418" s="26" t="s">
        <v>400</v>
      </c>
      <c r="E418" t="s">
        <v>71</v>
      </c>
      <c r="F418">
        <v>9</v>
      </c>
      <c r="G418" t="str">
        <f t="shared" si="14"/>
        <v>CoStep4StepTimeT9</v>
      </c>
      <c r="J418" s="26" t="s">
        <v>74</v>
      </c>
      <c r="K418">
        <v>105</v>
      </c>
      <c r="L418" t="str">
        <f t="shared" si="15"/>
        <v>J105</v>
      </c>
    </row>
    <row r="419" spans="1:12" x14ac:dyDescent="0.2">
      <c r="A419" s="26" t="s">
        <v>36</v>
      </c>
      <c r="B419" t="s">
        <v>69</v>
      </c>
      <c r="C419">
        <v>4</v>
      </c>
      <c r="D419" s="26" t="s">
        <v>401</v>
      </c>
      <c r="E419" t="s">
        <v>71</v>
      </c>
      <c r="F419">
        <v>9</v>
      </c>
      <c r="G419" t="str">
        <f t="shared" si="14"/>
        <v>CoStep4DoubleSupportTimeT9</v>
      </c>
      <c r="J419" s="26" t="s">
        <v>75</v>
      </c>
      <c r="K419">
        <v>105</v>
      </c>
      <c r="L419" t="str">
        <f t="shared" si="15"/>
        <v>O105</v>
      </c>
    </row>
    <row r="420" spans="1:12" x14ac:dyDescent="0.2">
      <c r="A420" s="26" t="s">
        <v>36</v>
      </c>
      <c r="B420" t="s">
        <v>69</v>
      </c>
      <c r="C420">
        <v>4</v>
      </c>
      <c r="D420" s="26" t="s">
        <v>402</v>
      </c>
      <c r="E420" t="s">
        <v>71</v>
      </c>
      <c r="F420">
        <v>9</v>
      </c>
      <c r="G420" t="str">
        <f t="shared" si="14"/>
        <v>CoStep4StanceTimeT9</v>
      </c>
      <c r="J420" s="26" t="s">
        <v>71</v>
      </c>
      <c r="K420">
        <v>105</v>
      </c>
      <c r="L420" t="str">
        <f t="shared" si="15"/>
        <v>T105</v>
      </c>
    </row>
    <row r="421" spans="1:12" x14ac:dyDescent="0.2">
      <c r="A421" s="26" t="s">
        <v>36</v>
      </c>
      <c r="B421" t="s">
        <v>69</v>
      </c>
      <c r="C421">
        <v>5</v>
      </c>
      <c r="D421" s="26" t="s">
        <v>384</v>
      </c>
      <c r="E421" t="s">
        <v>71</v>
      </c>
      <c r="F421">
        <v>9</v>
      </c>
      <c r="G421" t="str">
        <f t="shared" si="14"/>
        <v>CoStep5ColorT9</v>
      </c>
      <c r="J421" s="26" t="s">
        <v>72</v>
      </c>
      <c r="K421">
        <v>130</v>
      </c>
      <c r="L421" t="str">
        <f t="shared" si="15"/>
        <v>B130</v>
      </c>
    </row>
    <row r="422" spans="1:12" x14ac:dyDescent="0.2">
      <c r="A422" s="26" t="s">
        <v>36</v>
      </c>
      <c r="B422" t="s">
        <v>69</v>
      </c>
      <c r="C422">
        <v>5</v>
      </c>
      <c r="D422" t="s">
        <v>68</v>
      </c>
      <c r="E422" t="s">
        <v>71</v>
      </c>
      <c r="F422">
        <v>9</v>
      </c>
      <c r="G422" t="str">
        <f t="shared" si="14"/>
        <v>CoStep5StepLengthT9</v>
      </c>
      <c r="J422" s="26" t="s">
        <v>73</v>
      </c>
      <c r="K422">
        <v>130</v>
      </c>
      <c r="L422" t="str">
        <f t="shared" si="15"/>
        <v>E130</v>
      </c>
    </row>
    <row r="423" spans="1:12" x14ac:dyDescent="0.2">
      <c r="A423" s="26" t="s">
        <v>36</v>
      </c>
      <c r="B423" t="s">
        <v>69</v>
      </c>
      <c r="C423">
        <v>5</v>
      </c>
      <c r="D423" s="26" t="s">
        <v>400</v>
      </c>
      <c r="E423" t="s">
        <v>71</v>
      </c>
      <c r="F423">
        <v>9</v>
      </c>
      <c r="G423" t="str">
        <f t="shared" si="14"/>
        <v>CoStep5StepTimeT9</v>
      </c>
      <c r="J423" s="26" t="s">
        <v>74</v>
      </c>
      <c r="K423">
        <v>130</v>
      </c>
      <c r="L423" t="str">
        <f t="shared" si="15"/>
        <v>J130</v>
      </c>
    </row>
    <row r="424" spans="1:12" x14ac:dyDescent="0.2">
      <c r="A424" s="26" t="s">
        <v>36</v>
      </c>
      <c r="B424" t="s">
        <v>69</v>
      </c>
      <c r="C424">
        <v>5</v>
      </c>
      <c r="D424" s="26" t="s">
        <v>401</v>
      </c>
      <c r="E424" t="s">
        <v>71</v>
      </c>
      <c r="F424">
        <v>9</v>
      </c>
      <c r="G424" t="str">
        <f t="shared" si="14"/>
        <v>CoStep5DoubleSupportTimeT9</v>
      </c>
      <c r="J424" s="26" t="s">
        <v>75</v>
      </c>
      <c r="K424">
        <v>130</v>
      </c>
      <c r="L424" t="str">
        <f t="shared" si="15"/>
        <v>O130</v>
      </c>
    </row>
    <row r="425" spans="1:12" x14ac:dyDescent="0.2">
      <c r="A425" s="26" t="s">
        <v>36</v>
      </c>
      <c r="B425" t="s">
        <v>69</v>
      </c>
      <c r="C425">
        <v>5</v>
      </c>
      <c r="D425" s="26" t="s">
        <v>402</v>
      </c>
      <c r="E425" t="s">
        <v>71</v>
      </c>
      <c r="F425">
        <v>9</v>
      </c>
      <c r="G425" t="str">
        <f t="shared" si="14"/>
        <v>CoStep5StanceTimeT9</v>
      </c>
      <c r="J425" s="26" t="s">
        <v>71</v>
      </c>
      <c r="K425">
        <v>130</v>
      </c>
      <c r="L425" t="str">
        <f t="shared" si="15"/>
        <v>T130</v>
      </c>
    </row>
    <row r="426" spans="1:12" x14ac:dyDescent="0.2">
      <c r="A426" s="26" t="s">
        <v>36</v>
      </c>
      <c r="B426" t="s">
        <v>69</v>
      </c>
      <c r="C426">
        <v>6</v>
      </c>
      <c r="D426" s="26" t="s">
        <v>384</v>
      </c>
      <c r="E426" t="s">
        <v>71</v>
      </c>
      <c r="F426">
        <v>9</v>
      </c>
      <c r="G426" t="str">
        <f t="shared" si="14"/>
        <v>CoStep6ColorT9</v>
      </c>
      <c r="J426" s="26" t="s">
        <v>72</v>
      </c>
      <c r="K426">
        <v>155</v>
      </c>
      <c r="L426" t="str">
        <f t="shared" si="15"/>
        <v>B155</v>
      </c>
    </row>
    <row r="427" spans="1:12" x14ac:dyDescent="0.2">
      <c r="A427" s="26" t="s">
        <v>36</v>
      </c>
      <c r="B427" t="s">
        <v>69</v>
      </c>
      <c r="C427">
        <v>6</v>
      </c>
      <c r="D427" t="s">
        <v>68</v>
      </c>
      <c r="E427" t="s">
        <v>71</v>
      </c>
      <c r="F427">
        <v>9</v>
      </c>
      <c r="G427" t="str">
        <f t="shared" si="14"/>
        <v>CoStep6StepLengthT9</v>
      </c>
      <c r="J427" s="26" t="s">
        <v>73</v>
      </c>
      <c r="K427">
        <v>155</v>
      </c>
      <c r="L427" t="str">
        <f t="shared" si="15"/>
        <v>E155</v>
      </c>
    </row>
    <row r="428" spans="1:12" x14ac:dyDescent="0.2">
      <c r="A428" s="26" t="s">
        <v>36</v>
      </c>
      <c r="B428" t="s">
        <v>69</v>
      </c>
      <c r="C428">
        <v>6</v>
      </c>
      <c r="D428" s="26" t="s">
        <v>400</v>
      </c>
      <c r="E428" t="s">
        <v>71</v>
      </c>
      <c r="F428">
        <v>9</v>
      </c>
      <c r="G428" t="str">
        <f t="shared" si="14"/>
        <v>CoStep6StepTimeT9</v>
      </c>
      <c r="J428" s="26" t="s">
        <v>74</v>
      </c>
      <c r="K428">
        <v>155</v>
      </c>
      <c r="L428" t="str">
        <f t="shared" si="15"/>
        <v>J155</v>
      </c>
    </row>
    <row r="429" spans="1:12" x14ac:dyDescent="0.2">
      <c r="A429" s="26" t="s">
        <v>36</v>
      </c>
      <c r="B429" t="s">
        <v>69</v>
      </c>
      <c r="C429">
        <v>6</v>
      </c>
      <c r="D429" s="26" t="s">
        <v>401</v>
      </c>
      <c r="E429" t="s">
        <v>71</v>
      </c>
      <c r="F429">
        <v>9</v>
      </c>
      <c r="G429" t="str">
        <f t="shared" si="14"/>
        <v>CoStep6DoubleSupportTimeT9</v>
      </c>
      <c r="J429" s="26" t="s">
        <v>75</v>
      </c>
      <c r="K429">
        <v>155</v>
      </c>
      <c r="L429" t="str">
        <f t="shared" si="15"/>
        <v>O155</v>
      </c>
    </row>
    <row r="430" spans="1:12" x14ac:dyDescent="0.2">
      <c r="A430" s="26" t="s">
        <v>36</v>
      </c>
      <c r="B430" t="s">
        <v>69</v>
      </c>
      <c r="C430">
        <v>6</v>
      </c>
      <c r="D430" s="26" t="s">
        <v>402</v>
      </c>
      <c r="E430" t="s">
        <v>71</v>
      </c>
      <c r="F430">
        <v>9</v>
      </c>
      <c r="G430" t="str">
        <f t="shared" si="14"/>
        <v>CoStep6StanceTimeT9</v>
      </c>
      <c r="J430" s="26" t="s">
        <v>71</v>
      </c>
      <c r="K430">
        <v>155</v>
      </c>
      <c r="L430" t="str">
        <f t="shared" si="15"/>
        <v>T155</v>
      </c>
    </row>
    <row r="431" spans="1:12" x14ac:dyDescent="0.2">
      <c r="A431" s="26" t="s">
        <v>36</v>
      </c>
      <c r="B431" t="s">
        <v>69</v>
      </c>
      <c r="C431">
        <v>7</v>
      </c>
      <c r="D431" s="26" t="s">
        <v>384</v>
      </c>
      <c r="E431" t="s">
        <v>71</v>
      </c>
      <c r="F431">
        <v>9</v>
      </c>
      <c r="G431" t="str">
        <f t="shared" si="14"/>
        <v>CoStep7ColorT9</v>
      </c>
      <c r="J431" s="26" t="s">
        <v>72</v>
      </c>
      <c r="K431">
        <v>188</v>
      </c>
      <c r="L431" t="str">
        <f t="shared" si="15"/>
        <v>B188</v>
      </c>
    </row>
    <row r="432" spans="1:12" x14ac:dyDescent="0.2">
      <c r="A432" s="26" t="s">
        <v>36</v>
      </c>
      <c r="B432" t="s">
        <v>69</v>
      </c>
      <c r="C432">
        <v>7</v>
      </c>
      <c r="D432" t="s">
        <v>68</v>
      </c>
      <c r="E432" t="s">
        <v>71</v>
      </c>
      <c r="F432">
        <v>9</v>
      </c>
      <c r="G432" t="str">
        <f t="shared" si="14"/>
        <v>CoStep7StepLengthT9</v>
      </c>
      <c r="J432" s="26" t="s">
        <v>73</v>
      </c>
      <c r="K432">
        <v>188</v>
      </c>
      <c r="L432" t="str">
        <f t="shared" si="15"/>
        <v>E188</v>
      </c>
    </row>
    <row r="433" spans="1:12" x14ac:dyDescent="0.2">
      <c r="A433" s="26" t="s">
        <v>36</v>
      </c>
      <c r="B433" t="s">
        <v>69</v>
      </c>
      <c r="C433">
        <v>7</v>
      </c>
      <c r="D433" s="26" t="s">
        <v>400</v>
      </c>
      <c r="E433" t="s">
        <v>71</v>
      </c>
      <c r="F433">
        <v>9</v>
      </c>
      <c r="G433" t="str">
        <f t="shared" si="14"/>
        <v>CoStep7StepTimeT9</v>
      </c>
      <c r="J433" s="26" t="s">
        <v>74</v>
      </c>
      <c r="K433">
        <v>188</v>
      </c>
      <c r="L433" t="str">
        <f t="shared" si="15"/>
        <v>J188</v>
      </c>
    </row>
    <row r="434" spans="1:12" x14ac:dyDescent="0.2">
      <c r="A434" s="26" t="s">
        <v>36</v>
      </c>
      <c r="B434" t="s">
        <v>69</v>
      </c>
      <c r="C434">
        <v>7</v>
      </c>
      <c r="D434" s="26" t="s">
        <v>401</v>
      </c>
      <c r="E434" t="s">
        <v>71</v>
      </c>
      <c r="F434">
        <v>9</v>
      </c>
      <c r="G434" t="str">
        <f t="shared" si="14"/>
        <v>CoStep7DoubleSupportTimeT9</v>
      </c>
      <c r="J434" s="26" t="s">
        <v>75</v>
      </c>
      <c r="K434">
        <v>188</v>
      </c>
      <c r="L434" t="str">
        <f t="shared" si="15"/>
        <v>O188</v>
      </c>
    </row>
    <row r="435" spans="1:12" x14ac:dyDescent="0.2">
      <c r="A435" s="26" t="s">
        <v>36</v>
      </c>
      <c r="B435" t="s">
        <v>69</v>
      </c>
      <c r="C435">
        <v>7</v>
      </c>
      <c r="D435" s="26" t="s">
        <v>402</v>
      </c>
      <c r="E435" t="s">
        <v>71</v>
      </c>
      <c r="F435">
        <v>9</v>
      </c>
      <c r="G435" t="str">
        <f t="shared" si="14"/>
        <v>CoStep7StanceTimeT9</v>
      </c>
      <c r="J435" s="26" t="s">
        <v>71</v>
      </c>
      <c r="K435">
        <v>188</v>
      </c>
      <c r="L435" t="str">
        <f t="shared" si="15"/>
        <v>T188</v>
      </c>
    </row>
    <row r="436" spans="1:12" x14ac:dyDescent="0.2">
      <c r="A436" s="26" t="s">
        <v>36</v>
      </c>
      <c r="B436" t="s">
        <v>69</v>
      </c>
      <c r="C436">
        <v>8</v>
      </c>
      <c r="D436" s="26" t="s">
        <v>384</v>
      </c>
      <c r="E436" t="s">
        <v>71</v>
      </c>
      <c r="F436">
        <v>9</v>
      </c>
      <c r="G436" t="str">
        <f t="shared" si="14"/>
        <v>CoStep8ColorT9</v>
      </c>
      <c r="J436" s="26" t="s">
        <v>72</v>
      </c>
      <c r="K436">
        <v>205</v>
      </c>
      <c r="L436" t="str">
        <f t="shared" si="15"/>
        <v>B205</v>
      </c>
    </row>
    <row r="437" spans="1:12" x14ac:dyDescent="0.2">
      <c r="A437" s="26" t="s">
        <v>36</v>
      </c>
      <c r="B437" t="s">
        <v>69</v>
      </c>
      <c r="C437">
        <v>8</v>
      </c>
      <c r="D437" t="s">
        <v>68</v>
      </c>
      <c r="E437" t="s">
        <v>71</v>
      </c>
      <c r="F437">
        <v>9</v>
      </c>
      <c r="G437" t="str">
        <f t="shared" si="14"/>
        <v>CoStep8StepLengthT9</v>
      </c>
      <c r="J437" s="26" t="s">
        <v>73</v>
      </c>
      <c r="K437">
        <v>205</v>
      </c>
      <c r="L437" t="str">
        <f t="shared" si="15"/>
        <v>E205</v>
      </c>
    </row>
    <row r="438" spans="1:12" x14ac:dyDescent="0.2">
      <c r="A438" s="26" t="s">
        <v>36</v>
      </c>
      <c r="B438" t="s">
        <v>69</v>
      </c>
      <c r="C438">
        <v>8</v>
      </c>
      <c r="D438" s="26" t="s">
        <v>400</v>
      </c>
      <c r="E438" t="s">
        <v>71</v>
      </c>
      <c r="F438">
        <v>9</v>
      </c>
      <c r="G438" t="str">
        <f t="shared" si="14"/>
        <v>CoStep8StepTimeT9</v>
      </c>
      <c r="J438" s="26" t="s">
        <v>74</v>
      </c>
      <c r="K438">
        <v>205</v>
      </c>
      <c r="L438" t="str">
        <f t="shared" si="15"/>
        <v>J205</v>
      </c>
    </row>
    <row r="439" spans="1:12" x14ac:dyDescent="0.2">
      <c r="A439" s="26" t="s">
        <v>36</v>
      </c>
      <c r="B439" t="s">
        <v>69</v>
      </c>
      <c r="C439">
        <v>8</v>
      </c>
      <c r="D439" s="26" t="s">
        <v>401</v>
      </c>
      <c r="E439" t="s">
        <v>71</v>
      </c>
      <c r="F439">
        <v>9</v>
      </c>
      <c r="G439" t="str">
        <f t="shared" si="14"/>
        <v>CoStep8DoubleSupportTimeT9</v>
      </c>
      <c r="J439" s="26" t="s">
        <v>75</v>
      </c>
      <c r="K439">
        <v>205</v>
      </c>
      <c r="L439" t="str">
        <f t="shared" si="15"/>
        <v>O205</v>
      </c>
    </row>
    <row r="440" spans="1:12" x14ac:dyDescent="0.2">
      <c r="A440" s="26" t="s">
        <v>36</v>
      </c>
      <c r="B440" t="s">
        <v>69</v>
      </c>
      <c r="C440">
        <v>8</v>
      </c>
      <c r="D440" s="26" t="s">
        <v>402</v>
      </c>
      <c r="E440" t="s">
        <v>71</v>
      </c>
      <c r="F440">
        <v>9</v>
      </c>
      <c r="G440" t="str">
        <f t="shared" si="14"/>
        <v>CoStep8StanceTimeT9</v>
      </c>
      <c r="J440" s="26" t="s">
        <v>71</v>
      </c>
      <c r="K440">
        <v>205</v>
      </c>
      <c r="L440" t="str">
        <f t="shared" si="15"/>
        <v>T205</v>
      </c>
    </row>
    <row r="441" spans="1:12" x14ac:dyDescent="0.2">
      <c r="A441" s="26" t="s">
        <v>36</v>
      </c>
      <c r="B441" t="s">
        <v>69</v>
      </c>
      <c r="C441">
        <v>9</v>
      </c>
      <c r="D441" s="26" t="s">
        <v>384</v>
      </c>
      <c r="E441" t="s">
        <v>71</v>
      </c>
      <c r="F441">
        <v>9</v>
      </c>
      <c r="G441" t="str">
        <f t="shared" si="14"/>
        <v>CoStep9ColorT9</v>
      </c>
      <c r="J441" s="26" t="s">
        <v>72</v>
      </c>
      <c r="K441">
        <v>230</v>
      </c>
      <c r="L441" t="str">
        <f t="shared" si="15"/>
        <v>B230</v>
      </c>
    </row>
    <row r="442" spans="1:12" x14ac:dyDescent="0.2">
      <c r="A442" s="26" t="s">
        <v>36</v>
      </c>
      <c r="B442" t="s">
        <v>69</v>
      </c>
      <c r="C442">
        <v>9</v>
      </c>
      <c r="D442" t="s">
        <v>68</v>
      </c>
      <c r="E442" t="s">
        <v>71</v>
      </c>
      <c r="F442">
        <v>9</v>
      </c>
      <c r="G442" t="str">
        <f t="shared" si="14"/>
        <v>CoStep9StepLengthT9</v>
      </c>
      <c r="J442" s="26" t="s">
        <v>73</v>
      </c>
      <c r="K442">
        <v>230</v>
      </c>
      <c r="L442" t="str">
        <f t="shared" si="15"/>
        <v>E230</v>
      </c>
    </row>
    <row r="443" spans="1:12" x14ac:dyDescent="0.2">
      <c r="A443" s="26" t="s">
        <v>36</v>
      </c>
      <c r="B443" t="s">
        <v>69</v>
      </c>
      <c r="C443">
        <v>9</v>
      </c>
      <c r="D443" s="26" t="s">
        <v>400</v>
      </c>
      <c r="E443" t="s">
        <v>71</v>
      </c>
      <c r="F443">
        <v>9</v>
      </c>
      <c r="G443" t="str">
        <f t="shared" si="14"/>
        <v>CoStep9StepTimeT9</v>
      </c>
      <c r="J443" s="26" t="s">
        <v>74</v>
      </c>
      <c r="K443">
        <v>230</v>
      </c>
      <c r="L443" t="str">
        <f t="shared" si="15"/>
        <v>J230</v>
      </c>
    </row>
    <row r="444" spans="1:12" x14ac:dyDescent="0.2">
      <c r="A444" s="26" t="s">
        <v>36</v>
      </c>
      <c r="B444" t="s">
        <v>69</v>
      </c>
      <c r="C444">
        <v>9</v>
      </c>
      <c r="D444" s="26" t="s">
        <v>401</v>
      </c>
      <c r="E444" t="s">
        <v>71</v>
      </c>
      <c r="F444">
        <v>9</v>
      </c>
      <c r="G444" t="str">
        <f t="shared" si="14"/>
        <v>CoStep9DoubleSupportTimeT9</v>
      </c>
      <c r="J444" s="26" t="s">
        <v>75</v>
      </c>
      <c r="K444">
        <v>230</v>
      </c>
      <c r="L444" t="str">
        <f t="shared" si="15"/>
        <v>O230</v>
      </c>
    </row>
    <row r="445" spans="1:12" x14ac:dyDescent="0.2">
      <c r="A445" s="26" t="s">
        <v>36</v>
      </c>
      <c r="B445" t="s">
        <v>69</v>
      </c>
      <c r="C445">
        <v>9</v>
      </c>
      <c r="D445" s="26" t="s">
        <v>402</v>
      </c>
      <c r="E445" t="s">
        <v>71</v>
      </c>
      <c r="F445">
        <v>9</v>
      </c>
      <c r="G445" t="str">
        <f t="shared" si="14"/>
        <v>CoStep9StanceTimeT9</v>
      </c>
      <c r="J445" s="26" t="s">
        <v>71</v>
      </c>
      <c r="K445">
        <v>230</v>
      </c>
      <c r="L445" t="str">
        <f t="shared" si="15"/>
        <v>T230</v>
      </c>
    </row>
    <row r="446" spans="1:12" x14ac:dyDescent="0.2">
      <c r="A446" s="26" t="s">
        <v>36</v>
      </c>
      <c r="B446" t="s">
        <v>69</v>
      </c>
      <c r="C446">
        <v>10</v>
      </c>
      <c r="D446" s="26" t="s">
        <v>384</v>
      </c>
      <c r="E446" t="s">
        <v>71</v>
      </c>
      <c r="F446">
        <v>9</v>
      </c>
      <c r="G446" t="str">
        <f t="shared" si="14"/>
        <v>CoStep10ColorT9</v>
      </c>
      <c r="J446" s="26" t="s">
        <v>72</v>
      </c>
      <c r="K446">
        <v>255</v>
      </c>
      <c r="L446" t="str">
        <f t="shared" si="15"/>
        <v>B255</v>
      </c>
    </row>
    <row r="447" spans="1:12" x14ac:dyDescent="0.2">
      <c r="A447" s="26" t="s">
        <v>36</v>
      </c>
      <c r="B447" t="s">
        <v>69</v>
      </c>
      <c r="C447">
        <v>10</v>
      </c>
      <c r="D447" t="s">
        <v>68</v>
      </c>
      <c r="E447" t="s">
        <v>71</v>
      </c>
      <c r="F447">
        <v>9</v>
      </c>
      <c r="G447" t="str">
        <f t="shared" si="14"/>
        <v>CoStep10StepLengthT9</v>
      </c>
      <c r="J447" s="26" t="s">
        <v>73</v>
      </c>
      <c r="K447">
        <v>255</v>
      </c>
      <c r="L447" t="str">
        <f t="shared" si="15"/>
        <v>E255</v>
      </c>
    </row>
    <row r="448" spans="1:12" x14ac:dyDescent="0.2">
      <c r="A448" s="26" t="s">
        <v>36</v>
      </c>
      <c r="B448" t="s">
        <v>69</v>
      </c>
      <c r="C448">
        <v>10</v>
      </c>
      <c r="D448" s="26" t="s">
        <v>400</v>
      </c>
      <c r="E448" t="s">
        <v>71</v>
      </c>
      <c r="F448">
        <v>9</v>
      </c>
      <c r="G448" t="str">
        <f t="shared" si="14"/>
        <v>CoStep10StepTimeT9</v>
      </c>
      <c r="J448" s="26" t="s">
        <v>74</v>
      </c>
      <c r="K448">
        <v>255</v>
      </c>
      <c r="L448" t="str">
        <f t="shared" si="15"/>
        <v>J255</v>
      </c>
    </row>
    <row r="449" spans="1:12" x14ac:dyDescent="0.2">
      <c r="A449" s="26" t="s">
        <v>36</v>
      </c>
      <c r="B449" t="s">
        <v>69</v>
      </c>
      <c r="C449">
        <v>10</v>
      </c>
      <c r="D449" s="26" t="s">
        <v>401</v>
      </c>
      <c r="E449" t="s">
        <v>71</v>
      </c>
      <c r="F449">
        <v>9</v>
      </c>
      <c r="G449" t="str">
        <f t="shared" si="14"/>
        <v>CoStep10DoubleSupportTimeT9</v>
      </c>
      <c r="J449" s="26" t="s">
        <v>75</v>
      </c>
      <c r="K449">
        <v>255</v>
      </c>
      <c r="L449" t="str">
        <f t="shared" si="15"/>
        <v>O255</v>
      </c>
    </row>
    <row r="450" spans="1:12" x14ac:dyDescent="0.2">
      <c r="A450" s="26" t="s">
        <v>36</v>
      </c>
      <c r="B450" t="s">
        <v>69</v>
      </c>
      <c r="C450">
        <v>10</v>
      </c>
      <c r="D450" s="26" t="s">
        <v>402</v>
      </c>
      <c r="E450" t="s">
        <v>71</v>
      </c>
      <c r="F450">
        <v>9</v>
      </c>
      <c r="G450" t="str">
        <f t="shared" si="14"/>
        <v>CoStep10StanceTimeT9</v>
      </c>
      <c r="J450" s="26" t="s">
        <v>71</v>
      </c>
      <c r="K450">
        <v>255</v>
      </c>
      <c r="L450" t="str">
        <f t="shared" si="15"/>
        <v>T255</v>
      </c>
    </row>
    <row r="451" spans="1:12" x14ac:dyDescent="0.2">
      <c r="A451" s="26" t="s">
        <v>36</v>
      </c>
      <c r="B451" t="s">
        <v>69</v>
      </c>
      <c r="C451">
        <v>1</v>
      </c>
      <c r="D451" s="26" t="s">
        <v>384</v>
      </c>
      <c r="E451" t="s">
        <v>71</v>
      </c>
      <c r="F451">
        <v>10</v>
      </c>
      <c r="G451" t="str">
        <f t="shared" si="14"/>
        <v>CoStep1ColorT10</v>
      </c>
      <c r="J451" s="26" t="s">
        <v>72</v>
      </c>
      <c r="K451">
        <v>30</v>
      </c>
      <c r="L451" t="str">
        <f>J451&amp;K451</f>
        <v>B30</v>
      </c>
    </row>
    <row r="452" spans="1:12" x14ac:dyDescent="0.2">
      <c r="A452" s="26" t="s">
        <v>36</v>
      </c>
      <c r="B452" t="s">
        <v>69</v>
      </c>
      <c r="C452">
        <v>1</v>
      </c>
      <c r="D452" t="s">
        <v>68</v>
      </c>
      <c r="E452" t="s">
        <v>71</v>
      </c>
      <c r="F452">
        <v>10</v>
      </c>
      <c r="G452" t="str">
        <f t="shared" si="14"/>
        <v>CoStep1StepLengthT10</v>
      </c>
      <c r="J452" s="26" t="s">
        <v>73</v>
      </c>
      <c r="K452">
        <v>30</v>
      </c>
      <c r="L452" t="str">
        <f t="shared" ref="L452:L500" si="16">J452&amp;K452</f>
        <v>E30</v>
      </c>
    </row>
    <row r="453" spans="1:12" x14ac:dyDescent="0.2">
      <c r="A453" s="26" t="s">
        <v>36</v>
      </c>
      <c r="B453" t="s">
        <v>69</v>
      </c>
      <c r="C453">
        <v>1</v>
      </c>
      <c r="D453" s="26" t="s">
        <v>400</v>
      </c>
      <c r="E453" t="s">
        <v>71</v>
      </c>
      <c r="F453">
        <v>10</v>
      </c>
      <c r="G453" t="str">
        <f t="shared" si="14"/>
        <v>CoStep1StepTimeT10</v>
      </c>
      <c r="J453" s="26" t="s">
        <v>74</v>
      </c>
      <c r="K453">
        <v>30</v>
      </c>
      <c r="L453" t="str">
        <f t="shared" si="16"/>
        <v>J30</v>
      </c>
    </row>
    <row r="454" spans="1:12" x14ac:dyDescent="0.2">
      <c r="A454" s="26" t="s">
        <v>36</v>
      </c>
      <c r="B454" t="s">
        <v>69</v>
      </c>
      <c r="C454">
        <v>1</v>
      </c>
      <c r="D454" s="26" t="s">
        <v>401</v>
      </c>
      <c r="E454" t="s">
        <v>71</v>
      </c>
      <c r="F454">
        <v>10</v>
      </c>
      <c r="G454" t="str">
        <f t="shared" ref="G454:G517" si="17">A454&amp;B454&amp;C454&amp;D454&amp;E454&amp;F454</f>
        <v>CoStep1DoubleSupportTimeT10</v>
      </c>
      <c r="J454" s="26" t="s">
        <v>75</v>
      </c>
      <c r="K454">
        <v>30</v>
      </c>
      <c r="L454" t="str">
        <f t="shared" si="16"/>
        <v>O30</v>
      </c>
    </row>
    <row r="455" spans="1:12" x14ac:dyDescent="0.2">
      <c r="A455" s="26" t="s">
        <v>36</v>
      </c>
      <c r="B455" t="s">
        <v>69</v>
      </c>
      <c r="C455">
        <v>1</v>
      </c>
      <c r="D455" s="26" t="s">
        <v>402</v>
      </c>
      <c r="E455" t="s">
        <v>71</v>
      </c>
      <c r="F455">
        <v>10</v>
      </c>
      <c r="G455" t="str">
        <f t="shared" si="17"/>
        <v>CoStep1StanceTimeT10</v>
      </c>
      <c r="J455" s="26" t="s">
        <v>71</v>
      </c>
      <c r="K455">
        <v>30</v>
      </c>
      <c r="L455" t="str">
        <f t="shared" si="16"/>
        <v>T30</v>
      </c>
    </row>
    <row r="456" spans="1:12" x14ac:dyDescent="0.2">
      <c r="A456" s="26" t="s">
        <v>36</v>
      </c>
      <c r="B456" t="s">
        <v>69</v>
      </c>
      <c r="C456">
        <v>2</v>
      </c>
      <c r="D456" s="26" t="s">
        <v>384</v>
      </c>
      <c r="E456" t="s">
        <v>71</v>
      </c>
      <c r="F456">
        <v>10</v>
      </c>
      <c r="G456" t="str">
        <f t="shared" si="17"/>
        <v>CoStep2ColorT10</v>
      </c>
      <c r="J456" s="26" t="s">
        <v>72</v>
      </c>
      <c r="K456">
        <v>55</v>
      </c>
      <c r="L456" t="str">
        <f t="shared" si="16"/>
        <v>B55</v>
      </c>
    </row>
    <row r="457" spans="1:12" x14ac:dyDescent="0.2">
      <c r="A457" s="26" t="s">
        <v>36</v>
      </c>
      <c r="B457" t="s">
        <v>69</v>
      </c>
      <c r="C457">
        <v>2</v>
      </c>
      <c r="D457" t="s">
        <v>68</v>
      </c>
      <c r="E457" t="s">
        <v>71</v>
      </c>
      <c r="F457">
        <v>10</v>
      </c>
      <c r="G457" t="str">
        <f t="shared" si="17"/>
        <v>CoStep2StepLengthT10</v>
      </c>
      <c r="J457" s="26" t="s">
        <v>73</v>
      </c>
      <c r="K457">
        <v>55</v>
      </c>
      <c r="L457" t="str">
        <f t="shared" si="16"/>
        <v>E55</v>
      </c>
    </row>
    <row r="458" spans="1:12" x14ac:dyDescent="0.2">
      <c r="A458" s="26" t="s">
        <v>36</v>
      </c>
      <c r="B458" t="s">
        <v>69</v>
      </c>
      <c r="C458">
        <v>2</v>
      </c>
      <c r="D458" s="26" t="s">
        <v>400</v>
      </c>
      <c r="E458" t="s">
        <v>71</v>
      </c>
      <c r="F458">
        <v>10</v>
      </c>
      <c r="G458" t="str">
        <f t="shared" si="17"/>
        <v>CoStep2StepTimeT10</v>
      </c>
      <c r="J458" s="26" t="s">
        <v>74</v>
      </c>
      <c r="K458">
        <v>55</v>
      </c>
      <c r="L458" t="str">
        <f t="shared" si="16"/>
        <v>J55</v>
      </c>
    </row>
    <row r="459" spans="1:12" x14ac:dyDescent="0.2">
      <c r="A459" s="26" t="s">
        <v>36</v>
      </c>
      <c r="B459" t="s">
        <v>69</v>
      </c>
      <c r="C459">
        <v>2</v>
      </c>
      <c r="D459" s="26" t="s">
        <v>401</v>
      </c>
      <c r="E459" t="s">
        <v>71</v>
      </c>
      <c r="F459">
        <v>10</v>
      </c>
      <c r="G459" t="str">
        <f t="shared" si="17"/>
        <v>CoStep2DoubleSupportTimeT10</v>
      </c>
      <c r="J459" s="26" t="s">
        <v>75</v>
      </c>
      <c r="K459">
        <v>55</v>
      </c>
      <c r="L459" t="str">
        <f t="shared" si="16"/>
        <v>O55</v>
      </c>
    </row>
    <row r="460" spans="1:12" x14ac:dyDescent="0.2">
      <c r="A460" s="26" t="s">
        <v>36</v>
      </c>
      <c r="B460" t="s">
        <v>69</v>
      </c>
      <c r="C460">
        <v>2</v>
      </c>
      <c r="D460" s="26" t="s">
        <v>402</v>
      </c>
      <c r="E460" t="s">
        <v>71</v>
      </c>
      <c r="F460">
        <v>10</v>
      </c>
      <c r="G460" t="str">
        <f t="shared" si="17"/>
        <v>CoStep2StanceTimeT10</v>
      </c>
      <c r="J460" s="26" t="s">
        <v>71</v>
      </c>
      <c r="K460">
        <v>55</v>
      </c>
      <c r="L460" t="str">
        <f t="shared" si="16"/>
        <v>T55</v>
      </c>
    </row>
    <row r="461" spans="1:12" x14ac:dyDescent="0.2">
      <c r="A461" s="26" t="s">
        <v>36</v>
      </c>
      <c r="B461" t="s">
        <v>69</v>
      </c>
      <c r="C461">
        <v>3</v>
      </c>
      <c r="D461" s="26" t="s">
        <v>384</v>
      </c>
      <c r="E461" t="s">
        <v>71</v>
      </c>
      <c r="F461">
        <v>10</v>
      </c>
      <c r="G461" t="str">
        <f t="shared" si="17"/>
        <v>CoStep3ColorT10</v>
      </c>
      <c r="J461" s="26" t="s">
        <v>72</v>
      </c>
      <c r="K461">
        <v>80</v>
      </c>
      <c r="L461" t="str">
        <f t="shared" si="16"/>
        <v>B80</v>
      </c>
    </row>
    <row r="462" spans="1:12" x14ac:dyDescent="0.2">
      <c r="A462" s="26" t="s">
        <v>36</v>
      </c>
      <c r="B462" t="s">
        <v>69</v>
      </c>
      <c r="C462">
        <v>3</v>
      </c>
      <c r="D462" t="s">
        <v>68</v>
      </c>
      <c r="E462" t="s">
        <v>71</v>
      </c>
      <c r="F462">
        <v>10</v>
      </c>
      <c r="G462" t="str">
        <f t="shared" si="17"/>
        <v>CoStep3StepLengthT10</v>
      </c>
      <c r="J462" s="26" t="s">
        <v>73</v>
      </c>
      <c r="K462">
        <v>80</v>
      </c>
      <c r="L462" t="str">
        <f t="shared" si="16"/>
        <v>E80</v>
      </c>
    </row>
    <row r="463" spans="1:12" x14ac:dyDescent="0.2">
      <c r="A463" s="26" t="s">
        <v>36</v>
      </c>
      <c r="B463" t="s">
        <v>69</v>
      </c>
      <c r="C463">
        <v>3</v>
      </c>
      <c r="D463" s="26" t="s">
        <v>400</v>
      </c>
      <c r="E463" t="s">
        <v>71</v>
      </c>
      <c r="F463">
        <v>10</v>
      </c>
      <c r="G463" t="str">
        <f t="shared" si="17"/>
        <v>CoStep3StepTimeT10</v>
      </c>
      <c r="J463" s="26" t="s">
        <v>74</v>
      </c>
      <c r="K463">
        <v>80</v>
      </c>
      <c r="L463" t="str">
        <f t="shared" si="16"/>
        <v>J80</v>
      </c>
    </row>
    <row r="464" spans="1:12" x14ac:dyDescent="0.2">
      <c r="A464" s="26" t="s">
        <v>36</v>
      </c>
      <c r="B464" t="s">
        <v>69</v>
      </c>
      <c r="C464">
        <v>3</v>
      </c>
      <c r="D464" s="26" t="s">
        <v>401</v>
      </c>
      <c r="E464" t="s">
        <v>71</v>
      </c>
      <c r="F464">
        <v>10</v>
      </c>
      <c r="G464" t="str">
        <f t="shared" si="17"/>
        <v>CoStep3DoubleSupportTimeT10</v>
      </c>
      <c r="J464" s="26" t="s">
        <v>75</v>
      </c>
      <c r="K464">
        <v>80</v>
      </c>
      <c r="L464" t="str">
        <f t="shared" si="16"/>
        <v>O80</v>
      </c>
    </row>
    <row r="465" spans="1:12" x14ac:dyDescent="0.2">
      <c r="A465" s="26" t="s">
        <v>36</v>
      </c>
      <c r="B465" t="s">
        <v>69</v>
      </c>
      <c r="C465">
        <v>3</v>
      </c>
      <c r="D465" s="26" t="s">
        <v>402</v>
      </c>
      <c r="E465" t="s">
        <v>71</v>
      </c>
      <c r="F465">
        <v>10</v>
      </c>
      <c r="G465" t="str">
        <f t="shared" si="17"/>
        <v>CoStep3StanceTimeT10</v>
      </c>
      <c r="J465" s="26" t="s">
        <v>71</v>
      </c>
      <c r="K465">
        <v>80</v>
      </c>
      <c r="L465" t="str">
        <f t="shared" si="16"/>
        <v>T80</v>
      </c>
    </row>
    <row r="466" spans="1:12" x14ac:dyDescent="0.2">
      <c r="A466" s="26" t="s">
        <v>36</v>
      </c>
      <c r="B466" t="s">
        <v>69</v>
      </c>
      <c r="C466">
        <v>4</v>
      </c>
      <c r="D466" s="26" t="s">
        <v>384</v>
      </c>
      <c r="E466" t="s">
        <v>71</v>
      </c>
      <c r="F466">
        <v>10</v>
      </c>
      <c r="G466" t="str">
        <f t="shared" si="17"/>
        <v>CoStep4ColorT10</v>
      </c>
      <c r="J466" s="26" t="s">
        <v>72</v>
      </c>
      <c r="K466">
        <v>105</v>
      </c>
      <c r="L466" t="str">
        <f t="shared" si="16"/>
        <v>B105</v>
      </c>
    </row>
    <row r="467" spans="1:12" x14ac:dyDescent="0.2">
      <c r="A467" s="26" t="s">
        <v>36</v>
      </c>
      <c r="B467" t="s">
        <v>69</v>
      </c>
      <c r="C467">
        <v>4</v>
      </c>
      <c r="D467" t="s">
        <v>68</v>
      </c>
      <c r="E467" t="s">
        <v>71</v>
      </c>
      <c r="F467">
        <v>10</v>
      </c>
      <c r="G467" t="str">
        <f t="shared" si="17"/>
        <v>CoStep4StepLengthT10</v>
      </c>
      <c r="J467" s="26" t="s">
        <v>73</v>
      </c>
      <c r="K467">
        <v>105</v>
      </c>
      <c r="L467" t="str">
        <f t="shared" si="16"/>
        <v>E105</v>
      </c>
    </row>
    <row r="468" spans="1:12" x14ac:dyDescent="0.2">
      <c r="A468" s="26" t="s">
        <v>36</v>
      </c>
      <c r="B468" t="s">
        <v>69</v>
      </c>
      <c r="C468">
        <v>4</v>
      </c>
      <c r="D468" s="26" t="s">
        <v>400</v>
      </c>
      <c r="E468" t="s">
        <v>71</v>
      </c>
      <c r="F468">
        <v>10</v>
      </c>
      <c r="G468" t="str">
        <f t="shared" si="17"/>
        <v>CoStep4StepTimeT10</v>
      </c>
      <c r="J468" s="26" t="s">
        <v>74</v>
      </c>
      <c r="K468">
        <v>105</v>
      </c>
      <c r="L468" t="str">
        <f t="shared" si="16"/>
        <v>J105</v>
      </c>
    </row>
    <row r="469" spans="1:12" x14ac:dyDescent="0.2">
      <c r="A469" s="26" t="s">
        <v>36</v>
      </c>
      <c r="B469" t="s">
        <v>69</v>
      </c>
      <c r="C469">
        <v>4</v>
      </c>
      <c r="D469" s="26" t="s">
        <v>401</v>
      </c>
      <c r="E469" t="s">
        <v>71</v>
      </c>
      <c r="F469">
        <v>10</v>
      </c>
      <c r="G469" t="str">
        <f t="shared" si="17"/>
        <v>CoStep4DoubleSupportTimeT10</v>
      </c>
      <c r="J469" s="26" t="s">
        <v>75</v>
      </c>
      <c r="K469">
        <v>105</v>
      </c>
      <c r="L469" t="str">
        <f t="shared" si="16"/>
        <v>O105</v>
      </c>
    </row>
    <row r="470" spans="1:12" x14ac:dyDescent="0.2">
      <c r="A470" s="26" t="s">
        <v>36</v>
      </c>
      <c r="B470" t="s">
        <v>69</v>
      </c>
      <c r="C470">
        <v>4</v>
      </c>
      <c r="D470" s="26" t="s">
        <v>402</v>
      </c>
      <c r="E470" t="s">
        <v>71</v>
      </c>
      <c r="F470">
        <v>10</v>
      </c>
      <c r="G470" t="str">
        <f t="shared" si="17"/>
        <v>CoStep4StanceTimeT10</v>
      </c>
      <c r="J470" s="26" t="s">
        <v>71</v>
      </c>
      <c r="K470">
        <v>105</v>
      </c>
      <c r="L470" t="str">
        <f t="shared" si="16"/>
        <v>T105</v>
      </c>
    </row>
    <row r="471" spans="1:12" x14ac:dyDescent="0.2">
      <c r="A471" s="26" t="s">
        <v>36</v>
      </c>
      <c r="B471" t="s">
        <v>69</v>
      </c>
      <c r="C471">
        <v>5</v>
      </c>
      <c r="D471" s="26" t="s">
        <v>384</v>
      </c>
      <c r="E471" t="s">
        <v>71</v>
      </c>
      <c r="F471">
        <v>10</v>
      </c>
      <c r="G471" t="str">
        <f t="shared" si="17"/>
        <v>CoStep5ColorT10</v>
      </c>
      <c r="J471" s="26" t="s">
        <v>72</v>
      </c>
      <c r="K471">
        <v>130</v>
      </c>
      <c r="L471" t="str">
        <f t="shared" si="16"/>
        <v>B130</v>
      </c>
    </row>
    <row r="472" spans="1:12" x14ac:dyDescent="0.2">
      <c r="A472" s="26" t="s">
        <v>36</v>
      </c>
      <c r="B472" t="s">
        <v>69</v>
      </c>
      <c r="C472">
        <v>5</v>
      </c>
      <c r="D472" t="s">
        <v>68</v>
      </c>
      <c r="E472" t="s">
        <v>71</v>
      </c>
      <c r="F472">
        <v>10</v>
      </c>
      <c r="G472" t="str">
        <f t="shared" si="17"/>
        <v>CoStep5StepLengthT10</v>
      </c>
      <c r="J472" s="26" t="s">
        <v>73</v>
      </c>
      <c r="K472">
        <v>130</v>
      </c>
      <c r="L472" t="str">
        <f t="shared" si="16"/>
        <v>E130</v>
      </c>
    </row>
    <row r="473" spans="1:12" x14ac:dyDescent="0.2">
      <c r="A473" s="26" t="s">
        <v>36</v>
      </c>
      <c r="B473" t="s">
        <v>69</v>
      </c>
      <c r="C473">
        <v>5</v>
      </c>
      <c r="D473" s="26" t="s">
        <v>400</v>
      </c>
      <c r="E473" t="s">
        <v>71</v>
      </c>
      <c r="F473">
        <v>10</v>
      </c>
      <c r="G473" t="str">
        <f t="shared" si="17"/>
        <v>CoStep5StepTimeT10</v>
      </c>
      <c r="J473" s="26" t="s">
        <v>74</v>
      </c>
      <c r="K473">
        <v>130</v>
      </c>
      <c r="L473" t="str">
        <f t="shared" si="16"/>
        <v>J130</v>
      </c>
    </row>
    <row r="474" spans="1:12" x14ac:dyDescent="0.2">
      <c r="A474" s="26" t="s">
        <v>36</v>
      </c>
      <c r="B474" t="s">
        <v>69</v>
      </c>
      <c r="C474">
        <v>5</v>
      </c>
      <c r="D474" s="26" t="s">
        <v>401</v>
      </c>
      <c r="E474" t="s">
        <v>71</v>
      </c>
      <c r="F474">
        <v>10</v>
      </c>
      <c r="G474" t="str">
        <f t="shared" si="17"/>
        <v>CoStep5DoubleSupportTimeT10</v>
      </c>
      <c r="J474" s="26" t="s">
        <v>75</v>
      </c>
      <c r="K474">
        <v>130</v>
      </c>
      <c r="L474" t="str">
        <f t="shared" si="16"/>
        <v>O130</v>
      </c>
    </row>
    <row r="475" spans="1:12" x14ac:dyDescent="0.2">
      <c r="A475" s="26" t="s">
        <v>36</v>
      </c>
      <c r="B475" t="s">
        <v>69</v>
      </c>
      <c r="C475">
        <v>5</v>
      </c>
      <c r="D475" s="26" t="s">
        <v>402</v>
      </c>
      <c r="E475" t="s">
        <v>71</v>
      </c>
      <c r="F475">
        <v>10</v>
      </c>
      <c r="G475" t="str">
        <f t="shared" si="17"/>
        <v>CoStep5StanceTimeT10</v>
      </c>
      <c r="J475" s="26" t="s">
        <v>71</v>
      </c>
      <c r="K475">
        <v>130</v>
      </c>
      <c r="L475" t="str">
        <f t="shared" si="16"/>
        <v>T130</v>
      </c>
    </row>
    <row r="476" spans="1:12" x14ac:dyDescent="0.2">
      <c r="A476" s="26" t="s">
        <v>36</v>
      </c>
      <c r="B476" t="s">
        <v>69</v>
      </c>
      <c r="C476">
        <v>6</v>
      </c>
      <c r="D476" s="26" t="s">
        <v>384</v>
      </c>
      <c r="E476" t="s">
        <v>71</v>
      </c>
      <c r="F476">
        <v>10</v>
      </c>
      <c r="G476" t="str">
        <f t="shared" si="17"/>
        <v>CoStep6ColorT10</v>
      </c>
      <c r="J476" s="26" t="s">
        <v>72</v>
      </c>
      <c r="K476">
        <v>155</v>
      </c>
      <c r="L476" t="str">
        <f t="shared" si="16"/>
        <v>B155</v>
      </c>
    </row>
    <row r="477" spans="1:12" x14ac:dyDescent="0.2">
      <c r="A477" s="26" t="s">
        <v>36</v>
      </c>
      <c r="B477" t="s">
        <v>69</v>
      </c>
      <c r="C477">
        <v>6</v>
      </c>
      <c r="D477" t="s">
        <v>68</v>
      </c>
      <c r="E477" t="s">
        <v>71</v>
      </c>
      <c r="F477">
        <v>10</v>
      </c>
      <c r="G477" t="str">
        <f t="shared" si="17"/>
        <v>CoStep6StepLengthT10</v>
      </c>
      <c r="J477" s="26" t="s">
        <v>73</v>
      </c>
      <c r="K477">
        <v>155</v>
      </c>
      <c r="L477" t="str">
        <f t="shared" si="16"/>
        <v>E155</v>
      </c>
    </row>
    <row r="478" spans="1:12" x14ac:dyDescent="0.2">
      <c r="A478" s="26" t="s">
        <v>36</v>
      </c>
      <c r="B478" t="s">
        <v>69</v>
      </c>
      <c r="C478">
        <v>6</v>
      </c>
      <c r="D478" s="26" t="s">
        <v>400</v>
      </c>
      <c r="E478" t="s">
        <v>71</v>
      </c>
      <c r="F478">
        <v>10</v>
      </c>
      <c r="G478" t="str">
        <f t="shared" si="17"/>
        <v>CoStep6StepTimeT10</v>
      </c>
      <c r="J478" s="26" t="s">
        <v>74</v>
      </c>
      <c r="K478">
        <v>155</v>
      </c>
      <c r="L478" t="str">
        <f t="shared" si="16"/>
        <v>J155</v>
      </c>
    </row>
    <row r="479" spans="1:12" x14ac:dyDescent="0.2">
      <c r="A479" s="26" t="s">
        <v>36</v>
      </c>
      <c r="B479" t="s">
        <v>69</v>
      </c>
      <c r="C479">
        <v>6</v>
      </c>
      <c r="D479" s="26" t="s">
        <v>401</v>
      </c>
      <c r="E479" t="s">
        <v>71</v>
      </c>
      <c r="F479">
        <v>10</v>
      </c>
      <c r="G479" t="str">
        <f t="shared" si="17"/>
        <v>CoStep6DoubleSupportTimeT10</v>
      </c>
      <c r="J479" s="26" t="s">
        <v>75</v>
      </c>
      <c r="K479">
        <v>155</v>
      </c>
      <c r="L479" t="str">
        <f t="shared" si="16"/>
        <v>O155</v>
      </c>
    </row>
    <row r="480" spans="1:12" x14ac:dyDescent="0.2">
      <c r="A480" s="26" t="s">
        <v>36</v>
      </c>
      <c r="B480" t="s">
        <v>69</v>
      </c>
      <c r="C480">
        <v>6</v>
      </c>
      <c r="D480" s="26" t="s">
        <v>402</v>
      </c>
      <c r="E480" t="s">
        <v>71</v>
      </c>
      <c r="F480">
        <v>10</v>
      </c>
      <c r="G480" t="str">
        <f t="shared" si="17"/>
        <v>CoStep6StanceTimeT10</v>
      </c>
      <c r="J480" s="26" t="s">
        <v>71</v>
      </c>
      <c r="K480">
        <v>155</v>
      </c>
      <c r="L480" t="str">
        <f t="shared" si="16"/>
        <v>T155</v>
      </c>
    </row>
    <row r="481" spans="1:12" x14ac:dyDescent="0.2">
      <c r="A481" s="26" t="s">
        <v>36</v>
      </c>
      <c r="B481" t="s">
        <v>69</v>
      </c>
      <c r="C481">
        <v>7</v>
      </c>
      <c r="D481" s="26" t="s">
        <v>384</v>
      </c>
      <c r="E481" t="s">
        <v>71</v>
      </c>
      <c r="F481">
        <v>10</v>
      </c>
      <c r="G481" t="str">
        <f t="shared" si="17"/>
        <v>CoStep7ColorT10</v>
      </c>
      <c r="J481" s="26" t="s">
        <v>72</v>
      </c>
      <c r="K481">
        <v>188</v>
      </c>
      <c r="L481" t="str">
        <f t="shared" si="16"/>
        <v>B188</v>
      </c>
    </row>
    <row r="482" spans="1:12" x14ac:dyDescent="0.2">
      <c r="A482" s="26" t="s">
        <v>36</v>
      </c>
      <c r="B482" t="s">
        <v>69</v>
      </c>
      <c r="C482">
        <v>7</v>
      </c>
      <c r="D482" t="s">
        <v>68</v>
      </c>
      <c r="E482" t="s">
        <v>71</v>
      </c>
      <c r="F482">
        <v>10</v>
      </c>
      <c r="G482" t="str">
        <f t="shared" si="17"/>
        <v>CoStep7StepLengthT10</v>
      </c>
      <c r="J482" s="26" t="s">
        <v>73</v>
      </c>
      <c r="K482">
        <v>188</v>
      </c>
      <c r="L482" t="str">
        <f t="shared" si="16"/>
        <v>E188</v>
      </c>
    </row>
    <row r="483" spans="1:12" x14ac:dyDescent="0.2">
      <c r="A483" s="26" t="s">
        <v>36</v>
      </c>
      <c r="B483" t="s">
        <v>69</v>
      </c>
      <c r="C483">
        <v>7</v>
      </c>
      <c r="D483" s="26" t="s">
        <v>400</v>
      </c>
      <c r="E483" t="s">
        <v>71</v>
      </c>
      <c r="F483">
        <v>10</v>
      </c>
      <c r="G483" t="str">
        <f t="shared" si="17"/>
        <v>CoStep7StepTimeT10</v>
      </c>
      <c r="J483" s="26" t="s">
        <v>74</v>
      </c>
      <c r="K483">
        <v>188</v>
      </c>
      <c r="L483" t="str">
        <f t="shared" si="16"/>
        <v>J188</v>
      </c>
    </row>
    <row r="484" spans="1:12" x14ac:dyDescent="0.2">
      <c r="A484" s="26" t="s">
        <v>36</v>
      </c>
      <c r="B484" t="s">
        <v>69</v>
      </c>
      <c r="C484">
        <v>7</v>
      </c>
      <c r="D484" s="26" t="s">
        <v>401</v>
      </c>
      <c r="E484" t="s">
        <v>71</v>
      </c>
      <c r="F484">
        <v>10</v>
      </c>
      <c r="G484" t="str">
        <f t="shared" si="17"/>
        <v>CoStep7DoubleSupportTimeT10</v>
      </c>
      <c r="J484" s="26" t="s">
        <v>75</v>
      </c>
      <c r="K484">
        <v>188</v>
      </c>
      <c r="L484" t="str">
        <f t="shared" si="16"/>
        <v>O188</v>
      </c>
    </row>
    <row r="485" spans="1:12" x14ac:dyDescent="0.2">
      <c r="A485" s="26" t="s">
        <v>36</v>
      </c>
      <c r="B485" t="s">
        <v>69</v>
      </c>
      <c r="C485">
        <v>7</v>
      </c>
      <c r="D485" s="26" t="s">
        <v>402</v>
      </c>
      <c r="E485" t="s">
        <v>71</v>
      </c>
      <c r="F485">
        <v>10</v>
      </c>
      <c r="G485" t="str">
        <f t="shared" si="17"/>
        <v>CoStep7StanceTimeT10</v>
      </c>
      <c r="J485" s="26" t="s">
        <v>71</v>
      </c>
      <c r="K485">
        <v>188</v>
      </c>
      <c r="L485" t="str">
        <f t="shared" si="16"/>
        <v>T188</v>
      </c>
    </row>
    <row r="486" spans="1:12" x14ac:dyDescent="0.2">
      <c r="A486" s="26" t="s">
        <v>36</v>
      </c>
      <c r="B486" t="s">
        <v>69</v>
      </c>
      <c r="C486">
        <v>8</v>
      </c>
      <c r="D486" s="26" t="s">
        <v>384</v>
      </c>
      <c r="E486" t="s">
        <v>71</v>
      </c>
      <c r="F486">
        <v>10</v>
      </c>
      <c r="G486" t="str">
        <f t="shared" si="17"/>
        <v>CoStep8ColorT10</v>
      </c>
      <c r="J486" s="26" t="s">
        <v>72</v>
      </c>
      <c r="K486">
        <v>205</v>
      </c>
      <c r="L486" t="str">
        <f t="shared" si="16"/>
        <v>B205</v>
      </c>
    </row>
    <row r="487" spans="1:12" x14ac:dyDescent="0.2">
      <c r="A487" s="26" t="s">
        <v>36</v>
      </c>
      <c r="B487" t="s">
        <v>69</v>
      </c>
      <c r="C487">
        <v>8</v>
      </c>
      <c r="D487" t="s">
        <v>68</v>
      </c>
      <c r="E487" t="s">
        <v>71</v>
      </c>
      <c r="F487">
        <v>10</v>
      </c>
      <c r="G487" t="str">
        <f t="shared" si="17"/>
        <v>CoStep8StepLengthT10</v>
      </c>
      <c r="J487" s="26" t="s">
        <v>73</v>
      </c>
      <c r="K487">
        <v>205</v>
      </c>
      <c r="L487" t="str">
        <f t="shared" si="16"/>
        <v>E205</v>
      </c>
    </row>
    <row r="488" spans="1:12" x14ac:dyDescent="0.2">
      <c r="A488" s="26" t="s">
        <v>36</v>
      </c>
      <c r="B488" t="s">
        <v>69</v>
      </c>
      <c r="C488">
        <v>8</v>
      </c>
      <c r="D488" s="26" t="s">
        <v>400</v>
      </c>
      <c r="E488" t="s">
        <v>71</v>
      </c>
      <c r="F488">
        <v>10</v>
      </c>
      <c r="G488" t="str">
        <f t="shared" si="17"/>
        <v>CoStep8StepTimeT10</v>
      </c>
      <c r="J488" s="26" t="s">
        <v>74</v>
      </c>
      <c r="K488">
        <v>205</v>
      </c>
      <c r="L488" t="str">
        <f t="shared" si="16"/>
        <v>J205</v>
      </c>
    </row>
    <row r="489" spans="1:12" x14ac:dyDescent="0.2">
      <c r="A489" s="26" t="s">
        <v>36</v>
      </c>
      <c r="B489" t="s">
        <v>69</v>
      </c>
      <c r="C489">
        <v>8</v>
      </c>
      <c r="D489" s="26" t="s">
        <v>401</v>
      </c>
      <c r="E489" t="s">
        <v>71</v>
      </c>
      <c r="F489">
        <v>10</v>
      </c>
      <c r="G489" t="str">
        <f t="shared" si="17"/>
        <v>CoStep8DoubleSupportTimeT10</v>
      </c>
      <c r="J489" s="26" t="s">
        <v>75</v>
      </c>
      <c r="K489">
        <v>205</v>
      </c>
      <c r="L489" t="str">
        <f t="shared" si="16"/>
        <v>O205</v>
      </c>
    </row>
    <row r="490" spans="1:12" x14ac:dyDescent="0.2">
      <c r="A490" s="26" t="s">
        <v>36</v>
      </c>
      <c r="B490" t="s">
        <v>69</v>
      </c>
      <c r="C490">
        <v>8</v>
      </c>
      <c r="D490" s="26" t="s">
        <v>402</v>
      </c>
      <c r="E490" t="s">
        <v>71</v>
      </c>
      <c r="F490">
        <v>10</v>
      </c>
      <c r="G490" t="str">
        <f t="shared" si="17"/>
        <v>CoStep8StanceTimeT10</v>
      </c>
      <c r="J490" s="26" t="s">
        <v>71</v>
      </c>
      <c r="K490">
        <v>205</v>
      </c>
      <c r="L490" t="str">
        <f t="shared" si="16"/>
        <v>T205</v>
      </c>
    </row>
    <row r="491" spans="1:12" x14ac:dyDescent="0.2">
      <c r="A491" s="26" t="s">
        <v>36</v>
      </c>
      <c r="B491" t="s">
        <v>69</v>
      </c>
      <c r="C491">
        <v>9</v>
      </c>
      <c r="D491" s="26" t="s">
        <v>384</v>
      </c>
      <c r="E491" t="s">
        <v>71</v>
      </c>
      <c r="F491">
        <v>10</v>
      </c>
      <c r="G491" t="str">
        <f t="shared" si="17"/>
        <v>CoStep9ColorT10</v>
      </c>
      <c r="J491" s="26" t="s">
        <v>72</v>
      </c>
      <c r="K491">
        <v>230</v>
      </c>
      <c r="L491" t="str">
        <f t="shared" si="16"/>
        <v>B230</v>
      </c>
    </row>
    <row r="492" spans="1:12" x14ac:dyDescent="0.2">
      <c r="A492" s="26" t="s">
        <v>36</v>
      </c>
      <c r="B492" t="s">
        <v>69</v>
      </c>
      <c r="C492">
        <v>9</v>
      </c>
      <c r="D492" t="s">
        <v>68</v>
      </c>
      <c r="E492" t="s">
        <v>71</v>
      </c>
      <c r="F492">
        <v>10</v>
      </c>
      <c r="G492" t="str">
        <f t="shared" si="17"/>
        <v>CoStep9StepLengthT10</v>
      </c>
      <c r="J492" s="26" t="s">
        <v>73</v>
      </c>
      <c r="K492">
        <v>230</v>
      </c>
      <c r="L492" t="str">
        <f t="shared" si="16"/>
        <v>E230</v>
      </c>
    </row>
    <row r="493" spans="1:12" x14ac:dyDescent="0.2">
      <c r="A493" s="26" t="s">
        <v>36</v>
      </c>
      <c r="B493" t="s">
        <v>69</v>
      </c>
      <c r="C493">
        <v>9</v>
      </c>
      <c r="D493" s="26" t="s">
        <v>400</v>
      </c>
      <c r="E493" t="s">
        <v>71</v>
      </c>
      <c r="F493">
        <v>10</v>
      </c>
      <c r="G493" t="str">
        <f t="shared" si="17"/>
        <v>CoStep9StepTimeT10</v>
      </c>
      <c r="J493" s="26" t="s">
        <v>74</v>
      </c>
      <c r="K493">
        <v>230</v>
      </c>
      <c r="L493" t="str">
        <f t="shared" si="16"/>
        <v>J230</v>
      </c>
    </row>
    <row r="494" spans="1:12" x14ac:dyDescent="0.2">
      <c r="A494" s="26" t="s">
        <v>36</v>
      </c>
      <c r="B494" t="s">
        <v>69</v>
      </c>
      <c r="C494">
        <v>9</v>
      </c>
      <c r="D494" s="26" t="s">
        <v>401</v>
      </c>
      <c r="E494" t="s">
        <v>71</v>
      </c>
      <c r="F494">
        <v>10</v>
      </c>
      <c r="G494" t="str">
        <f t="shared" si="17"/>
        <v>CoStep9DoubleSupportTimeT10</v>
      </c>
      <c r="J494" s="26" t="s">
        <v>75</v>
      </c>
      <c r="K494">
        <v>230</v>
      </c>
      <c r="L494" t="str">
        <f t="shared" si="16"/>
        <v>O230</v>
      </c>
    </row>
    <row r="495" spans="1:12" x14ac:dyDescent="0.2">
      <c r="A495" s="26" t="s">
        <v>36</v>
      </c>
      <c r="B495" t="s">
        <v>69</v>
      </c>
      <c r="C495">
        <v>9</v>
      </c>
      <c r="D495" s="26" t="s">
        <v>402</v>
      </c>
      <c r="E495" t="s">
        <v>71</v>
      </c>
      <c r="F495">
        <v>10</v>
      </c>
      <c r="G495" t="str">
        <f t="shared" si="17"/>
        <v>CoStep9StanceTimeT10</v>
      </c>
      <c r="J495" s="26" t="s">
        <v>71</v>
      </c>
      <c r="K495">
        <v>230</v>
      </c>
      <c r="L495" t="str">
        <f t="shared" si="16"/>
        <v>T230</v>
      </c>
    </row>
    <row r="496" spans="1:12" x14ac:dyDescent="0.2">
      <c r="A496" s="26" t="s">
        <v>36</v>
      </c>
      <c r="B496" t="s">
        <v>69</v>
      </c>
      <c r="C496">
        <v>10</v>
      </c>
      <c r="D496" s="26" t="s">
        <v>384</v>
      </c>
      <c r="E496" t="s">
        <v>71</v>
      </c>
      <c r="F496">
        <v>10</v>
      </c>
      <c r="G496" t="str">
        <f t="shared" si="17"/>
        <v>CoStep10ColorT10</v>
      </c>
      <c r="J496" s="26" t="s">
        <v>72</v>
      </c>
      <c r="K496">
        <v>255</v>
      </c>
      <c r="L496" t="str">
        <f t="shared" si="16"/>
        <v>B255</v>
      </c>
    </row>
    <row r="497" spans="1:12" x14ac:dyDescent="0.2">
      <c r="A497" s="26" t="s">
        <v>36</v>
      </c>
      <c r="B497" t="s">
        <v>69</v>
      </c>
      <c r="C497">
        <v>10</v>
      </c>
      <c r="D497" t="s">
        <v>68</v>
      </c>
      <c r="E497" t="s">
        <v>71</v>
      </c>
      <c r="F497">
        <v>10</v>
      </c>
      <c r="G497" t="str">
        <f t="shared" si="17"/>
        <v>CoStep10StepLengthT10</v>
      </c>
      <c r="J497" s="26" t="s">
        <v>73</v>
      </c>
      <c r="K497">
        <v>255</v>
      </c>
      <c r="L497" t="str">
        <f t="shared" si="16"/>
        <v>E255</v>
      </c>
    </row>
    <row r="498" spans="1:12" x14ac:dyDescent="0.2">
      <c r="A498" s="26" t="s">
        <v>36</v>
      </c>
      <c r="B498" t="s">
        <v>69</v>
      </c>
      <c r="C498">
        <v>10</v>
      </c>
      <c r="D498" s="26" t="s">
        <v>400</v>
      </c>
      <c r="E498" t="s">
        <v>71</v>
      </c>
      <c r="F498">
        <v>10</v>
      </c>
      <c r="G498" t="str">
        <f t="shared" si="17"/>
        <v>CoStep10StepTimeT10</v>
      </c>
      <c r="J498" s="26" t="s">
        <v>74</v>
      </c>
      <c r="K498">
        <v>255</v>
      </c>
      <c r="L498" t="str">
        <f t="shared" si="16"/>
        <v>J255</v>
      </c>
    </row>
    <row r="499" spans="1:12" x14ac:dyDescent="0.2">
      <c r="A499" s="26" t="s">
        <v>36</v>
      </c>
      <c r="B499" t="s">
        <v>69</v>
      </c>
      <c r="C499">
        <v>10</v>
      </c>
      <c r="D499" s="26" t="s">
        <v>401</v>
      </c>
      <c r="E499" t="s">
        <v>71</v>
      </c>
      <c r="F499">
        <v>10</v>
      </c>
      <c r="G499" t="str">
        <f t="shared" si="17"/>
        <v>CoStep10DoubleSupportTimeT10</v>
      </c>
      <c r="J499" s="26" t="s">
        <v>75</v>
      </c>
      <c r="K499">
        <v>255</v>
      </c>
      <c r="L499" t="str">
        <f t="shared" si="16"/>
        <v>O255</v>
      </c>
    </row>
    <row r="500" spans="1:12" x14ac:dyDescent="0.2">
      <c r="A500" s="26" t="s">
        <v>36</v>
      </c>
      <c r="B500" t="s">
        <v>69</v>
      </c>
      <c r="C500">
        <v>10</v>
      </c>
      <c r="D500" s="26" t="s">
        <v>402</v>
      </c>
      <c r="E500" t="s">
        <v>71</v>
      </c>
      <c r="F500">
        <v>10</v>
      </c>
      <c r="G500" t="str">
        <f t="shared" si="17"/>
        <v>CoStep10StanceTimeT10</v>
      </c>
      <c r="J500" s="26" t="s">
        <v>71</v>
      </c>
      <c r="K500">
        <v>255</v>
      </c>
      <c r="L500" t="str">
        <f t="shared" si="16"/>
        <v>T255</v>
      </c>
    </row>
    <row r="501" spans="1:12" x14ac:dyDescent="0.2">
      <c r="A501" s="26" t="s">
        <v>36</v>
      </c>
      <c r="B501" t="s">
        <v>69</v>
      </c>
      <c r="C501">
        <v>1</v>
      </c>
      <c r="D501" s="26" t="s">
        <v>384</v>
      </c>
      <c r="E501" t="s">
        <v>71</v>
      </c>
      <c r="F501">
        <v>11</v>
      </c>
      <c r="G501" t="str">
        <f t="shared" si="17"/>
        <v>CoStep1ColorT11</v>
      </c>
      <c r="J501" s="26" t="s">
        <v>72</v>
      </c>
      <c r="K501">
        <v>30</v>
      </c>
      <c r="L501" t="str">
        <f>J501&amp;K501</f>
        <v>B30</v>
      </c>
    </row>
    <row r="502" spans="1:12" x14ac:dyDescent="0.2">
      <c r="A502" s="26" t="s">
        <v>36</v>
      </c>
      <c r="B502" t="s">
        <v>69</v>
      </c>
      <c r="C502">
        <v>1</v>
      </c>
      <c r="D502" t="s">
        <v>68</v>
      </c>
      <c r="E502" t="s">
        <v>71</v>
      </c>
      <c r="F502">
        <v>11</v>
      </c>
      <c r="G502" t="str">
        <f t="shared" si="17"/>
        <v>CoStep1StepLengthT11</v>
      </c>
      <c r="J502" s="26" t="s">
        <v>73</v>
      </c>
      <c r="K502">
        <v>30</v>
      </c>
      <c r="L502" t="str">
        <f t="shared" ref="L502:L550" si="18">J502&amp;K502</f>
        <v>E30</v>
      </c>
    </row>
    <row r="503" spans="1:12" x14ac:dyDescent="0.2">
      <c r="A503" s="26" t="s">
        <v>36</v>
      </c>
      <c r="B503" t="s">
        <v>69</v>
      </c>
      <c r="C503">
        <v>1</v>
      </c>
      <c r="D503" s="26" t="s">
        <v>400</v>
      </c>
      <c r="E503" t="s">
        <v>71</v>
      </c>
      <c r="F503">
        <v>11</v>
      </c>
      <c r="G503" t="str">
        <f t="shared" si="17"/>
        <v>CoStep1StepTimeT11</v>
      </c>
      <c r="J503" s="26" t="s">
        <v>74</v>
      </c>
      <c r="K503">
        <v>30</v>
      </c>
      <c r="L503" t="str">
        <f t="shared" si="18"/>
        <v>J30</v>
      </c>
    </row>
    <row r="504" spans="1:12" x14ac:dyDescent="0.2">
      <c r="A504" s="26" t="s">
        <v>36</v>
      </c>
      <c r="B504" t="s">
        <v>69</v>
      </c>
      <c r="C504">
        <v>1</v>
      </c>
      <c r="D504" s="26" t="s">
        <v>401</v>
      </c>
      <c r="E504" t="s">
        <v>71</v>
      </c>
      <c r="F504">
        <v>11</v>
      </c>
      <c r="G504" t="str">
        <f t="shared" si="17"/>
        <v>CoStep1DoubleSupportTimeT11</v>
      </c>
      <c r="J504" s="26" t="s">
        <v>75</v>
      </c>
      <c r="K504">
        <v>30</v>
      </c>
      <c r="L504" t="str">
        <f t="shared" si="18"/>
        <v>O30</v>
      </c>
    </row>
    <row r="505" spans="1:12" x14ac:dyDescent="0.2">
      <c r="A505" s="26" t="s">
        <v>36</v>
      </c>
      <c r="B505" t="s">
        <v>69</v>
      </c>
      <c r="C505">
        <v>1</v>
      </c>
      <c r="D505" s="26" t="s">
        <v>402</v>
      </c>
      <c r="E505" t="s">
        <v>71</v>
      </c>
      <c r="F505">
        <v>11</v>
      </c>
      <c r="G505" t="str">
        <f t="shared" si="17"/>
        <v>CoStep1StanceTimeT11</v>
      </c>
      <c r="J505" s="26" t="s">
        <v>71</v>
      </c>
      <c r="K505">
        <v>30</v>
      </c>
      <c r="L505" t="str">
        <f t="shared" si="18"/>
        <v>T30</v>
      </c>
    </row>
    <row r="506" spans="1:12" x14ac:dyDescent="0.2">
      <c r="A506" s="26" t="s">
        <v>36</v>
      </c>
      <c r="B506" t="s">
        <v>69</v>
      </c>
      <c r="C506">
        <v>2</v>
      </c>
      <c r="D506" s="26" t="s">
        <v>384</v>
      </c>
      <c r="E506" t="s">
        <v>71</v>
      </c>
      <c r="F506">
        <v>11</v>
      </c>
      <c r="G506" t="str">
        <f t="shared" si="17"/>
        <v>CoStep2ColorT11</v>
      </c>
      <c r="J506" s="26" t="s">
        <v>72</v>
      </c>
      <c r="K506">
        <v>55</v>
      </c>
      <c r="L506" t="str">
        <f t="shared" si="18"/>
        <v>B55</v>
      </c>
    </row>
    <row r="507" spans="1:12" x14ac:dyDescent="0.2">
      <c r="A507" s="26" t="s">
        <v>36</v>
      </c>
      <c r="B507" t="s">
        <v>69</v>
      </c>
      <c r="C507">
        <v>2</v>
      </c>
      <c r="D507" t="s">
        <v>68</v>
      </c>
      <c r="E507" t="s">
        <v>71</v>
      </c>
      <c r="F507">
        <v>11</v>
      </c>
      <c r="G507" t="str">
        <f t="shared" si="17"/>
        <v>CoStep2StepLengthT11</v>
      </c>
      <c r="J507" s="26" t="s">
        <v>73</v>
      </c>
      <c r="K507">
        <v>55</v>
      </c>
      <c r="L507" t="str">
        <f t="shared" si="18"/>
        <v>E55</v>
      </c>
    </row>
    <row r="508" spans="1:12" x14ac:dyDescent="0.2">
      <c r="A508" s="26" t="s">
        <v>36</v>
      </c>
      <c r="B508" t="s">
        <v>69</v>
      </c>
      <c r="C508">
        <v>2</v>
      </c>
      <c r="D508" s="26" t="s">
        <v>400</v>
      </c>
      <c r="E508" t="s">
        <v>71</v>
      </c>
      <c r="F508">
        <v>11</v>
      </c>
      <c r="G508" t="str">
        <f t="shared" si="17"/>
        <v>CoStep2StepTimeT11</v>
      </c>
      <c r="J508" s="26" t="s">
        <v>74</v>
      </c>
      <c r="K508">
        <v>55</v>
      </c>
      <c r="L508" t="str">
        <f t="shared" si="18"/>
        <v>J55</v>
      </c>
    </row>
    <row r="509" spans="1:12" x14ac:dyDescent="0.2">
      <c r="A509" s="26" t="s">
        <v>36</v>
      </c>
      <c r="B509" t="s">
        <v>69</v>
      </c>
      <c r="C509">
        <v>2</v>
      </c>
      <c r="D509" s="26" t="s">
        <v>401</v>
      </c>
      <c r="E509" t="s">
        <v>71</v>
      </c>
      <c r="F509">
        <v>11</v>
      </c>
      <c r="G509" t="str">
        <f t="shared" si="17"/>
        <v>CoStep2DoubleSupportTimeT11</v>
      </c>
      <c r="J509" s="26" t="s">
        <v>75</v>
      </c>
      <c r="K509">
        <v>55</v>
      </c>
      <c r="L509" t="str">
        <f t="shared" si="18"/>
        <v>O55</v>
      </c>
    </row>
    <row r="510" spans="1:12" x14ac:dyDescent="0.2">
      <c r="A510" s="26" t="s">
        <v>36</v>
      </c>
      <c r="B510" t="s">
        <v>69</v>
      </c>
      <c r="C510">
        <v>2</v>
      </c>
      <c r="D510" s="26" t="s">
        <v>402</v>
      </c>
      <c r="E510" t="s">
        <v>71</v>
      </c>
      <c r="F510">
        <v>11</v>
      </c>
      <c r="G510" t="str">
        <f t="shared" si="17"/>
        <v>CoStep2StanceTimeT11</v>
      </c>
      <c r="J510" s="26" t="s">
        <v>71</v>
      </c>
      <c r="K510">
        <v>55</v>
      </c>
      <c r="L510" t="str">
        <f t="shared" si="18"/>
        <v>T55</v>
      </c>
    </row>
    <row r="511" spans="1:12" x14ac:dyDescent="0.2">
      <c r="A511" s="26" t="s">
        <v>36</v>
      </c>
      <c r="B511" t="s">
        <v>69</v>
      </c>
      <c r="C511">
        <v>3</v>
      </c>
      <c r="D511" s="26" t="s">
        <v>384</v>
      </c>
      <c r="E511" t="s">
        <v>71</v>
      </c>
      <c r="F511">
        <v>11</v>
      </c>
      <c r="G511" t="str">
        <f t="shared" si="17"/>
        <v>CoStep3ColorT11</v>
      </c>
      <c r="J511" s="26" t="s">
        <v>72</v>
      </c>
      <c r="K511">
        <v>80</v>
      </c>
      <c r="L511" t="str">
        <f t="shared" si="18"/>
        <v>B80</v>
      </c>
    </row>
    <row r="512" spans="1:12" x14ac:dyDescent="0.2">
      <c r="A512" s="26" t="s">
        <v>36</v>
      </c>
      <c r="B512" t="s">
        <v>69</v>
      </c>
      <c r="C512">
        <v>3</v>
      </c>
      <c r="D512" t="s">
        <v>68</v>
      </c>
      <c r="E512" t="s">
        <v>71</v>
      </c>
      <c r="F512">
        <v>11</v>
      </c>
      <c r="G512" t="str">
        <f t="shared" si="17"/>
        <v>CoStep3StepLengthT11</v>
      </c>
      <c r="J512" s="26" t="s">
        <v>73</v>
      </c>
      <c r="K512">
        <v>80</v>
      </c>
      <c r="L512" t="str">
        <f t="shared" si="18"/>
        <v>E80</v>
      </c>
    </row>
    <row r="513" spans="1:12" x14ac:dyDescent="0.2">
      <c r="A513" s="26" t="s">
        <v>36</v>
      </c>
      <c r="B513" t="s">
        <v>69</v>
      </c>
      <c r="C513">
        <v>3</v>
      </c>
      <c r="D513" s="26" t="s">
        <v>400</v>
      </c>
      <c r="E513" t="s">
        <v>71</v>
      </c>
      <c r="F513">
        <v>11</v>
      </c>
      <c r="G513" t="str">
        <f t="shared" si="17"/>
        <v>CoStep3StepTimeT11</v>
      </c>
      <c r="J513" s="26" t="s">
        <v>74</v>
      </c>
      <c r="K513">
        <v>80</v>
      </c>
      <c r="L513" t="str">
        <f t="shared" si="18"/>
        <v>J80</v>
      </c>
    </row>
    <row r="514" spans="1:12" x14ac:dyDescent="0.2">
      <c r="A514" s="26" t="s">
        <v>36</v>
      </c>
      <c r="B514" t="s">
        <v>69</v>
      </c>
      <c r="C514">
        <v>3</v>
      </c>
      <c r="D514" s="26" t="s">
        <v>401</v>
      </c>
      <c r="E514" t="s">
        <v>71</v>
      </c>
      <c r="F514">
        <v>11</v>
      </c>
      <c r="G514" t="str">
        <f t="shared" si="17"/>
        <v>CoStep3DoubleSupportTimeT11</v>
      </c>
      <c r="J514" s="26" t="s">
        <v>75</v>
      </c>
      <c r="K514">
        <v>80</v>
      </c>
      <c r="L514" t="str">
        <f t="shared" si="18"/>
        <v>O80</v>
      </c>
    </row>
    <row r="515" spans="1:12" x14ac:dyDescent="0.2">
      <c r="A515" s="26" t="s">
        <v>36</v>
      </c>
      <c r="B515" t="s">
        <v>69</v>
      </c>
      <c r="C515">
        <v>3</v>
      </c>
      <c r="D515" s="26" t="s">
        <v>402</v>
      </c>
      <c r="E515" t="s">
        <v>71</v>
      </c>
      <c r="F515">
        <v>11</v>
      </c>
      <c r="G515" t="str">
        <f t="shared" si="17"/>
        <v>CoStep3StanceTimeT11</v>
      </c>
      <c r="J515" s="26" t="s">
        <v>71</v>
      </c>
      <c r="K515">
        <v>80</v>
      </c>
      <c r="L515" t="str">
        <f t="shared" si="18"/>
        <v>T80</v>
      </c>
    </row>
    <row r="516" spans="1:12" x14ac:dyDescent="0.2">
      <c r="A516" s="26" t="s">
        <v>36</v>
      </c>
      <c r="B516" t="s">
        <v>69</v>
      </c>
      <c r="C516">
        <v>4</v>
      </c>
      <c r="D516" s="26" t="s">
        <v>384</v>
      </c>
      <c r="E516" t="s">
        <v>71</v>
      </c>
      <c r="F516">
        <v>11</v>
      </c>
      <c r="G516" t="str">
        <f t="shared" si="17"/>
        <v>CoStep4ColorT11</v>
      </c>
      <c r="J516" s="26" t="s">
        <v>72</v>
      </c>
      <c r="K516">
        <v>105</v>
      </c>
      <c r="L516" t="str">
        <f t="shared" si="18"/>
        <v>B105</v>
      </c>
    </row>
    <row r="517" spans="1:12" x14ac:dyDescent="0.2">
      <c r="A517" s="26" t="s">
        <v>36</v>
      </c>
      <c r="B517" t="s">
        <v>69</v>
      </c>
      <c r="C517">
        <v>4</v>
      </c>
      <c r="D517" t="s">
        <v>68</v>
      </c>
      <c r="E517" t="s">
        <v>71</v>
      </c>
      <c r="F517">
        <v>11</v>
      </c>
      <c r="G517" t="str">
        <f t="shared" si="17"/>
        <v>CoStep4StepLengthT11</v>
      </c>
      <c r="J517" s="26" t="s">
        <v>73</v>
      </c>
      <c r="K517">
        <v>105</v>
      </c>
      <c r="L517" t="str">
        <f t="shared" si="18"/>
        <v>E105</v>
      </c>
    </row>
    <row r="518" spans="1:12" x14ac:dyDescent="0.2">
      <c r="A518" s="26" t="s">
        <v>36</v>
      </c>
      <c r="B518" t="s">
        <v>69</v>
      </c>
      <c r="C518">
        <v>4</v>
      </c>
      <c r="D518" s="26" t="s">
        <v>400</v>
      </c>
      <c r="E518" t="s">
        <v>71</v>
      </c>
      <c r="F518">
        <v>11</v>
      </c>
      <c r="G518" t="str">
        <f t="shared" ref="G518:G581" si="19">A518&amp;B518&amp;C518&amp;D518&amp;E518&amp;F518</f>
        <v>CoStep4StepTimeT11</v>
      </c>
      <c r="J518" s="26" t="s">
        <v>74</v>
      </c>
      <c r="K518">
        <v>105</v>
      </c>
      <c r="L518" t="str">
        <f t="shared" si="18"/>
        <v>J105</v>
      </c>
    </row>
    <row r="519" spans="1:12" x14ac:dyDescent="0.2">
      <c r="A519" s="26" t="s">
        <v>36</v>
      </c>
      <c r="B519" t="s">
        <v>69</v>
      </c>
      <c r="C519">
        <v>4</v>
      </c>
      <c r="D519" s="26" t="s">
        <v>401</v>
      </c>
      <c r="E519" t="s">
        <v>71</v>
      </c>
      <c r="F519">
        <v>11</v>
      </c>
      <c r="G519" t="str">
        <f t="shared" si="19"/>
        <v>CoStep4DoubleSupportTimeT11</v>
      </c>
      <c r="J519" s="26" t="s">
        <v>75</v>
      </c>
      <c r="K519">
        <v>105</v>
      </c>
      <c r="L519" t="str">
        <f t="shared" si="18"/>
        <v>O105</v>
      </c>
    </row>
    <row r="520" spans="1:12" x14ac:dyDescent="0.2">
      <c r="A520" s="26" t="s">
        <v>36</v>
      </c>
      <c r="B520" t="s">
        <v>69</v>
      </c>
      <c r="C520">
        <v>4</v>
      </c>
      <c r="D520" s="26" t="s">
        <v>402</v>
      </c>
      <c r="E520" t="s">
        <v>71</v>
      </c>
      <c r="F520">
        <v>11</v>
      </c>
      <c r="G520" t="str">
        <f t="shared" si="19"/>
        <v>CoStep4StanceTimeT11</v>
      </c>
      <c r="J520" s="26" t="s">
        <v>71</v>
      </c>
      <c r="K520">
        <v>105</v>
      </c>
      <c r="L520" t="str">
        <f t="shared" si="18"/>
        <v>T105</v>
      </c>
    </row>
    <row r="521" spans="1:12" x14ac:dyDescent="0.2">
      <c r="A521" s="26" t="s">
        <v>36</v>
      </c>
      <c r="B521" t="s">
        <v>69</v>
      </c>
      <c r="C521">
        <v>5</v>
      </c>
      <c r="D521" s="26" t="s">
        <v>384</v>
      </c>
      <c r="E521" t="s">
        <v>71</v>
      </c>
      <c r="F521">
        <v>11</v>
      </c>
      <c r="G521" t="str">
        <f t="shared" si="19"/>
        <v>CoStep5ColorT11</v>
      </c>
      <c r="J521" s="26" t="s">
        <v>72</v>
      </c>
      <c r="K521">
        <v>130</v>
      </c>
      <c r="L521" t="str">
        <f t="shared" si="18"/>
        <v>B130</v>
      </c>
    </row>
    <row r="522" spans="1:12" x14ac:dyDescent="0.2">
      <c r="A522" s="26" t="s">
        <v>36</v>
      </c>
      <c r="B522" t="s">
        <v>69</v>
      </c>
      <c r="C522">
        <v>5</v>
      </c>
      <c r="D522" t="s">
        <v>68</v>
      </c>
      <c r="E522" t="s">
        <v>71</v>
      </c>
      <c r="F522">
        <v>11</v>
      </c>
      <c r="G522" t="str">
        <f t="shared" si="19"/>
        <v>CoStep5StepLengthT11</v>
      </c>
      <c r="J522" s="26" t="s">
        <v>73</v>
      </c>
      <c r="K522">
        <v>130</v>
      </c>
      <c r="L522" t="str">
        <f t="shared" si="18"/>
        <v>E130</v>
      </c>
    </row>
    <row r="523" spans="1:12" x14ac:dyDescent="0.2">
      <c r="A523" s="26" t="s">
        <v>36</v>
      </c>
      <c r="B523" t="s">
        <v>69</v>
      </c>
      <c r="C523">
        <v>5</v>
      </c>
      <c r="D523" s="26" t="s">
        <v>400</v>
      </c>
      <c r="E523" t="s">
        <v>71</v>
      </c>
      <c r="F523">
        <v>11</v>
      </c>
      <c r="G523" t="str">
        <f t="shared" si="19"/>
        <v>CoStep5StepTimeT11</v>
      </c>
      <c r="J523" s="26" t="s">
        <v>74</v>
      </c>
      <c r="K523">
        <v>130</v>
      </c>
      <c r="L523" t="str">
        <f t="shared" si="18"/>
        <v>J130</v>
      </c>
    </row>
    <row r="524" spans="1:12" x14ac:dyDescent="0.2">
      <c r="A524" s="26" t="s">
        <v>36</v>
      </c>
      <c r="B524" t="s">
        <v>69</v>
      </c>
      <c r="C524">
        <v>5</v>
      </c>
      <c r="D524" s="26" t="s">
        <v>401</v>
      </c>
      <c r="E524" t="s">
        <v>71</v>
      </c>
      <c r="F524">
        <v>11</v>
      </c>
      <c r="G524" t="str">
        <f t="shared" si="19"/>
        <v>CoStep5DoubleSupportTimeT11</v>
      </c>
      <c r="J524" s="26" t="s">
        <v>75</v>
      </c>
      <c r="K524">
        <v>130</v>
      </c>
      <c r="L524" t="str">
        <f t="shared" si="18"/>
        <v>O130</v>
      </c>
    </row>
    <row r="525" spans="1:12" x14ac:dyDescent="0.2">
      <c r="A525" s="26" t="s">
        <v>36</v>
      </c>
      <c r="B525" t="s">
        <v>69</v>
      </c>
      <c r="C525">
        <v>5</v>
      </c>
      <c r="D525" s="26" t="s">
        <v>402</v>
      </c>
      <c r="E525" t="s">
        <v>71</v>
      </c>
      <c r="F525">
        <v>11</v>
      </c>
      <c r="G525" t="str">
        <f t="shared" si="19"/>
        <v>CoStep5StanceTimeT11</v>
      </c>
      <c r="J525" s="26" t="s">
        <v>71</v>
      </c>
      <c r="K525">
        <v>130</v>
      </c>
      <c r="L525" t="str">
        <f t="shared" si="18"/>
        <v>T130</v>
      </c>
    </row>
    <row r="526" spans="1:12" x14ac:dyDescent="0.2">
      <c r="A526" s="26" t="s">
        <v>36</v>
      </c>
      <c r="B526" t="s">
        <v>69</v>
      </c>
      <c r="C526">
        <v>6</v>
      </c>
      <c r="D526" s="26" t="s">
        <v>384</v>
      </c>
      <c r="E526" t="s">
        <v>71</v>
      </c>
      <c r="F526">
        <v>11</v>
      </c>
      <c r="G526" t="str">
        <f t="shared" si="19"/>
        <v>CoStep6ColorT11</v>
      </c>
      <c r="J526" s="26" t="s">
        <v>72</v>
      </c>
      <c r="K526">
        <v>155</v>
      </c>
      <c r="L526" t="str">
        <f t="shared" si="18"/>
        <v>B155</v>
      </c>
    </row>
    <row r="527" spans="1:12" x14ac:dyDescent="0.2">
      <c r="A527" s="26" t="s">
        <v>36</v>
      </c>
      <c r="B527" t="s">
        <v>69</v>
      </c>
      <c r="C527">
        <v>6</v>
      </c>
      <c r="D527" t="s">
        <v>68</v>
      </c>
      <c r="E527" t="s">
        <v>71</v>
      </c>
      <c r="F527">
        <v>11</v>
      </c>
      <c r="G527" t="str">
        <f t="shared" si="19"/>
        <v>CoStep6StepLengthT11</v>
      </c>
      <c r="J527" s="26" t="s">
        <v>73</v>
      </c>
      <c r="K527">
        <v>155</v>
      </c>
      <c r="L527" t="str">
        <f t="shared" si="18"/>
        <v>E155</v>
      </c>
    </row>
    <row r="528" spans="1:12" x14ac:dyDescent="0.2">
      <c r="A528" s="26" t="s">
        <v>36</v>
      </c>
      <c r="B528" t="s">
        <v>69</v>
      </c>
      <c r="C528">
        <v>6</v>
      </c>
      <c r="D528" s="26" t="s">
        <v>400</v>
      </c>
      <c r="E528" t="s">
        <v>71</v>
      </c>
      <c r="F528">
        <v>11</v>
      </c>
      <c r="G528" t="str">
        <f t="shared" si="19"/>
        <v>CoStep6StepTimeT11</v>
      </c>
      <c r="J528" s="26" t="s">
        <v>74</v>
      </c>
      <c r="K528">
        <v>155</v>
      </c>
      <c r="L528" t="str">
        <f t="shared" si="18"/>
        <v>J155</v>
      </c>
    </row>
    <row r="529" spans="1:12" x14ac:dyDescent="0.2">
      <c r="A529" s="26" t="s">
        <v>36</v>
      </c>
      <c r="B529" t="s">
        <v>69</v>
      </c>
      <c r="C529">
        <v>6</v>
      </c>
      <c r="D529" s="26" t="s">
        <v>401</v>
      </c>
      <c r="E529" t="s">
        <v>71</v>
      </c>
      <c r="F529">
        <v>11</v>
      </c>
      <c r="G529" t="str">
        <f t="shared" si="19"/>
        <v>CoStep6DoubleSupportTimeT11</v>
      </c>
      <c r="J529" s="26" t="s">
        <v>75</v>
      </c>
      <c r="K529">
        <v>155</v>
      </c>
      <c r="L529" t="str">
        <f t="shared" si="18"/>
        <v>O155</v>
      </c>
    </row>
    <row r="530" spans="1:12" x14ac:dyDescent="0.2">
      <c r="A530" s="26" t="s">
        <v>36</v>
      </c>
      <c r="B530" t="s">
        <v>69</v>
      </c>
      <c r="C530">
        <v>6</v>
      </c>
      <c r="D530" s="26" t="s">
        <v>402</v>
      </c>
      <c r="E530" t="s">
        <v>71</v>
      </c>
      <c r="F530">
        <v>11</v>
      </c>
      <c r="G530" t="str">
        <f t="shared" si="19"/>
        <v>CoStep6StanceTimeT11</v>
      </c>
      <c r="J530" s="26" t="s">
        <v>71</v>
      </c>
      <c r="K530">
        <v>155</v>
      </c>
      <c r="L530" t="str">
        <f t="shared" si="18"/>
        <v>T155</v>
      </c>
    </row>
    <row r="531" spans="1:12" x14ac:dyDescent="0.2">
      <c r="A531" s="26" t="s">
        <v>36</v>
      </c>
      <c r="B531" t="s">
        <v>69</v>
      </c>
      <c r="C531">
        <v>7</v>
      </c>
      <c r="D531" s="26" t="s">
        <v>384</v>
      </c>
      <c r="E531" t="s">
        <v>71</v>
      </c>
      <c r="F531">
        <v>11</v>
      </c>
      <c r="G531" t="str">
        <f t="shared" si="19"/>
        <v>CoStep7ColorT11</v>
      </c>
      <c r="J531" s="26" t="s">
        <v>72</v>
      </c>
      <c r="K531">
        <v>188</v>
      </c>
      <c r="L531" t="str">
        <f t="shared" si="18"/>
        <v>B188</v>
      </c>
    </row>
    <row r="532" spans="1:12" x14ac:dyDescent="0.2">
      <c r="A532" s="26" t="s">
        <v>36</v>
      </c>
      <c r="B532" t="s">
        <v>69</v>
      </c>
      <c r="C532">
        <v>7</v>
      </c>
      <c r="D532" t="s">
        <v>68</v>
      </c>
      <c r="E532" t="s">
        <v>71</v>
      </c>
      <c r="F532">
        <v>11</v>
      </c>
      <c r="G532" t="str">
        <f t="shared" si="19"/>
        <v>CoStep7StepLengthT11</v>
      </c>
      <c r="J532" s="26" t="s">
        <v>73</v>
      </c>
      <c r="K532">
        <v>188</v>
      </c>
      <c r="L532" t="str">
        <f t="shared" si="18"/>
        <v>E188</v>
      </c>
    </row>
    <row r="533" spans="1:12" x14ac:dyDescent="0.2">
      <c r="A533" s="26" t="s">
        <v>36</v>
      </c>
      <c r="B533" t="s">
        <v>69</v>
      </c>
      <c r="C533">
        <v>7</v>
      </c>
      <c r="D533" s="26" t="s">
        <v>400</v>
      </c>
      <c r="E533" t="s">
        <v>71</v>
      </c>
      <c r="F533">
        <v>11</v>
      </c>
      <c r="G533" t="str">
        <f t="shared" si="19"/>
        <v>CoStep7StepTimeT11</v>
      </c>
      <c r="J533" s="26" t="s">
        <v>74</v>
      </c>
      <c r="K533">
        <v>188</v>
      </c>
      <c r="L533" t="str">
        <f t="shared" si="18"/>
        <v>J188</v>
      </c>
    </row>
    <row r="534" spans="1:12" x14ac:dyDescent="0.2">
      <c r="A534" s="26" t="s">
        <v>36</v>
      </c>
      <c r="B534" t="s">
        <v>69</v>
      </c>
      <c r="C534">
        <v>7</v>
      </c>
      <c r="D534" s="26" t="s">
        <v>401</v>
      </c>
      <c r="E534" t="s">
        <v>71</v>
      </c>
      <c r="F534">
        <v>11</v>
      </c>
      <c r="G534" t="str">
        <f t="shared" si="19"/>
        <v>CoStep7DoubleSupportTimeT11</v>
      </c>
      <c r="J534" s="26" t="s">
        <v>75</v>
      </c>
      <c r="K534">
        <v>188</v>
      </c>
      <c r="L534" t="str">
        <f t="shared" si="18"/>
        <v>O188</v>
      </c>
    </row>
    <row r="535" spans="1:12" x14ac:dyDescent="0.2">
      <c r="A535" s="26" t="s">
        <v>36</v>
      </c>
      <c r="B535" t="s">
        <v>69</v>
      </c>
      <c r="C535">
        <v>7</v>
      </c>
      <c r="D535" s="26" t="s">
        <v>402</v>
      </c>
      <c r="E535" t="s">
        <v>71</v>
      </c>
      <c r="F535">
        <v>11</v>
      </c>
      <c r="G535" t="str">
        <f t="shared" si="19"/>
        <v>CoStep7StanceTimeT11</v>
      </c>
      <c r="J535" s="26" t="s">
        <v>71</v>
      </c>
      <c r="K535">
        <v>188</v>
      </c>
      <c r="L535" t="str">
        <f t="shared" si="18"/>
        <v>T188</v>
      </c>
    </row>
    <row r="536" spans="1:12" x14ac:dyDescent="0.2">
      <c r="A536" s="26" t="s">
        <v>36</v>
      </c>
      <c r="B536" t="s">
        <v>69</v>
      </c>
      <c r="C536">
        <v>8</v>
      </c>
      <c r="D536" s="26" t="s">
        <v>384</v>
      </c>
      <c r="E536" t="s">
        <v>71</v>
      </c>
      <c r="F536">
        <v>11</v>
      </c>
      <c r="G536" t="str">
        <f t="shared" si="19"/>
        <v>CoStep8ColorT11</v>
      </c>
      <c r="J536" s="26" t="s">
        <v>72</v>
      </c>
      <c r="K536">
        <v>205</v>
      </c>
      <c r="L536" t="str">
        <f t="shared" si="18"/>
        <v>B205</v>
      </c>
    </row>
    <row r="537" spans="1:12" x14ac:dyDescent="0.2">
      <c r="A537" s="26" t="s">
        <v>36</v>
      </c>
      <c r="B537" t="s">
        <v>69</v>
      </c>
      <c r="C537">
        <v>8</v>
      </c>
      <c r="D537" t="s">
        <v>68</v>
      </c>
      <c r="E537" t="s">
        <v>71</v>
      </c>
      <c r="F537">
        <v>11</v>
      </c>
      <c r="G537" t="str">
        <f t="shared" si="19"/>
        <v>CoStep8StepLengthT11</v>
      </c>
      <c r="J537" s="26" t="s">
        <v>73</v>
      </c>
      <c r="K537">
        <v>205</v>
      </c>
      <c r="L537" t="str">
        <f t="shared" si="18"/>
        <v>E205</v>
      </c>
    </row>
    <row r="538" spans="1:12" x14ac:dyDescent="0.2">
      <c r="A538" s="26" t="s">
        <v>36</v>
      </c>
      <c r="B538" t="s">
        <v>69</v>
      </c>
      <c r="C538">
        <v>8</v>
      </c>
      <c r="D538" s="26" t="s">
        <v>400</v>
      </c>
      <c r="E538" t="s">
        <v>71</v>
      </c>
      <c r="F538">
        <v>11</v>
      </c>
      <c r="G538" t="str">
        <f t="shared" si="19"/>
        <v>CoStep8StepTimeT11</v>
      </c>
      <c r="J538" s="26" t="s">
        <v>74</v>
      </c>
      <c r="K538">
        <v>205</v>
      </c>
      <c r="L538" t="str">
        <f t="shared" si="18"/>
        <v>J205</v>
      </c>
    </row>
    <row r="539" spans="1:12" x14ac:dyDescent="0.2">
      <c r="A539" s="26" t="s">
        <v>36</v>
      </c>
      <c r="B539" t="s">
        <v>69</v>
      </c>
      <c r="C539">
        <v>8</v>
      </c>
      <c r="D539" s="26" t="s">
        <v>401</v>
      </c>
      <c r="E539" t="s">
        <v>71</v>
      </c>
      <c r="F539">
        <v>11</v>
      </c>
      <c r="G539" t="str">
        <f t="shared" si="19"/>
        <v>CoStep8DoubleSupportTimeT11</v>
      </c>
      <c r="J539" s="26" t="s">
        <v>75</v>
      </c>
      <c r="K539">
        <v>205</v>
      </c>
      <c r="L539" t="str">
        <f t="shared" si="18"/>
        <v>O205</v>
      </c>
    </row>
    <row r="540" spans="1:12" x14ac:dyDescent="0.2">
      <c r="A540" s="26" t="s">
        <v>36</v>
      </c>
      <c r="B540" t="s">
        <v>69</v>
      </c>
      <c r="C540">
        <v>8</v>
      </c>
      <c r="D540" s="26" t="s">
        <v>402</v>
      </c>
      <c r="E540" t="s">
        <v>71</v>
      </c>
      <c r="F540">
        <v>11</v>
      </c>
      <c r="G540" t="str">
        <f t="shared" si="19"/>
        <v>CoStep8StanceTimeT11</v>
      </c>
      <c r="J540" s="26" t="s">
        <v>71</v>
      </c>
      <c r="K540">
        <v>205</v>
      </c>
      <c r="L540" t="str">
        <f t="shared" si="18"/>
        <v>T205</v>
      </c>
    </row>
    <row r="541" spans="1:12" x14ac:dyDescent="0.2">
      <c r="A541" s="26" t="s">
        <v>36</v>
      </c>
      <c r="B541" t="s">
        <v>69</v>
      </c>
      <c r="C541">
        <v>9</v>
      </c>
      <c r="D541" s="26" t="s">
        <v>384</v>
      </c>
      <c r="E541" t="s">
        <v>71</v>
      </c>
      <c r="F541">
        <v>11</v>
      </c>
      <c r="G541" t="str">
        <f t="shared" si="19"/>
        <v>CoStep9ColorT11</v>
      </c>
      <c r="J541" s="26" t="s">
        <v>72</v>
      </c>
      <c r="K541">
        <v>230</v>
      </c>
      <c r="L541" t="str">
        <f t="shared" si="18"/>
        <v>B230</v>
      </c>
    </row>
    <row r="542" spans="1:12" x14ac:dyDescent="0.2">
      <c r="A542" s="26" t="s">
        <v>36</v>
      </c>
      <c r="B542" t="s">
        <v>69</v>
      </c>
      <c r="C542">
        <v>9</v>
      </c>
      <c r="D542" t="s">
        <v>68</v>
      </c>
      <c r="E542" t="s">
        <v>71</v>
      </c>
      <c r="F542">
        <v>11</v>
      </c>
      <c r="G542" t="str">
        <f t="shared" si="19"/>
        <v>CoStep9StepLengthT11</v>
      </c>
      <c r="J542" s="26" t="s">
        <v>73</v>
      </c>
      <c r="K542">
        <v>230</v>
      </c>
      <c r="L542" t="str">
        <f t="shared" si="18"/>
        <v>E230</v>
      </c>
    </row>
    <row r="543" spans="1:12" x14ac:dyDescent="0.2">
      <c r="A543" s="26" t="s">
        <v>36</v>
      </c>
      <c r="B543" t="s">
        <v>69</v>
      </c>
      <c r="C543">
        <v>9</v>
      </c>
      <c r="D543" s="26" t="s">
        <v>400</v>
      </c>
      <c r="E543" t="s">
        <v>71</v>
      </c>
      <c r="F543">
        <v>11</v>
      </c>
      <c r="G543" t="str">
        <f t="shared" si="19"/>
        <v>CoStep9StepTimeT11</v>
      </c>
      <c r="J543" s="26" t="s">
        <v>74</v>
      </c>
      <c r="K543">
        <v>230</v>
      </c>
      <c r="L543" t="str">
        <f t="shared" si="18"/>
        <v>J230</v>
      </c>
    </row>
    <row r="544" spans="1:12" x14ac:dyDescent="0.2">
      <c r="A544" s="26" t="s">
        <v>36</v>
      </c>
      <c r="B544" t="s">
        <v>69</v>
      </c>
      <c r="C544">
        <v>9</v>
      </c>
      <c r="D544" s="26" t="s">
        <v>401</v>
      </c>
      <c r="E544" t="s">
        <v>71</v>
      </c>
      <c r="F544">
        <v>11</v>
      </c>
      <c r="G544" t="str">
        <f t="shared" si="19"/>
        <v>CoStep9DoubleSupportTimeT11</v>
      </c>
      <c r="J544" s="26" t="s">
        <v>75</v>
      </c>
      <c r="K544">
        <v>230</v>
      </c>
      <c r="L544" t="str">
        <f t="shared" si="18"/>
        <v>O230</v>
      </c>
    </row>
    <row r="545" spans="1:12" x14ac:dyDescent="0.2">
      <c r="A545" s="26" t="s">
        <v>36</v>
      </c>
      <c r="B545" t="s">
        <v>69</v>
      </c>
      <c r="C545">
        <v>9</v>
      </c>
      <c r="D545" s="26" t="s">
        <v>402</v>
      </c>
      <c r="E545" t="s">
        <v>71</v>
      </c>
      <c r="F545">
        <v>11</v>
      </c>
      <c r="G545" t="str">
        <f t="shared" si="19"/>
        <v>CoStep9StanceTimeT11</v>
      </c>
      <c r="J545" s="26" t="s">
        <v>71</v>
      </c>
      <c r="K545">
        <v>230</v>
      </c>
      <c r="L545" t="str">
        <f t="shared" si="18"/>
        <v>T230</v>
      </c>
    </row>
    <row r="546" spans="1:12" x14ac:dyDescent="0.2">
      <c r="A546" s="26" t="s">
        <v>36</v>
      </c>
      <c r="B546" t="s">
        <v>69</v>
      </c>
      <c r="C546">
        <v>10</v>
      </c>
      <c r="D546" s="26" t="s">
        <v>384</v>
      </c>
      <c r="E546" t="s">
        <v>71</v>
      </c>
      <c r="F546">
        <v>11</v>
      </c>
      <c r="G546" t="str">
        <f t="shared" si="19"/>
        <v>CoStep10ColorT11</v>
      </c>
      <c r="J546" s="26" t="s">
        <v>72</v>
      </c>
      <c r="K546">
        <v>255</v>
      </c>
      <c r="L546" t="str">
        <f t="shared" si="18"/>
        <v>B255</v>
      </c>
    </row>
    <row r="547" spans="1:12" x14ac:dyDescent="0.2">
      <c r="A547" s="26" t="s">
        <v>36</v>
      </c>
      <c r="B547" t="s">
        <v>69</v>
      </c>
      <c r="C547">
        <v>10</v>
      </c>
      <c r="D547" t="s">
        <v>68</v>
      </c>
      <c r="E547" t="s">
        <v>71</v>
      </c>
      <c r="F547">
        <v>11</v>
      </c>
      <c r="G547" t="str">
        <f t="shared" si="19"/>
        <v>CoStep10StepLengthT11</v>
      </c>
      <c r="J547" s="26" t="s">
        <v>73</v>
      </c>
      <c r="K547">
        <v>255</v>
      </c>
      <c r="L547" t="str">
        <f t="shared" si="18"/>
        <v>E255</v>
      </c>
    </row>
    <row r="548" spans="1:12" x14ac:dyDescent="0.2">
      <c r="A548" s="26" t="s">
        <v>36</v>
      </c>
      <c r="B548" t="s">
        <v>69</v>
      </c>
      <c r="C548">
        <v>10</v>
      </c>
      <c r="D548" s="26" t="s">
        <v>400</v>
      </c>
      <c r="E548" t="s">
        <v>71</v>
      </c>
      <c r="F548">
        <v>11</v>
      </c>
      <c r="G548" t="str">
        <f t="shared" si="19"/>
        <v>CoStep10StepTimeT11</v>
      </c>
      <c r="J548" s="26" t="s">
        <v>74</v>
      </c>
      <c r="K548">
        <v>255</v>
      </c>
      <c r="L548" t="str">
        <f t="shared" si="18"/>
        <v>J255</v>
      </c>
    </row>
    <row r="549" spans="1:12" x14ac:dyDescent="0.2">
      <c r="A549" s="26" t="s">
        <v>36</v>
      </c>
      <c r="B549" t="s">
        <v>69</v>
      </c>
      <c r="C549">
        <v>10</v>
      </c>
      <c r="D549" s="26" t="s">
        <v>401</v>
      </c>
      <c r="E549" t="s">
        <v>71</v>
      </c>
      <c r="F549">
        <v>11</v>
      </c>
      <c r="G549" t="str">
        <f t="shared" si="19"/>
        <v>CoStep10DoubleSupportTimeT11</v>
      </c>
      <c r="J549" s="26" t="s">
        <v>75</v>
      </c>
      <c r="K549">
        <v>255</v>
      </c>
      <c r="L549" t="str">
        <f t="shared" si="18"/>
        <v>O255</v>
      </c>
    </row>
    <row r="550" spans="1:12" x14ac:dyDescent="0.2">
      <c r="A550" s="26" t="s">
        <v>36</v>
      </c>
      <c r="B550" t="s">
        <v>69</v>
      </c>
      <c r="C550">
        <v>10</v>
      </c>
      <c r="D550" s="26" t="s">
        <v>402</v>
      </c>
      <c r="E550" t="s">
        <v>71</v>
      </c>
      <c r="F550">
        <v>11</v>
      </c>
      <c r="G550" t="str">
        <f t="shared" si="19"/>
        <v>CoStep10StanceTimeT11</v>
      </c>
      <c r="J550" s="26" t="s">
        <v>71</v>
      </c>
      <c r="K550">
        <v>255</v>
      </c>
      <c r="L550" t="str">
        <f t="shared" si="18"/>
        <v>T255</v>
      </c>
    </row>
    <row r="551" spans="1:12" x14ac:dyDescent="0.2">
      <c r="A551" s="26" t="s">
        <v>36</v>
      </c>
      <c r="B551" t="s">
        <v>69</v>
      </c>
      <c r="C551">
        <v>1</v>
      </c>
      <c r="D551" s="26" t="s">
        <v>384</v>
      </c>
      <c r="E551" t="s">
        <v>71</v>
      </c>
      <c r="F551">
        <v>12</v>
      </c>
      <c r="G551" t="str">
        <f t="shared" si="19"/>
        <v>CoStep1ColorT12</v>
      </c>
      <c r="J551" s="26" t="s">
        <v>72</v>
      </c>
      <c r="K551">
        <v>30</v>
      </c>
      <c r="L551" t="str">
        <f>J551&amp;K551</f>
        <v>B30</v>
      </c>
    </row>
    <row r="552" spans="1:12" x14ac:dyDescent="0.2">
      <c r="A552" s="26" t="s">
        <v>36</v>
      </c>
      <c r="B552" t="s">
        <v>69</v>
      </c>
      <c r="C552">
        <v>1</v>
      </c>
      <c r="D552" t="s">
        <v>68</v>
      </c>
      <c r="E552" t="s">
        <v>71</v>
      </c>
      <c r="F552">
        <v>12</v>
      </c>
      <c r="G552" t="str">
        <f t="shared" si="19"/>
        <v>CoStep1StepLengthT12</v>
      </c>
      <c r="J552" s="26" t="s">
        <v>73</v>
      </c>
      <c r="K552">
        <v>30</v>
      </c>
      <c r="L552" t="str">
        <f t="shared" ref="L552:L600" si="20">J552&amp;K552</f>
        <v>E30</v>
      </c>
    </row>
    <row r="553" spans="1:12" x14ac:dyDescent="0.2">
      <c r="A553" s="26" t="s">
        <v>36</v>
      </c>
      <c r="B553" t="s">
        <v>69</v>
      </c>
      <c r="C553">
        <v>1</v>
      </c>
      <c r="D553" s="26" t="s">
        <v>400</v>
      </c>
      <c r="E553" t="s">
        <v>71</v>
      </c>
      <c r="F553">
        <v>12</v>
      </c>
      <c r="G553" t="str">
        <f t="shared" si="19"/>
        <v>CoStep1StepTimeT12</v>
      </c>
      <c r="J553" s="26" t="s">
        <v>74</v>
      </c>
      <c r="K553">
        <v>30</v>
      </c>
      <c r="L553" t="str">
        <f t="shared" si="20"/>
        <v>J30</v>
      </c>
    </row>
    <row r="554" spans="1:12" x14ac:dyDescent="0.2">
      <c r="A554" s="26" t="s">
        <v>36</v>
      </c>
      <c r="B554" t="s">
        <v>69</v>
      </c>
      <c r="C554">
        <v>1</v>
      </c>
      <c r="D554" s="26" t="s">
        <v>401</v>
      </c>
      <c r="E554" t="s">
        <v>71</v>
      </c>
      <c r="F554">
        <v>12</v>
      </c>
      <c r="G554" t="str">
        <f t="shared" si="19"/>
        <v>CoStep1DoubleSupportTimeT12</v>
      </c>
      <c r="J554" s="26" t="s">
        <v>75</v>
      </c>
      <c r="K554">
        <v>30</v>
      </c>
      <c r="L554" t="str">
        <f t="shared" si="20"/>
        <v>O30</v>
      </c>
    </row>
    <row r="555" spans="1:12" x14ac:dyDescent="0.2">
      <c r="A555" s="26" t="s">
        <v>36</v>
      </c>
      <c r="B555" t="s">
        <v>69</v>
      </c>
      <c r="C555">
        <v>1</v>
      </c>
      <c r="D555" s="26" t="s">
        <v>402</v>
      </c>
      <c r="E555" t="s">
        <v>71</v>
      </c>
      <c r="F555">
        <v>12</v>
      </c>
      <c r="G555" t="str">
        <f t="shared" si="19"/>
        <v>CoStep1StanceTimeT12</v>
      </c>
      <c r="J555" s="26" t="s">
        <v>71</v>
      </c>
      <c r="K555">
        <v>30</v>
      </c>
      <c r="L555" t="str">
        <f t="shared" si="20"/>
        <v>T30</v>
      </c>
    </row>
    <row r="556" spans="1:12" x14ac:dyDescent="0.2">
      <c r="A556" s="26" t="s">
        <v>36</v>
      </c>
      <c r="B556" t="s">
        <v>69</v>
      </c>
      <c r="C556">
        <v>2</v>
      </c>
      <c r="D556" s="26" t="s">
        <v>384</v>
      </c>
      <c r="E556" t="s">
        <v>71</v>
      </c>
      <c r="F556">
        <v>12</v>
      </c>
      <c r="G556" t="str">
        <f t="shared" si="19"/>
        <v>CoStep2ColorT12</v>
      </c>
      <c r="J556" s="26" t="s">
        <v>72</v>
      </c>
      <c r="K556">
        <v>55</v>
      </c>
      <c r="L556" t="str">
        <f t="shared" si="20"/>
        <v>B55</v>
      </c>
    </row>
    <row r="557" spans="1:12" x14ac:dyDescent="0.2">
      <c r="A557" s="26" t="s">
        <v>36</v>
      </c>
      <c r="B557" t="s">
        <v>69</v>
      </c>
      <c r="C557">
        <v>2</v>
      </c>
      <c r="D557" t="s">
        <v>68</v>
      </c>
      <c r="E557" t="s">
        <v>71</v>
      </c>
      <c r="F557">
        <v>12</v>
      </c>
      <c r="G557" t="str">
        <f t="shared" si="19"/>
        <v>CoStep2StepLengthT12</v>
      </c>
      <c r="J557" s="26" t="s">
        <v>73</v>
      </c>
      <c r="K557">
        <v>55</v>
      </c>
      <c r="L557" t="str">
        <f t="shared" si="20"/>
        <v>E55</v>
      </c>
    </row>
    <row r="558" spans="1:12" x14ac:dyDescent="0.2">
      <c r="A558" s="26" t="s">
        <v>36</v>
      </c>
      <c r="B558" t="s">
        <v>69</v>
      </c>
      <c r="C558">
        <v>2</v>
      </c>
      <c r="D558" s="26" t="s">
        <v>400</v>
      </c>
      <c r="E558" t="s">
        <v>71</v>
      </c>
      <c r="F558">
        <v>12</v>
      </c>
      <c r="G558" t="str">
        <f t="shared" si="19"/>
        <v>CoStep2StepTimeT12</v>
      </c>
      <c r="J558" s="26" t="s">
        <v>74</v>
      </c>
      <c r="K558">
        <v>55</v>
      </c>
      <c r="L558" t="str">
        <f t="shared" si="20"/>
        <v>J55</v>
      </c>
    </row>
    <row r="559" spans="1:12" x14ac:dyDescent="0.2">
      <c r="A559" s="26" t="s">
        <v>36</v>
      </c>
      <c r="B559" t="s">
        <v>69</v>
      </c>
      <c r="C559">
        <v>2</v>
      </c>
      <c r="D559" s="26" t="s">
        <v>401</v>
      </c>
      <c r="E559" t="s">
        <v>71</v>
      </c>
      <c r="F559">
        <v>12</v>
      </c>
      <c r="G559" t="str">
        <f t="shared" si="19"/>
        <v>CoStep2DoubleSupportTimeT12</v>
      </c>
      <c r="J559" s="26" t="s">
        <v>75</v>
      </c>
      <c r="K559">
        <v>55</v>
      </c>
      <c r="L559" t="str">
        <f t="shared" si="20"/>
        <v>O55</v>
      </c>
    </row>
    <row r="560" spans="1:12" x14ac:dyDescent="0.2">
      <c r="A560" s="26" t="s">
        <v>36</v>
      </c>
      <c r="B560" t="s">
        <v>69</v>
      </c>
      <c r="C560">
        <v>2</v>
      </c>
      <c r="D560" s="26" t="s">
        <v>402</v>
      </c>
      <c r="E560" t="s">
        <v>71</v>
      </c>
      <c r="F560">
        <v>12</v>
      </c>
      <c r="G560" t="str">
        <f t="shared" si="19"/>
        <v>CoStep2StanceTimeT12</v>
      </c>
      <c r="J560" s="26" t="s">
        <v>71</v>
      </c>
      <c r="K560">
        <v>55</v>
      </c>
      <c r="L560" t="str">
        <f t="shared" si="20"/>
        <v>T55</v>
      </c>
    </row>
    <row r="561" spans="1:12" x14ac:dyDescent="0.2">
      <c r="A561" s="26" t="s">
        <v>36</v>
      </c>
      <c r="B561" t="s">
        <v>69</v>
      </c>
      <c r="C561">
        <v>3</v>
      </c>
      <c r="D561" s="26" t="s">
        <v>384</v>
      </c>
      <c r="E561" t="s">
        <v>71</v>
      </c>
      <c r="F561">
        <v>12</v>
      </c>
      <c r="G561" t="str">
        <f t="shared" si="19"/>
        <v>CoStep3ColorT12</v>
      </c>
      <c r="J561" s="26" t="s">
        <v>72</v>
      </c>
      <c r="K561">
        <v>80</v>
      </c>
      <c r="L561" t="str">
        <f t="shared" si="20"/>
        <v>B80</v>
      </c>
    </row>
    <row r="562" spans="1:12" x14ac:dyDescent="0.2">
      <c r="A562" s="26" t="s">
        <v>36</v>
      </c>
      <c r="B562" t="s">
        <v>69</v>
      </c>
      <c r="C562">
        <v>3</v>
      </c>
      <c r="D562" t="s">
        <v>68</v>
      </c>
      <c r="E562" t="s">
        <v>71</v>
      </c>
      <c r="F562">
        <v>12</v>
      </c>
      <c r="G562" t="str">
        <f t="shared" si="19"/>
        <v>CoStep3StepLengthT12</v>
      </c>
      <c r="J562" s="26" t="s">
        <v>73</v>
      </c>
      <c r="K562">
        <v>80</v>
      </c>
      <c r="L562" t="str">
        <f t="shared" si="20"/>
        <v>E80</v>
      </c>
    </row>
    <row r="563" spans="1:12" x14ac:dyDescent="0.2">
      <c r="A563" s="26" t="s">
        <v>36</v>
      </c>
      <c r="B563" t="s">
        <v>69</v>
      </c>
      <c r="C563">
        <v>3</v>
      </c>
      <c r="D563" s="26" t="s">
        <v>400</v>
      </c>
      <c r="E563" t="s">
        <v>71</v>
      </c>
      <c r="F563">
        <v>12</v>
      </c>
      <c r="G563" t="str">
        <f t="shared" si="19"/>
        <v>CoStep3StepTimeT12</v>
      </c>
      <c r="J563" s="26" t="s">
        <v>74</v>
      </c>
      <c r="K563">
        <v>80</v>
      </c>
      <c r="L563" t="str">
        <f t="shared" si="20"/>
        <v>J80</v>
      </c>
    </row>
    <row r="564" spans="1:12" x14ac:dyDescent="0.2">
      <c r="A564" s="26" t="s">
        <v>36</v>
      </c>
      <c r="B564" t="s">
        <v>69</v>
      </c>
      <c r="C564">
        <v>3</v>
      </c>
      <c r="D564" s="26" t="s">
        <v>401</v>
      </c>
      <c r="E564" t="s">
        <v>71</v>
      </c>
      <c r="F564">
        <v>12</v>
      </c>
      <c r="G564" t="str">
        <f t="shared" si="19"/>
        <v>CoStep3DoubleSupportTimeT12</v>
      </c>
      <c r="J564" s="26" t="s">
        <v>75</v>
      </c>
      <c r="K564">
        <v>80</v>
      </c>
      <c r="L564" t="str">
        <f t="shared" si="20"/>
        <v>O80</v>
      </c>
    </row>
    <row r="565" spans="1:12" x14ac:dyDescent="0.2">
      <c r="A565" s="26" t="s">
        <v>36</v>
      </c>
      <c r="B565" t="s">
        <v>69</v>
      </c>
      <c r="C565">
        <v>3</v>
      </c>
      <c r="D565" s="26" t="s">
        <v>402</v>
      </c>
      <c r="E565" t="s">
        <v>71</v>
      </c>
      <c r="F565">
        <v>12</v>
      </c>
      <c r="G565" t="str">
        <f t="shared" si="19"/>
        <v>CoStep3StanceTimeT12</v>
      </c>
      <c r="J565" s="26" t="s">
        <v>71</v>
      </c>
      <c r="K565">
        <v>80</v>
      </c>
      <c r="L565" t="str">
        <f t="shared" si="20"/>
        <v>T80</v>
      </c>
    </row>
    <row r="566" spans="1:12" x14ac:dyDescent="0.2">
      <c r="A566" s="26" t="s">
        <v>36</v>
      </c>
      <c r="B566" t="s">
        <v>69</v>
      </c>
      <c r="C566">
        <v>4</v>
      </c>
      <c r="D566" s="26" t="s">
        <v>384</v>
      </c>
      <c r="E566" t="s">
        <v>71</v>
      </c>
      <c r="F566">
        <v>12</v>
      </c>
      <c r="G566" t="str">
        <f t="shared" si="19"/>
        <v>CoStep4ColorT12</v>
      </c>
      <c r="J566" s="26" t="s">
        <v>72</v>
      </c>
      <c r="K566">
        <v>105</v>
      </c>
      <c r="L566" t="str">
        <f t="shared" si="20"/>
        <v>B105</v>
      </c>
    </row>
    <row r="567" spans="1:12" x14ac:dyDescent="0.2">
      <c r="A567" s="26" t="s">
        <v>36</v>
      </c>
      <c r="B567" t="s">
        <v>69</v>
      </c>
      <c r="C567">
        <v>4</v>
      </c>
      <c r="D567" t="s">
        <v>68</v>
      </c>
      <c r="E567" t="s">
        <v>71</v>
      </c>
      <c r="F567">
        <v>12</v>
      </c>
      <c r="G567" t="str">
        <f t="shared" si="19"/>
        <v>CoStep4StepLengthT12</v>
      </c>
      <c r="J567" s="26" t="s">
        <v>73</v>
      </c>
      <c r="K567">
        <v>105</v>
      </c>
      <c r="L567" t="str">
        <f t="shared" si="20"/>
        <v>E105</v>
      </c>
    </row>
    <row r="568" spans="1:12" x14ac:dyDescent="0.2">
      <c r="A568" s="26" t="s">
        <v>36</v>
      </c>
      <c r="B568" t="s">
        <v>69</v>
      </c>
      <c r="C568">
        <v>4</v>
      </c>
      <c r="D568" s="26" t="s">
        <v>400</v>
      </c>
      <c r="E568" t="s">
        <v>71</v>
      </c>
      <c r="F568">
        <v>12</v>
      </c>
      <c r="G568" t="str">
        <f t="shared" si="19"/>
        <v>CoStep4StepTimeT12</v>
      </c>
      <c r="J568" s="26" t="s">
        <v>74</v>
      </c>
      <c r="K568">
        <v>105</v>
      </c>
      <c r="L568" t="str">
        <f t="shared" si="20"/>
        <v>J105</v>
      </c>
    </row>
    <row r="569" spans="1:12" x14ac:dyDescent="0.2">
      <c r="A569" s="26" t="s">
        <v>36</v>
      </c>
      <c r="B569" t="s">
        <v>69</v>
      </c>
      <c r="C569">
        <v>4</v>
      </c>
      <c r="D569" s="26" t="s">
        <v>401</v>
      </c>
      <c r="E569" t="s">
        <v>71</v>
      </c>
      <c r="F569">
        <v>12</v>
      </c>
      <c r="G569" t="str">
        <f t="shared" si="19"/>
        <v>CoStep4DoubleSupportTimeT12</v>
      </c>
      <c r="J569" s="26" t="s">
        <v>75</v>
      </c>
      <c r="K569">
        <v>105</v>
      </c>
      <c r="L569" t="str">
        <f t="shared" si="20"/>
        <v>O105</v>
      </c>
    </row>
    <row r="570" spans="1:12" x14ac:dyDescent="0.2">
      <c r="A570" s="26" t="s">
        <v>36</v>
      </c>
      <c r="B570" t="s">
        <v>69</v>
      </c>
      <c r="C570">
        <v>4</v>
      </c>
      <c r="D570" s="26" t="s">
        <v>402</v>
      </c>
      <c r="E570" t="s">
        <v>71</v>
      </c>
      <c r="F570">
        <v>12</v>
      </c>
      <c r="G570" t="str">
        <f t="shared" si="19"/>
        <v>CoStep4StanceTimeT12</v>
      </c>
      <c r="J570" s="26" t="s">
        <v>71</v>
      </c>
      <c r="K570">
        <v>105</v>
      </c>
      <c r="L570" t="str">
        <f t="shared" si="20"/>
        <v>T105</v>
      </c>
    </row>
    <row r="571" spans="1:12" x14ac:dyDescent="0.2">
      <c r="A571" s="26" t="s">
        <v>36</v>
      </c>
      <c r="B571" t="s">
        <v>69</v>
      </c>
      <c r="C571">
        <v>5</v>
      </c>
      <c r="D571" s="26" t="s">
        <v>384</v>
      </c>
      <c r="E571" t="s">
        <v>71</v>
      </c>
      <c r="F571">
        <v>12</v>
      </c>
      <c r="G571" t="str">
        <f t="shared" si="19"/>
        <v>CoStep5ColorT12</v>
      </c>
      <c r="J571" s="26" t="s">
        <v>72</v>
      </c>
      <c r="K571">
        <v>130</v>
      </c>
      <c r="L571" t="str">
        <f t="shared" si="20"/>
        <v>B130</v>
      </c>
    </row>
    <row r="572" spans="1:12" x14ac:dyDescent="0.2">
      <c r="A572" s="26" t="s">
        <v>36</v>
      </c>
      <c r="B572" t="s">
        <v>69</v>
      </c>
      <c r="C572">
        <v>5</v>
      </c>
      <c r="D572" t="s">
        <v>68</v>
      </c>
      <c r="E572" t="s">
        <v>71</v>
      </c>
      <c r="F572">
        <v>12</v>
      </c>
      <c r="G572" t="str">
        <f t="shared" si="19"/>
        <v>CoStep5StepLengthT12</v>
      </c>
      <c r="J572" s="26" t="s">
        <v>73</v>
      </c>
      <c r="K572">
        <v>130</v>
      </c>
      <c r="L572" t="str">
        <f t="shared" si="20"/>
        <v>E130</v>
      </c>
    </row>
    <row r="573" spans="1:12" x14ac:dyDescent="0.2">
      <c r="A573" s="26" t="s">
        <v>36</v>
      </c>
      <c r="B573" t="s">
        <v>69</v>
      </c>
      <c r="C573">
        <v>5</v>
      </c>
      <c r="D573" s="26" t="s">
        <v>400</v>
      </c>
      <c r="E573" t="s">
        <v>71</v>
      </c>
      <c r="F573">
        <v>12</v>
      </c>
      <c r="G573" t="str">
        <f t="shared" si="19"/>
        <v>CoStep5StepTimeT12</v>
      </c>
      <c r="J573" s="26" t="s">
        <v>74</v>
      </c>
      <c r="K573">
        <v>130</v>
      </c>
      <c r="L573" t="str">
        <f t="shared" si="20"/>
        <v>J130</v>
      </c>
    </row>
    <row r="574" spans="1:12" x14ac:dyDescent="0.2">
      <c r="A574" s="26" t="s">
        <v>36</v>
      </c>
      <c r="B574" t="s">
        <v>69</v>
      </c>
      <c r="C574">
        <v>5</v>
      </c>
      <c r="D574" s="26" t="s">
        <v>401</v>
      </c>
      <c r="E574" t="s">
        <v>71</v>
      </c>
      <c r="F574">
        <v>12</v>
      </c>
      <c r="G574" t="str">
        <f t="shared" si="19"/>
        <v>CoStep5DoubleSupportTimeT12</v>
      </c>
      <c r="J574" s="26" t="s">
        <v>75</v>
      </c>
      <c r="K574">
        <v>130</v>
      </c>
      <c r="L574" t="str">
        <f t="shared" si="20"/>
        <v>O130</v>
      </c>
    </row>
    <row r="575" spans="1:12" x14ac:dyDescent="0.2">
      <c r="A575" s="26" t="s">
        <v>36</v>
      </c>
      <c r="B575" t="s">
        <v>69</v>
      </c>
      <c r="C575">
        <v>5</v>
      </c>
      <c r="D575" s="26" t="s">
        <v>402</v>
      </c>
      <c r="E575" t="s">
        <v>71</v>
      </c>
      <c r="F575">
        <v>12</v>
      </c>
      <c r="G575" t="str">
        <f t="shared" si="19"/>
        <v>CoStep5StanceTimeT12</v>
      </c>
      <c r="J575" s="26" t="s">
        <v>71</v>
      </c>
      <c r="K575">
        <v>130</v>
      </c>
      <c r="L575" t="str">
        <f t="shared" si="20"/>
        <v>T130</v>
      </c>
    </row>
    <row r="576" spans="1:12" x14ac:dyDescent="0.2">
      <c r="A576" s="26" t="s">
        <v>36</v>
      </c>
      <c r="B576" t="s">
        <v>69</v>
      </c>
      <c r="C576">
        <v>6</v>
      </c>
      <c r="D576" s="26" t="s">
        <v>384</v>
      </c>
      <c r="E576" t="s">
        <v>71</v>
      </c>
      <c r="F576">
        <v>12</v>
      </c>
      <c r="G576" t="str">
        <f t="shared" si="19"/>
        <v>CoStep6ColorT12</v>
      </c>
      <c r="J576" s="26" t="s">
        <v>72</v>
      </c>
      <c r="K576">
        <v>155</v>
      </c>
      <c r="L576" t="str">
        <f t="shared" si="20"/>
        <v>B155</v>
      </c>
    </row>
    <row r="577" spans="1:12" x14ac:dyDescent="0.2">
      <c r="A577" s="26" t="s">
        <v>36</v>
      </c>
      <c r="B577" t="s">
        <v>69</v>
      </c>
      <c r="C577">
        <v>6</v>
      </c>
      <c r="D577" t="s">
        <v>68</v>
      </c>
      <c r="E577" t="s">
        <v>71</v>
      </c>
      <c r="F577">
        <v>12</v>
      </c>
      <c r="G577" t="str">
        <f t="shared" si="19"/>
        <v>CoStep6StepLengthT12</v>
      </c>
      <c r="J577" s="26" t="s">
        <v>73</v>
      </c>
      <c r="K577">
        <v>155</v>
      </c>
      <c r="L577" t="str">
        <f t="shared" si="20"/>
        <v>E155</v>
      </c>
    </row>
    <row r="578" spans="1:12" x14ac:dyDescent="0.2">
      <c r="A578" s="26" t="s">
        <v>36</v>
      </c>
      <c r="B578" t="s">
        <v>69</v>
      </c>
      <c r="C578">
        <v>6</v>
      </c>
      <c r="D578" s="26" t="s">
        <v>400</v>
      </c>
      <c r="E578" t="s">
        <v>71</v>
      </c>
      <c r="F578">
        <v>12</v>
      </c>
      <c r="G578" t="str">
        <f t="shared" si="19"/>
        <v>CoStep6StepTimeT12</v>
      </c>
      <c r="J578" s="26" t="s">
        <v>74</v>
      </c>
      <c r="K578">
        <v>155</v>
      </c>
      <c r="L578" t="str">
        <f t="shared" si="20"/>
        <v>J155</v>
      </c>
    </row>
    <row r="579" spans="1:12" x14ac:dyDescent="0.2">
      <c r="A579" s="26" t="s">
        <v>36</v>
      </c>
      <c r="B579" t="s">
        <v>69</v>
      </c>
      <c r="C579">
        <v>6</v>
      </c>
      <c r="D579" s="26" t="s">
        <v>401</v>
      </c>
      <c r="E579" t="s">
        <v>71</v>
      </c>
      <c r="F579">
        <v>12</v>
      </c>
      <c r="G579" t="str">
        <f t="shared" si="19"/>
        <v>CoStep6DoubleSupportTimeT12</v>
      </c>
      <c r="J579" s="26" t="s">
        <v>75</v>
      </c>
      <c r="K579">
        <v>155</v>
      </c>
      <c r="L579" t="str">
        <f t="shared" si="20"/>
        <v>O155</v>
      </c>
    </row>
    <row r="580" spans="1:12" x14ac:dyDescent="0.2">
      <c r="A580" s="26" t="s">
        <v>36</v>
      </c>
      <c r="B580" t="s">
        <v>69</v>
      </c>
      <c r="C580">
        <v>6</v>
      </c>
      <c r="D580" s="26" t="s">
        <v>402</v>
      </c>
      <c r="E580" t="s">
        <v>71</v>
      </c>
      <c r="F580">
        <v>12</v>
      </c>
      <c r="G580" t="str">
        <f t="shared" si="19"/>
        <v>CoStep6StanceTimeT12</v>
      </c>
      <c r="J580" s="26" t="s">
        <v>71</v>
      </c>
      <c r="K580">
        <v>155</v>
      </c>
      <c r="L580" t="str">
        <f t="shared" si="20"/>
        <v>T155</v>
      </c>
    </row>
    <row r="581" spans="1:12" x14ac:dyDescent="0.2">
      <c r="A581" s="26" t="s">
        <v>36</v>
      </c>
      <c r="B581" t="s">
        <v>69</v>
      </c>
      <c r="C581">
        <v>7</v>
      </c>
      <c r="D581" s="26" t="s">
        <v>384</v>
      </c>
      <c r="E581" t="s">
        <v>71</v>
      </c>
      <c r="F581">
        <v>12</v>
      </c>
      <c r="G581" t="str">
        <f t="shared" si="19"/>
        <v>CoStep7ColorT12</v>
      </c>
      <c r="J581" s="26" t="s">
        <v>72</v>
      </c>
      <c r="K581">
        <v>188</v>
      </c>
      <c r="L581" t="str">
        <f t="shared" si="20"/>
        <v>B188</v>
      </c>
    </row>
    <row r="582" spans="1:12" x14ac:dyDescent="0.2">
      <c r="A582" s="26" t="s">
        <v>36</v>
      </c>
      <c r="B582" t="s">
        <v>69</v>
      </c>
      <c r="C582">
        <v>7</v>
      </c>
      <c r="D582" t="s">
        <v>68</v>
      </c>
      <c r="E582" t="s">
        <v>71</v>
      </c>
      <c r="F582">
        <v>12</v>
      </c>
      <c r="G582" t="str">
        <f t="shared" ref="G582:G645" si="21">A582&amp;B582&amp;C582&amp;D582&amp;E582&amp;F582</f>
        <v>CoStep7StepLengthT12</v>
      </c>
      <c r="J582" s="26" t="s">
        <v>73</v>
      </c>
      <c r="K582">
        <v>188</v>
      </c>
      <c r="L582" t="str">
        <f t="shared" si="20"/>
        <v>E188</v>
      </c>
    </row>
    <row r="583" spans="1:12" x14ac:dyDescent="0.2">
      <c r="A583" s="26" t="s">
        <v>36</v>
      </c>
      <c r="B583" t="s">
        <v>69</v>
      </c>
      <c r="C583">
        <v>7</v>
      </c>
      <c r="D583" s="26" t="s">
        <v>400</v>
      </c>
      <c r="E583" t="s">
        <v>71</v>
      </c>
      <c r="F583">
        <v>12</v>
      </c>
      <c r="G583" t="str">
        <f t="shared" si="21"/>
        <v>CoStep7StepTimeT12</v>
      </c>
      <c r="J583" s="26" t="s">
        <v>74</v>
      </c>
      <c r="K583">
        <v>188</v>
      </c>
      <c r="L583" t="str">
        <f t="shared" si="20"/>
        <v>J188</v>
      </c>
    </row>
    <row r="584" spans="1:12" x14ac:dyDescent="0.2">
      <c r="A584" s="26" t="s">
        <v>36</v>
      </c>
      <c r="B584" t="s">
        <v>69</v>
      </c>
      <c r="C584">
        <v>7</v>
      </c>
      <c r="D584" s="26" t="s">
        <v>401</v>
      </c>
      <c r="E584" t="s">
        <v>71</v>
      </c>
      <c r="F584">
        <v>12</v>
      </c>
      <c r="G584" t="str">
        <f t="shared" si="21"/>
        <v>CoStep7DoubleSupportTimeT12</v>
      </c>
      <c r="J584" s="26" t="s">
        <v>75</v>
      </c>
      <c r="K584">
        <v>188</v>
      </c>
      <c r="L584" t="str">
        <f t="shared" si="20"/>
        <v>O188</v>
      </c>
    </row>
    <row r="585" spans="1:12" x14ac:dyDescent="0.2">
      <c r="A585" s="26" t="s">
        <v>36</v>
      </c>
      <c r="B585" t="s">
        <v>69</v>
      </c>
      <c r="C585">
        <v>7</v>
      </c>
      <c r="D585" s="26" t="s">
        <v>402</v>
      </c>
      <c r="E585" t="s">
        <v>71</v>
      </c>
      <c r="F585">
        <v>12</v>
      </c>
      <c r="G585" t="str">
        <f t="shared" si="21"/>
        <v>CoStep7StanceTimeT12</v>
      </c>
      <c r="J585" s="26" t="s">
        <v>71</v>
      </c>
      <c r="K585">
        <v>188</v>
      </c>
      <c r="L585" t="str">
        <f t="shared" si="20"/>
        <v>T188</v>
      </c>
    </row>
    <row r="586" spans="1:12" x14ac:dyDescent="0.2">
      <c r="A586" s="26" t="s">
        <v>36</v>
      </c>
      <c r="B586" t="s">
        <v>69</v>
      </c>
      <c r="C586">
        <v>8</v>
      </c>
      <c r="D586" s="26" t="s">
        <v>384</v>
      </c>
      <c r="E586" t="s">
        <v>71</v>
      </c>
      <c r="F586">
        <v>12</v>
      </c>
      <c r="G586" t="str">
        <f t="shared" si="21"/>
        <v>CoStep8ColorT12</v>
      </c>
      <c r="J586" s="26" t="s">
        <v>72</v>
      </c>
      <c r="K586">
        <v>205</v>
      </c>
      <c r="L586" t="str">
        <f t="shared" si="20"/>
        <v>B205</v>
      </c>
    </row>
    <row r="587" spans="1:12" x14ac:dyDescent="0.2">
      <c r="A587" s="26" t="s">
        <v>36</v>
      </c>
      <c r="B587" t="s">
        <v>69</v>
      </c>
      <c r="C587">
        <v>8</v>
      </c>
      <c r="D587" t="s">
        <v>68</v>
      </c>
      <c r="E587" t="s">
        <v>71</v>
      </c>
      <c r="F587">
        <v>12</v>
      </c>
      <c r="G587" t="str">
        <f t="shared" si="21"/>
        <v>CoStep8StepLengthT12</v>
      </c>
      <c r="J587" s="26" t="s">
        <v>73</v>
      </c>
      <c r="K587">
        <v>205</v>
      </c>
      <c r="L587" t="str">
        <f t="shared" si="20"/>
        <v>E205</v>
      </c>
    </row>
    <row r="588" spans="1:12" x14ac:dyDescent="0.2">
      <c r="A588" s="26" t="s">
        <v>36</v>
      </c>
      <c r="B588" t="s">
        <v>69</v>
      </c>
      <c r="C588">
        <v>8</v>
      </c>
      <c r="D588" s="26" t="s">
        <v>400</v>
      </c>
      <c r="E588" t="s">
        <v>71</v>
      </c>
      <c r="F588">
        <v>12</v>
      </c>
      <c r="G588" t="str">
        <f t="shared" si="21"/>
        <v>CoStep8StepTimeT12</v>
      </c>
      <c r="J588" s="26" t="s">
        <v>74</v>
      </c>
      <c r="K588">
        <v>205</v>
      </c>
      <c r="L588" t="str">
        <f t="shared" si="20"/>
        <v>J205</v>
      </c>
    </row>
    <row r="589" spans="1:12" x14ac:dyDescent="0.2">
      <c r="A589" s="26" t="s">
        <v>36</v>
      </c>
      <c r="B589" t="s">
        <v>69</v>
      </c>
      <c r="C589">
        <v>8</v>
      </c>
      <c r="D589" s="26" t="s">
        <v>401</v>
      </c>
      <c r="E589" t="s">
        <v>71</v>
      </c>
      <c r="F589">
        <v>12</v>
      </c>
      <c r="G589" t="str">
        <f t="shared" si="21"/>
        <v>CoStep8DoubleSupportTimeT12</v>
      </c>
      <c r="J589" s="26" t="s">
        <v>75</v>
      </c>
      <c r="K589">
        <v>205</v>
      </c>
      <c r="L589" t="str">
        <f t="shared" si="20"/>
        <v>O205</v>
      </c>
    </row>
    <row r="590" spans="1:12" x14ac:dyDescent="0.2">
      <c r="A590" s="26" t="s">
        <v>36</v>
      </c>
      <c r="B590" t="s">
        <v>69</v>
      </c>
      <c r="C590">
        <v>8</v>
      </c>
      <c r="D590" s="26" t="s">
        <v>402</v>
      </c>
      <c r="E590" t="s">
        <v>71</v>
      </c>
      <c r="F590">
        <v>12</v>
      </c>
      <c r="G590" t="str">
        <f t="shared" si="21"/>
        <v>CoStep8StanceTimeT12</v>
      </c>
      <c r="J590" s="26" t="s">
        <v>71</v>
      </c>
      <c r="K590">
        <v>205</v>
      </c>
      <c r="L590" t="str">
        <f t="shared" si="20"/>
        <v>T205</v>
      </c>
    </row>
    <row r="591" spans="1:12" x14ac:dyDescent="0.2">
      <c r="A591" s="26" t="s">
        <v>36</v>
      </c>
      <c r="B591" t="s">
        <v>69</v>
      </c>
      <c r="C591">
        <v>9</v>
      </c>
      <c r="D591" s="26" t="s">
        <v>384</v>
      </c>
      <c r="E591" t="s">
        <v>71</v>
      </c>
      <c r="F591">
        <v>12</v>
      </c>
      <c r="G591" t="str">
        <f t="shared" si="21"/>
        <v>CoStep9ColorT12</v>
      </c>
      <c r="J591" s="26" t="s">
        <v>72</v>
      </c>
      <c r="K591">
        <v>230</v>
      </c>
      <c r="L591" t="str">
        <f t="shared" si="20"/>
        <v>B230</v>
      </c>
    </row>
    <row r="592" spans="1:12" x14ac:dyDescent="0.2">
      <c r="A592" s="26" t="s">
        <v>36</v>
      </c>
      <c r="B592" t="s">
        <v>69</v>
      </c>
      <c r="C592">
        <v>9</v>
      </c>
      <c r="D592" t="s">
        <v>68</v>
      </c>
      <c r="E592" t="s">
        <v>71</v>
      </c>
      <c r="F592">
        <v>12</v>
      </c>
      <c r="G592" t="str">
        <f t="shared" si="21"/>
        <v>CoStep9StepLengthT12</v>
      </c>
      <c r="J592" s="26" t="s">
        <v>73</v>
      </c>
      <c r="K592">
        <v>230</v>
      </c>
      <c r="L592" t="str">
        <f t="shared" si="20"/>
        <v>E230</v>
      </c>
    </row>
    <row r="593" spans="1:12" x14ac:dyDescent="0.2">
      <c r="A593" s="26" t="s">
        <v>36</v>
      </c>
      <c r="B593" t="s">
        <v>69</v>
      </c>
      <c r="C593">
        <v>9</v>
      </c>
      <c r="D593" s="26" t="s">
        <v>400</v>
      </c>
      <c r="E593" t="s">
        <v>71</v>
      </c>
      <c r="F593">
        <v>12</v>
      </c>
      <c r="G593" t="str">
        <f t="shared" si="21"/>
        <v>CoStep9StepTimeT12</v>
      </c>
      <c r="J593" s="26" t="s">
        <v>74</v>
      </c>
      <c r="K593">
        <v>230</v>
      </c>
      <c r="L593" t="str">
        <f t="shared" si="20"/>
        <v>J230</v>
      </c>
    </row>
    <row r="594" spans="1:12" x14ac:dyDescent="0.2">
      <c r="A594" s="26" t="s">
        <v>36</v>
      </c>
      <c r="B594" t="s">
        <v>69</v>
      </c>
      <c r="C594">
        <v>9</v>
      </c>
      <c r="D594" s="26" t="s">
        <v>401</v>
      </c>
      <c r="E594" t="s">
        <v>71</v>
      </c>
      <c r="F594">
        <v>12</v>
      </c>
      <c r="G594" t="str">
        <f t="shared" si="21"/>
        <v>CoStep9DoubleSupportTimeT12</v>
      </c>
      <c r="J594" s="26" t="s">
        <v>75</v>
      </c>
      <c r="K594">
        <v>230</v>
      </c>
      <c r="L594" t="str">
        <f t="shared" si="20"/>
        <v>O230</v>
      </c>
    </row>
    <row r="595" spans="1:12" x14ac:dyDescent="0.2">
      <c r="A595" s="26" t="s">
        <v>36</v>
      </c>
      <c r="B595" t="s">
        <v>69</v>
      </c>
      <c r="C595">
        <v>9</v>
      </c>
      <c r="D595" s="26" t="s">
        <v>402</v>
      </c>
      <c r="E595" t="s">
        <v>71</v>
      </c>
      <c r="F595">
        <v>12</v>
      </c>
      <c r="G595" t="str">
        <f t="shared" si="21"/>
        <v>CoStep9StanceTimeT12</v>
      </c>
      <c r="J595" s="26" t="s">
        <v>71</v>
      </c>
      <c r="K595">
        <v>230</v>
      </c>
      <c r="L595" t="str">
        <f t="shared" si="20"/>
        <v>T230</v>
      </c>
    </row>
    <row r="596" spans="1:12" x14ac:dyDescent="0.2">
      <c r="A596" s="26" t="s">
        <v>36</v>
      </c>
      <c r="B596" t="s">
        <v>69</v>
      </c>
      <c r="C596">
        <v>10</v>
      </c>
      <c r="D596" s="26" t="s">
        <v>384</v>
      </c>
      <c r="E596" t="s">
        <v>71</v>
      </c>
      <c r="F596">
        <v>12</v>
      </c>
      <c r="G596" t="str">
        <f t="shared" si="21"/>
        <v>CoStep10ColorT12</v>
      </c>
      <c r="J596" s="26" t="s">
        <v>72</v>
      </c>
      <c r="K596">
        <v>255</v>
      </c>
      <c r="L596" t="str">
        <f t="shared" si="20"/>
        <v>B255</v>
      </c>
    </row>
    <row r="597" spans="1:12" x14ac:dyDescent="0.2">
      <c r="A597" s="26" t="s">
        <v>36</v>
      </c>
      <c r="B597" t="s">
        <v>69</v>
      </c>
      <c r="C597">
        <v>10</v>
      </c>
      <c r="D597" t="s">
        <v>68</v>
      </c>
      <c r="E597" t="s">
        <v>71</v>
      </c>
      <c r="F597">
        <v>12</v>
      </c>
      <c r="G597" t="str">
        <f t="shared" si="21"/>
        <v>CoStep10StepLengthT12</v>
      </c>
      <c r="J597" s="26" t="s">
        <v>73</v>
      </c>
      <c r="K597">
        <v>255</v>
      </c>
      <c r="L597" t="str">
        <f t="shared" si="20"/>
        <v>E255</v>
      </c>
    </row>
    <row r="598" spans="1:12" x14ac:dyDescent="0.2">
      <c r="A598" s="26" t="s">
        <v>36</v>
      </c>
      <c r="B598" t="s">
        <v>69</v>
      </c>
      <c r="C598">
        <v>10</v>
      </c>
      <c r="D598" s="26" t="s">
        <v>400</v>
      </c>
      <c r="E598" t="s">
        <v>71</v>
      </c>
      <c r="F598">
        <v>12</v>
      </c>
      <c r="G598" t="str">
        <f t="shared" si="21"/>
        <v>CoStep10StepTimeT12</v>
      </c>
      <c r="J598" s="26" t="s">
        <v>74</v>
      </c>
      <c r="K598">
        <v>255</v>
      </c>
      <c r="L598" t="str">
        <f t="shared" si="20"/>
        <v>J255</v>
      </c>
    </row>
    <row r="599" spans="1:12" x14ac:dyDescent="0.2">
      <c r="A599" s="26" t="s">
        <v>36</v>
      </c>
      <c r="B599" t="s">
        <v>69</v>
      </c>
      <c r="C599">
        <v>10</v>
      </c>
      <c r="D599" s="26" t="s">
        <v>401</v>
      </c>
      <c r="E599" t="s">
        <v>71</v>
      </c>
      <c r="F599">
        <v>12</v>
      </c>
      <c r="G599" t="str">
        <f t="shared" si="21"/>
        <v>CoStep10DoubleSupportTimeT12</v>
      </c>
      <c r="J599" s="26" t="s">
        <v>75</v>
      </c>
      <c r="K599">
        <v>255</v>
      </c>
      <c r="L599" t="str">
        <f t="shared" si="20"/>
        <v>O255</v>
      </c>
    </row>
    <row r="600" spans="1:12" x14ac:dyDescent="0.2">
      <c r="A600" s="26" t="s">
        <v>36</v>
      </c>
      <c r="B600" t="s">
        <v>69</v>
      </c>
      <c r="C600">
        <v>10</v>
      </c>
      <c r="D600" s="26" t="s">
        <v>402</v>
      </c>
      <c r="E600" t="s">
        <v>71</v>
      </c>
      <c r="F600">
        <v>12</v>
      </c>
      <c r="G600" t="str">
        <f t="shared" si="21"/>
        <v>CoStep10StanceTimeT12</v>
      </c>
      <c r="J600" s="26" t="s">
        <v>71</v>
      </c>
      <c r="K600">
        <v>255</v>
      </c>
      <c r="L600" t="str">
        <f t="shared" si="20"/>
        <v>T255</v>
      </c>
    </row>
    <row r="601" spans="1:12" x14ac:dyDescent="0.2">
      <c r="A601" s="26" t="s">
        <v>36</v>
      </c>
      <c r="B601" t="s">
        <v>69</v>
      </c>
      <c r="C601">
        <v>1</v>
      </c>
      <c r="D601" s="26" t="s">
        <v>384</v>
      </c>
      <c r="E601" t="s">
        <v>71</v>
      </c>
      <c r="F601">
        <v>13</v>
      </c>
      <c r="G601" t="str">
        <f t="shared" si="21"/>
        <v>CoStep1ColorT13</v>
      </c>
      <c r="J601" s="26" t="s">
        <v>72</v>
      </c>
      <c r="K601">
        <v>30</v>
      </c>
      <c r="L601" t="str">
        <f>J601&amp;K601</f>
        <v>B30</v>
      </c>
    </row>
    <row r="602" spans="1:12" x14ac:dyDescent="0.2">
      <c r="A602" s="26" t="s">
        <v>36</v>
      </c>
      <c r="B602" t="s">
        <v>69</v>
      </c>
      <c r="C602">
        <v>1</v>
      </c>
      <c r="D602" t="s">
        <v>68</v>
      </c>
      <c r="E602" t="s">
        <v>71</v>
      </c>
      <c r="F602">
        <v>13</v>
      </c>
      <c r="G602" t="str">
        <f t="shared" si="21"/>
        <v>CoStep1StepLengthT13</v>
      </c>
      <c r="J602" s="26" t="s">
        <v>73</v>
      </c>
      <c r="K602">
        <v>30</v>
      </c>
      <c r="L602" t="str">
        <f t="shared" ref="L602:L650" si="22">J602&amp;K602</f>
        <v>E30</v>
      </c>
    </row>
    <row r="603" spans="1:12" x14ac:dyDescent="0.2">
      <c r="A603" s="26" t="s">
        <v>36</v>
      </c>
      <c r="B603" t="s">
        <v>69</v>
      </c>
      <c r="C603">
        <v>1</v>
      </c>
      <c r="D603" s="26" t="s">
        <v>400</v>
      </c>
      <c r="E603" t="s">
        <v>71</v>
      </c>
      <c r="F603">
        <v>13</v>
      </c>
      <c r="G603" t="str">
        <f t="shared" si="21"/>
        <v>CoStep1StepTimeT13</v>
      </c>
      <c r="J603" s="26" t="s">
        <v>74</v>
      </c>
      <c r="K603">
        <v>30</v>
      </c>
      <c r="L603" t="str">
        <f t="shared" si="22"/>
        <v>J30</v>
      </c>
    </row>
    <row r="604" spans="1:12" x14ac:dyDescent="0.2">
      <c r="A604" s="26" t="s">
        <v>36</v>
      </c>
      <c r="B604" t="s">
        <v>69</v>
      </c>
      <c r="C604">
        <v>1</v>
      </c>
      <c r="D604" s="26" t="s">
        <v>401</v>
      </c>
      <c r="E604" t="s">
        <v>71</v>
      </c>
      <c r="F604">
        <v>13</v>
      </c>
      <c r="G604" t="str">
        <f t="shared" si="21"/>
        <v>CoStep1DoubleSupportTimeT13</v>
      </c>
      <c r="J604" s="26" t="s">
        <v>75</v>
      </c>
      <c r="K604">
        <v>30</v>
      </c>
      <c r="L604" t="str">
        <f t="shared" si="22"/>
        <v>O30</v>
      </c>
    </row>
    <row r="605" spans="1:12" x14ac:dyDescent="0.2">
      <c r="A605" s="26" t="s">
        <v>36</v>
      </c>
      <c r="B605" t="s">
        <v>69</v>
      </c>
      <c r="C605">
        <v>1</v>
      </c>
      <c r="D605" s="26" t="s">
        <v>402</v>
      </c>
      <c r="E605" t="s">
        <v>71</v>
      </c>
      <c r="F605">
        <v>13</v>
      </c>
      <c r="G605" t="str">
        <f t="shared" si="21"/>
        <v>CoStep1StanceTimeT13</v>
      </c>
      <c r="J605" s="26" t="s">
        <v>71</v>
      </c>
      <c r="K605">
        <v>30</v>
      </c>
      <c r="L605" t="str">
        <f t="shared" si="22"/>
        <v>T30</v>
      </c>
    </row>
    <row r="606" spans="1:12" x14ac:dyDescent="0.2">
      <c r="A606" s="26" t="s">
        <v>36</v>
      </c>
      <c r="B606" t="s">
        <v>69</v>
      </c>
      <c r="C606">
        <v>2</v>
      </c>
      <c r="D606" s="26" t="s">
        <v>384</v>
      </c>
      <c r="E606" t="s">
        <v>71</v>
      </c>
      <c r="F606">
        <v>13</v>
      </c>
      <c r="G606" t="str">
        <f t="shared" si="21"/>
        <v>CoStep2ColorT13</v>
      </c>
      <c r="J606" s="26" t="s">
        <v>72</v>
      </c>
      <c r="K606">
        <v>55</v>
      </c>
      <c r="L606" t="str">
        <f t="shared" si="22"/>
        <v>B55</v>
      </c>
    </row>
    <row r="607" spans="1:12" x14ac:dyDescent="0.2">
      <c r="A607" s="26" t="s">
        <v>36</v>
      </c>
      <c r="B607" t="s">
        <v>69</v>
      </c>
      <c r="C607">
        <v>2</v>
      </c>
      <c r="D607" t="s">
        <v>68</v>
      </c>
      <c r="E607" t="s">
        <v>71</v>
      </c>
      <c r="F607">
        <v>13</v>
      </c>
      <c r="G607" t="str">
        <f t="shared" si="21"/>
        <v>CoStep2StepLengthT13</v>
      </c>
      <c r="J607" s="26" t="s">
        <v>73</v>
      </c>
      <c r="K607">
        <v>55</v>
      </c>
      <c r="L607" t="str">
        <f t="shared" si="22"/>
        <v>E55</v>
      </c>
    </row>
    <row r="608" spans="1:12" x14ac:dyDescent="0.2">
      <c r="A608" s="26" t="s">
        <v>36</v>
      </c>
      <c r="B608" t="s">
        <v>69</v>
      </c>
      <c r="C608">
        <v>2</v>
      </c>
      <c r="D608" s="26" t="s">
        <v>400</v>
      </c>
      <c r="E608" t="s">
        <v>71</v>
      </c>
      <c r="F608">
        <v>13</v>
      </c>
      <c r="G608" t="str">
        <f t="shared" si="21"/>
        <v>CoStep2StepTimeT13</v>
      </c>
      <c r="J608" s="26" t="s">
        <v>74</v>
      </c>
      <c r="K608">
        <v>55</v>
      </c>
      <c r="L608" t="str">
        <f t="shared" si="22"/>
        <v>J55</v>
      </c>
    </row>
    <row r="609" spans="1:12" x14ac:dyDescent="0.2">
      <c r="A609" s="26" t="s">
        <v>36</v>
      </c>
      <c r="B609" t="s">
        <v>69</v>
      </c>
      <c r="C609">
        <v>2</v>
      </c>
      <c r="D609" s="26" t="s">
        <v>401</v>
      </c>
      <c r="E609" t="s">
        <v>71</v>
      </c>
      <c r="F609">
        <v>13</v>
      </c>
      <c r="G609" t="str">
        <f t="shared" si="21"/>
        <v>CoStep2DoubleSupportTimeT13</v>
      </c>
      <c r="J609" s="26" t="s">
        <v>75</v>
      </c>
      <c r="K609">
        <v>55</v>
      </c>
      <c r="L609" t="str">
        <f t="shared" si="22"/>
        <v>O55</v>
      </c>
    </row>
    <row r="610" spans="1:12" x14ac:dyDescent="0.2">
      <c r="A610" s="26" t="s">
        <v>36</v>
      </c>
      <c r="B610" t="s">
        <v>69</v>
      </c>
      <c r="C610">
        <v>2</v>
      </c>
      <c r="D610" s="26" t="s">
        <v>402</v>
      </c>
      <c r="E610" t="s">
        <v>71</v>
      </c>
      <c r="F610">
        <v>13</v>
      </c>
      <c r="G610" t="str">
        <f t="shared" si="21"/>
        <v>CoStep2StanceTimeT13</v>
      </c>
      <c r="J610" s="26" t="s">
        <v>71</v>
      </c>
      <c r="K610">
        <v>55</v>
      </c>
      <c r="L610" t="str">
        <f t="shared" si="22"/>
        <v>T55</v>
      </c>
    </row>
    <row r="611" spans="1:12" x14ac:dyDescent="0.2">
      <c r="A611" s="26" t="s">
        <v>36</v>
      </c>
      <c r="B611" t="s">
        <v>69</v>
      </c>
      <c r="C611">
        <v>3</v>
      </c>
      <c r="D611" s="26" t="s">
        <v>384</v>
      </c>
      <c r="E611" t="s">
        <v>71</v>
      </c>
      <c r="F611">
        <v>13</v>
      </c>
      <c r="G611" t="str">
        <f t="shared" si="21"/>
        <v>CoStep3ColorT13</v>
      </c>
      <c r="J611" s="26" t="s">
        <v>72</v>
      </c>
      <c r="K611">
        <v>80</v>
      </c>
      <c r="L611" t="str">
        <f t="shared" si="22"/>
        <v>B80</v>
      </c>
    </row>
    <row r="612" spans="1:12" x14ac:dyDescent="0.2">
      <c r="A612" s="26" t="s">
        <v>36</v>
      </c>
      <c r="B612" t="s">
        <v>69</v>
      </c>
      <c r="C612">
        <v>3</v>
      </c>
      <c r="D612" t="s">
        <v>68</v>
      </c>
      <c r="E612" t="s">
        <v>71</v>
      </c>
      <c r="F612">
        <v>13</v>
      </c>
      <c r="G612" t="str">
        <f t="shared" si="21"/>
        <v>CoStep3StepLengthT13</v>
      </c>
      <c r="J612" s="26" t="s">
        <v>73</v>
      </c>
      <c r="K612">
        <v>80</v>
      </c>
      <c r="L612" t="str">
        <f t="shared" si="22"/>
        <v>E80</v>
      </c>
    </row>
    <row r="613" spans="1:12" x14ac:dyDescent="0.2">
      <c r="A613" s="26" t="s">
        <v>36</v>
      </c>
      <c r="B613" t="s">
        <v>69</v>
      </c>
      <c r="C613">
        <v>3</v>
      </c>
      <c r="D613" s="26" t="s">
        <v>400</v>
      </c>
      <c r="E613" t="s">
        <v>71</v>
      </c>
      <c r="F613">
        <v>13</v>
      </c>
      <c r="G613" t="str">
        <f t="shared" si="21"/>
        <v>CoStep3StepTimeT13</v>
      </c>
      <c r="J613" s="26" t="s">
        <v>74</v>
      </c>
      <c r="K613">
        <v>80</v>
      </c>
      <c r="L613" t="str">
        <f t="shared" si="22"/>
        <v>J80</v>
      </c>
    </row>
    <row r="614" spans="1:12" x14ac:dyDescent="0.2">
      <c r="A614" s="26" t="s">
        <v>36</v>
      </c>
      <c r="B614" t="s">
        <v>69</v>
      </c>
      <c r="C614">
        <v>3</v>
      </c>
      <c r="D614" s="26" t="s">
        <v>401</v>
      </c>
      <c r="E614" t="s">
        <v>71</v>
      </c>
      <c r="F614">
        <v>13</v>
      </c>
      <c r="G614" t="str">
        <f t="shared" si="21"/>
        <v>CoStep3DoubleSupportTimeT13</v>
      </c>
      <c r="J614" s="26" t="s">
        <v>75</v>
      </c>
      <c r="K614">
        <v>80</v>
      </c>
      <c r="L614" t="str">
        <f t="shared" si="22"/>
        <v>O80</v>
      </c>
    </row>
    <row r="615" spans="1:12" x14ac:dyDescent="0.2">
      <c r="A615" s="26" t="s">
        <v>36</v>
      </c>
      <c r="B615" t="s">
        <v>69</v>
      </c>
      <c r="C615">
        <v>3</v>
      </c>
      <c r="D615" s="26" t="s">
        <v>402</v>
      </c>
      <c r="E615" t="s">
        <v>71</v>
      </c>
      <c r="F615">
        <v>13</v>
      </c>
      <c r="G615" t="str">
        <f t="shared" si="21"/>
        <v>CoStep3StanceTimeT13</v>
      </c>
      <c r="J615" s="26" t="s">
        <v>71</v>
      </c>
      <c r="K615">
        <v>80</v>
      </c>
      <c r="L615" t="str">
        <f t="shared" si="22"/>
        <v>T80</v>
      </c>
    </row>
    <row r="616" spans="1:12" x14ac:dyDescent="0.2">
      <c r="A616" s="26" t="s">
        <v>36</v>
      </c>
      <c r="B616" t="s">
        <v>69</v>
      </c>
      <c r="C616">
        <v>4</v>
      </c>
      <c r="D616" s="26" t="s">
        <v>384</v>
      </c>
      <c r="E616" t="s">
        <v>71</v>
      </c>
      <c r="F616">
        <v>13</v>
      </c>
      <c r="G616" t="str">
        <f t="shared" si="21"/>
        <v>CoStep4ColorT13</v>
      </c>
      <c r="J616" s="26" t="s">
        <v>72</v>
      </c>
      <c r="K616">
        <v>105</v>
      </c>
      <c r="L616" t="str">
        <f t="shared" si="22"/>
        <v>B105</v>
      </c>
    </row>
    <row r="617" spans="1:12" x14ac:dyDescent="0.2">
      <c r="A617" s="26" t="s">
        <v>36</v>
      </c>
      <c r="B617" t="s">
        <v>69</v>
      </c>
      <c r="C617">
        <v>4</v>
      </c>
      <c r="D617" t="s">
        <v>68</v>
      </c>
      <c r="E617" t="s">
        <v>71</v>
      </c>
      <c r="F617">
        <v>13</v>
      </c>
      <c r="G617" t="str">
        <f t="shared" si="21"/>
        <v>CoStep4StepLengthT13</v>
      </c>
      <c r="J617" s="26" t="s">
        <v>73</v>
      </c>
      <c r="K617">
        <v>105</v>
      </c>
      <c r="L617" t="str">
        <f t="shared" si="22"/>
        <v>E105</v>
      </c>
    </row>
    <row r="618" spans="1:12" x14ac:dyDescent="0.2">
      <c r="A618" s="26" t="s">
        <v>36</v>
      </c>
      <c r="B618" t="s">
        <v>69</v>
      </c>
      <c r="C618">
        <v>4</v>
      </c>
      <c r="D618" s="26" t="s">
        <v>400</v>
      </c>
      <c r="E618" t="s">
        <v>71</v>
      </c>
      <c r="F618">
        <v>13</v>
      </c>
      <c r="G618" t="str">
        <f t="shared" si="21"/>
        <v>CoStep4StepTimeT13</v>
      </c>
      <c r="J618" s="26" t="s">
        <v>74</v>
      </c>
      <c r="K618">
        <v>105</v>
      </c>
      <c r="L618" t="str">
        <f t="shared" si="22"/>
        <v>J105</v>
      </c>
    </row>
    <row r="619" spans="1:12" x14ac:dyDescent="0.2">
      <c r="A619" s="26" t="s">
        <v>36</v>
      </c>
      <c r="B619" t="s">
        <v>69</v>
      </c>
      <c r="C619">
        <v>4</v>
      </c>
      <c r="D619" s="26" t="s">
        <v>401</v>
      </c>
      <c r="E619" t="s">
        <v>71</v>
      </c>
      <c r="F619">
        <v>13</v>
      </c>
      <c r="G619" t="str">
        <f t="shared" si="21"/>
        <v>CoStep4DoubleSupportTimeT13</v>
      </c>
      <c r="J619" s="26" t="s">
        <v>75</v>
      </c>
      <c r="K619">
        <v>105</v>
      </c>
      <c r="L619" t="str">
        <f t="shared" si="22"/>
        <v>O105</v>
      </c>
    </row>
    <row r="620" spans="1:12" x14ac:dyDescent="0.2">
      <c r="A620" s="26" t="s">
        <v>36</v>
      </c>
      <c r="B620" t="s">
        <v>69</v>
      </c>
      <c r="C620">
        <v>4</v>
      </c>
      <c r="D620" s="26" t="s">
        <v>402</v>
      </c>
      <c r="E620" t="s">
        <v>71</v>
      </c>
      <c r="F620">
        <v>13</v>
      </c>
      <c r="G620" t="str">
        <f t="shared" si="21"/>
        <v>CoStep4StanceTimeT13</v>
      </c>
      <c r="J620" s="26" t="s">
        <v>71</v>
      </c>
      <c r="K620">
        <v>105</v>
      </c>
      <c r="L620" t="str">
        <f t="shared" si="22"/>
        <v>T105</v>
      </c>
    </row>
    <row r="621" spans="1:12" x14ac:dyDescent="0.2">
      <c r="A621" s="26" t="s">
        <v>36</v>
      </c>
      <c r="B621" t="s">
        <v>69</v>
      </c>
      <c r="C621">
        <v>5</v>
      </c>
      <c r="D621" s="26" t="s">
        <v>384</v>
      </c>
      <c r="E621" t="s">
        <v>71</v>
      </c>
      <c r="F621">
        <v>13</v>
      </c>
      <c r="G621" t="str">
        <f t="shared" si="21"/>
        <v>CoStep5ColorT13</v>
      </c>
      <c r="J621" s="26" t="s">
        <v>72</v>
      </c>
      <c r="K621">
        <v>130</v>
      </c>
      <c r="L621" t="str">
        <f t="shared" si="22"/>
        <v>B130</v>
      </c>
    </row>
    <row r="622" spans="1:12" x14ac:dyDescent="0.2">
      <c r="A622" s="26" t="s">
        <v>36</v>
      </c>
      <c r="B622" t="s">
        <v>69</v>
      </c>
      <c r="C622">
        <v>5</v>
      </c>
      <c r="D622" t="s">
        <v>68</v>
      </c>
      <c r="E622" t="s">
        <v>71</v>
      </c>
      <c r="F622">
        <v>13</v>
      </c>
      <c r="G622" t="str">
        <f t="shared" si="21"/>
        <v>CoStep5StepLengthT13</v>
      </c>
      <c r="J622" s="26" t="s">
        <v>73</v>
      </c>
      <c r="K622">
        <v>130</v>
      </c>
      <c r="L622" t="str">
        <f t="shared" si="22"/>
        <v>E130</v>
      </c>
    </row>
    <row r="623" spans="1:12" x14ac:dyDescent="0.2">
      <c r="A623" s="26" t="s">
        <v>36</v>
      </c>
      <c r="B623" t="s">
        <v>69</v>
      </c>
      <c r="C623">
        <v>5</v>
      </c>
      <c r="D623" s="26" t="s">
        <v>400</v>
      </c>
      <c r="E623" t="s">
        <v>71</v>
      </c>
      <c r="F623">
        <v>13</v>
      </c>
      <c r="G623" t="str">
        <f t="shared" si="21"/>
        <v>CoStep5StepTimeT13</v>
      </c>
      <c r="J623" s="26" t="s">
        <v>74</v>
      </c>
      <c r="K623">
        <v>130</v>
      </c>
      <c r="L623" t="str">
        <f t="shared" si="22"/>
        <v>J130</v>
      </c>
    </row>
    <row r="624" spans="1:12" x14ac:dyDescent="0.2">
      <c r="A624" s="26" t="s">
        <v>36</v>
      </c>
      <c r="B624" t="s">
        <v>69</v>
      </c>
      <c r="C624">
        <v>5</v>
      </c>
      <c r="D624" s="26" t="s">
        <v>401</v>
      </c>
      <c r="E624" t="s">
        <v>71</v>
      </c>
      <c r="F624">
        <v>13</v>
      </c>
      <c r="G624" t="str">
        <f t="shared" si="21"/>
        <v>CoStep5DoubleSupportTimeT13</v>
      </c>
      <c r="J624" s="26" t="s">
        <v>75</v>
      </c>
      <c r="K624">
        <v>130</v>
      </c>
      <c r="L624" t="str">
        <f t="shared" si="22"/>
        <v>O130</v>
      </c>
    </row>
    <row r="625" spans="1:12" x14ac:dyDescent="0.2">
      <c r="A625" s="26" t="s">
        <v>36</v>
      </c>
      <c r="B625" t="s">
        <v>69</v>
      </c>
      <c r="C625">
        <v>5</v>
      </c>
      <c r="D625" s="26" t="s">
        <v>402</v>
      </c>
      <c r="E625" t="s">
        <v>71</v>
      </c>
      <c r="F625">
        <v>13</v>
      </c>
      <c r="G625" t="str">
        <f t="shared" si="21"/>
        <v>CoStep5StanceTimeT13</v>
      </c>
      <c r="J625" s="26" t="s">
        <v>71</v>
      </c>
      <c r="K625">
        <v>130</v>
      </c>
      <c r="L625" t="str">
        <f t="shared" si="22"/>
        <v>T130</v>
      </c>
    </row>
    <row r="626" spans="1:12" x14ac:dyDescent="0.2">
      <c r="A626" s="26" t="s">
        <v>36</v>
      </c>
      <c r="B626" t="s">
        <v>69</v>
      </c>
      <c r="C626">
        <v>6</v>
      </c>
      <c r="D626" s="26" t="s">
        <v>384</v>
      </c>
      <c r="E626" t="s">
        <v>71</v>
      </c>
      <c r="F626">
        <v>13</v>
      </c>
      <c r="G626" t="str">
        <f t="shared" si="21"/>
        <v>CoStep6ColorT13</v>
      </c>
      <c r="J626" s="26" t="s">
        <v>72</v>
      </c>
      <c r="K626">
        <v>155</v>
      </c>
      <c r="L626" t="str">
        <f t="shared" si="22"/>
        <v>B155</v>
      </c>
    </row>
    <row r="627" spans="1:12" x14ac:dyDescent="0.2">
      <c r="A627" s="26" t="s">
        <v>36</v>
      </c>
      <c r="B627" t="s">
        <v>69</v>
      </c>
      <c r="C627">
        <v>6</v>
      </c>
      <c r="D627" t="s">
        <v>68</v>
      </c>
      <c r="E627" t="s">
        <v>71</v>
      </c>
      <c r="F627">
        <v>13</v>
      </c>
      <c r="G627" t="str">
        <f t="shared" si="21"/>
        <v>CoStep6StepLengthT13</v>
      </c>
      <c r="J627" s="26" t="s">
        <v>73</v>
      </c>
      <c r="K627">
        <v>155</v>
      </c>
      <c r="L627" t="str">
        <f t="shared" si="22"/>
        <v>E155</v>
      </c>
    </row>
    <row r="628" spans="1:12" x14ac:dyDescent="0.2">
      <c r="A628" s="26" t="s">
        <v>36</v>
      </c>
      <c r="B628" t="s">
        <v>69</v>
      </c>
      <c r="C628">
        <v>6</v>
      </c>
      <c r="D628" s="26" t="s">
        <v>400</v>
      </c>
      <c r="E628" t="s">
        <v>71</v>
      </c>
      <c r="F628">
        <v>13</v>
      </c>
      <c r="G628" t="str">
        <f t="shared" si="21"/>
        <v>CoStep6StepTimeT13</v>
      </c>
      <c r="J628" s="26" t="s">
        <v>74</v>
      </c>
      <c r="K628">
        <v>155</v>
      </c>
      <c r="L628" t="str">
        <f t="shared" si="22"/>
        <v>J155</v>
      </c>
    </row>
    <row r="629" spans="1:12" x14ac:dyDescent="0.2">
      <c r="A629" s="26" t="s">
        <v>36</v>
      </c>
      <c r="B629" t="s">
        <v>69</v>
      </c>
      <c r="C629">
        <v>6</v>
      </c>
      <c r="D629" s="26" t="s">
        <v>401</v>
      </c>
      <c r="E629" t="s">
        <v>71</v>
      </c>
      <c r="F629">
        <v>13</v>
      </c>
      <c r="G629" t="str">
        <f t="shared" si="21"/>
        <v>CoStep6DoubleSupportTimeT13</v>
      </c>
      <c r="J629" s="26" t="s">
        <v>75</v>
      </c>
      <c r="K629">
        <v>155</v>
      </c>
      <c r="L629" t="str">
        <f t="shared" si="22"/>
        <v>O155</v>
      </c>
    </row>
    <row r="630" spans="1:12" x14ac:dyDescent="0.2">
      <c r="A630" s="26" t="s">
        <v>36</v>
      </c>
      <c r="B630" t="s">
        <v>69</v>
      </c>
      <c r="C630">
        <v>6</v>
      </c>
      <c r="D630" s="26" t="s">
        <v>402</v>
      </c>
      <c r="E630" t="s">
        <v>71</v>
      </c>
      <c r="F630">
        <v>13</v>
      </c>
      <c r="G630" t="str">
        <f t="shared" si="21"/>
        <v>CoStep6StanceTimeT13</v>
      </c>
      <c r="J630" s="26" t="s">
        <v>71</v>
      </c>
      <c r="K630">
        <v>155</v>
      </c>
      <c r="L630" t="str">
        <f t="shared" si="22"/>
        <v>T155</v>
      </c>
    </row>
    <row r="631" spans="1:12" x14ac:dyDescent="0.2">
      <c r="A631" s="26" t="s">
        <v>36</v>
      </c>
      <c r="B631" t="s">
        <v>69</v>
      </c>
      <c r="C631">
        <v>7</v>
      </c>
      <c r="D631" s="26" t="s">
        <v>384</v>
      </c>
      <c r="E631" t="s">
        <v>71</v>
      </c>
      <c r="F631">
        <v>13</v>
      </c>
      <c r="G631" t="str">
        <f t="shared" si="21"/>
        <v>CoStep7ColorT13</v>
      </c>
      <c r="J631" s="26" t="s">
        <v>72</v>
      </c>
      <c r="K631">
        <v>188</v>
      </c>
      <c r="L631" t="str">
        <f t="shared" si="22"/>
        <v>B188</v>
      </c>
    </row>
    <row r="632" spans="1:12" x14ac:dyDescent="0.2">
      <c r="A632" s="26" t="s">
        <v>36</v>
      </c>
      <c r="B632" t="s">
        <v>69</v>
      </c>
      <c r="C632">
        <v>7</v>
      </c>
      <c r="D632" t="s">
        <v>68</v>
      </c>
      <c r="E632" t="s">
        <v>71</v>
      </c>
      <c r="F632">
        <v>13</v>
      </c>
      <c r="G632" t="str">
        <f t="shared" si="21"/>
        <v>CoStep7StepLengthT13</v>
      </c>
      <c r="J632" s="26" t="s">
        <v>73</v>
      </c>
      <c r="K632">
        <v>188</v>
      </c>
      <c r="L632" t="str">
        <f t="shared" si="22"/>
        <v>E188</v>
      </c>
    </row>
    <row r="633" spans="1:12" x14ac:dyDescent="0.2">
      <c r="A633" s="26" t="s">
        <v>36</v>
      </c>
      <c r="B633" t="s">
        <v>69</v>
      </c>
      <c r="C633">
        <v>7</v>
      </c>
      <c r="D633" s="26" t="s">
        <v>400</v>
      </c>
      <c r="E633" t="s">
        <v>71</v>
      </c>
      <c r="F633">
        <v>13</v>
      </c>
      <c r="G633" t="str">
        <f t="shared" si="21"/>
        <v>CoStep7StepTimeT13</v>
      </c>
      <c r="J633" s="26" t="s">
        <v>74</v>
      </c>
      <c r="K633">
        <v>188</v>
      </c>
      <c r="L633" t="str">
        <f t="shared" si="22"/>
        <v>J188</v>
      </c>
    </row>
    <row r="634" spans="1:12" x14ac:dyDescent="0.2">
      <c r="A634" s="26" t="s">
        <v>36</v>
      </c>
      <c r="B634" t="s">
        <v>69</v>
      </c>
      <c r="C634">
        <v>7</v>
      </c>
      <c r="D634" s="26" t="s">
        <v>401</v>
      </c>
      <c r="E634" t="s">
        <v>71</v>
      </c>
      <c r="F634">
        <v>13</v>
      </c>
      <c r="G634" t="str">
        <f t="shared" si="21"/>
        <v>CoStep7DoubleSupportTimeT13</v>
      </c>
      <c r="J634" s="26" t="s">
        <v>75</v>
      </c>
      <c r="K634">
        <v>188</v>
      </c>
      <c r="L634" t="str">
        <f t="shared" si="22"/>
        <v>O188</v>
      </c>
    </row>
    <row r="635" spans="1:12" x14ac:dyDescent="0.2">
      <c r="A635" s="26" t="s">
        <v>36</v>
      </c>
      <c r="B635" t="s">
        <v>69</v>
      </c>
      <c r="C635">
        <v>7</v>
      </c>
      <c r="D635" s="26" t="s">
        <v>402</v>
      </c>
      <c r="E635" t="s">
        <v>71</v>
      </c>
      <c r="F635">
        <v>13</v>
      </c>
      <c r="G635" t="str">
        <f t="shared" si="21"/>
        <v>CoStep7StanceTimeT13</v>
      </c>
      <c r="J635" s="26" t="s">
        <v>71</v>
      </c>
      <c r="K635">
        <v>188</v>
      </c>
      <c r="L635" t="str">
        <f t="shared" si="22"/>
        <v>T188</v>
      </c>
    </row>
    <row r="636" spans="1:12" x14ac:dyDescent="0.2">
      <c r="A636" s="26" t="s">
        <v>36</v>
      </c>
      <c r="B636" t="s">
        <v>69</v>
      </c>
      <c r="C636">
        <v>8</v>
      </c>
      <c r="D636" s="26" t="s">
        <v>384</v>
      </c>
      <c r="E636" t="s">
        <v>71</v>
      </c>
      <c r="F636">
        <v>13</v>
      </c>
      <c r="G636" t="str">
        <f t="shared" si="21"/>
        <v>CoStep8ColorT13</v>
      </c>
      <c r="J636" s="26" t="s">
        <v>72</v>
      </c>
      <c r="K636">
        <v>205</v>
      </c>
      <c r="L636" t="str">
        <f t="shared" si="22"/>
        <v>B205</v>
      </c>
    </row>
    <row r="637" spans="1:12" x14ac:dyDescent="0.2">
      <c r="A637" s="26" t="s">
        <v>36</v>
      </c>
      <c r="B637" t="s">
        <v>69</v>
      </c>
      <c r="C637">
        <v>8</v>
      </c>
      <c r="D637" t="s">
        <v>68</v>
      </c>
      <c r="E637" t="s">
        <v>71</v>
      </c>
      <c r="F637">
        <v>13</v>
      </c>
      <c r="G637" t="str">
        <f t="shared" si="21"/>
        <v>CoStep8StepLengthT13</v>
      </c>
      <c r="J637" s="26" t="s">
        <v>73</v>
      </c>
      <c r="K637">
        <v>205</v>
      </c>
      <c r="L637" t="str">
        <f t="shared" si="22"/>
        <v>E205</v>
      </c>
    </row>
    <row r="638" spans="1:12" x14ac:dyDescent="0.2">
      <c r="A638" s="26" t="s">
        <v>36</v>
      </c>
      <c r="B638" t="s">
        <v>69</v>
      </c>
      <c r="C638">
        <v>8</v>
      </c>
      <c r="D638" s="26" t="s">
        <v>400</v>
      </c>
      <c r="E638" t="s">
        <v>71</v>
      </c>
      <c r="F638">
        <v>13</v>
      </c>
      <c r="G638" t="str">
        <f t="shared" si="21"/>
        <v>CoStep8StepTimeT13</v>
      </c>
      <c r="J638" s="26" t="s">
        <v>74</v>
      </c>
      <c r="K638">
        <v>205</v>
      </c>
      <c r="L638" t="str">
        <f t="shared" si="22"/>
        <v>J205</v>
      </c>
    </row>
    <row r="639" spans="1:12" x14ac:dyDescent="0.2">
      <c r="A639" s="26" t="s">
        <v>36</v>
      </c>
      <c r="B639" t="s">
        <v>69</v>
      </c>
      <c r="C639">
        <v>8</v>
      </c>
      <c r="D639" s="26" t="s">
        <v>401</v>
      </c>
      <c r="E639" t="s">
        <v>71</v>
      </c>
      <c r="F639">
        <v>13</v>
      </c>
      <c r="G639" t="str">
        <f t="shared" si="21"/>
        <v>CoStep8DoubleSupportTimeT13</v>
      </c>
      <c r="J639" s="26" t="s">
        <v>75</v>
      </c>
      <c r="K639">
        <v>205</v>
      </c>
      <c r="L639" t="str">
        <f t="shared" si="22"/>
        <v>O205</v>
      </c>
    </row>
    <row r="640" spans="1:12" x14ac:dyDescent="0.2">
      <c r="A640" s="26" t="s">
        <v>36</v>
      </c>
      <c r="B640" t="s">
        <v>69</v>
      </c>
      <c r="C640">
        <v>8</v>
      </c>
      <c r="D640" s="26" t="s">
        <v>402</v>
      </c>
      <c r="E640" t="s">
        <v>71</v>
      </c>
      <c r="F640">
        <v>13</v>
      </c>
      <c r="G640" t="str">
        <f t="shared" si="21"/>
        <v>CoStep8StanceTimeT13</v>
      </c>
      <c r="J640" s="26" t="s">
        <v>71</v>
      </c>
      <c r="K640">
        <v>205</v>
      </c>
      <c r="L640" t="str">
        <f t="shared" si="22"/>
        <v>T205</v>
      </c>
    </row>
    <row r="641" spans="1:12" x14ac:dyDescent="0.2">
      <c r="A641" s="26" t="s">
        <v>36</v>
      </c>
      <c r="B641" t="s">
        <v>69</v>
      </c>
      <c r="C641">
        <v>9</v>
      </c>
      <c r="D641" s="26" t="s">
        <v>384</v>
      </c>
      <c r="E641" t="s">
        <v>71</v>
      </c>
      <c r="F641">
        <v>13</v>
      </c>
      <c r="G641" t="str">
        <f t="shared" si="21"/>
        <v>CoStep9ColorT13</v>
      </c>
      <c r="J641" s="26" t="s">
        <v>72</v>
      </c>
      <c r="K641">
        <v>230</v>
      </c>
      <c r="L641" t="str">
        <f t="shared" si="22"/>
        <v>B230</v>
      </c>
    </row>
    <row r="642" spans="1:12" x14ac:dyDescent="0.2">
      <c r="A642" s="26" t="s">
        <v>36</v>
      </c>
      <c r="B642" t="s">
        <v>69</v>
      </c>
      <c r="C642">
        <v>9</v>
      </c>
      <c r="D642" t="s">
        <v>68</v>
      </c>
      <c r="E642" t="s">
        <v>71</v>
      </c>
      <c r="F642">
        <v>13</v>
      </c>
      <c r="G642" t="str">
        <f t="shared" si="21"/>
        <v>CoStep9StepLengthT13</v>
      </c>
      <c r="J642" s="26" t="s">
        <v>73</v>
      </c>
      <c r="K642">
        <v>230</v>
      </c>
      <c r="L642" t="str">
        <f t="shared" si="22"/>
        <v>E230</v>
      </c>
    </row>
    <row r="643" spans="1:12" x14ac:dyDescent="0.2">
      <c r="A643" s="26" t="s">
        <v>36</v>
      </c>
      <c r="B643" t="s">
        <v>69</v>
      </c>
      <c r="C643">
        <v>9</v>
      </c>
      <c r="D643" s="26" t="s">
        <v>400</v>
      </c>
      <c r="E643" t="s">
        <v>71</v>
      </c>
      <c r="F643">
        <v>13</v>
      </c>
      <c r="G643" t="str">
        <f t="shared" si="21"/>
        <v>CoStep9StepTimeT13</v>
      </c>
      <c r="J643" s="26" t="s">
        <v>74</v>
      </c>
      <c r="K643">
        <v>230</v>
      </c>
      <c r="L643" t="str">
        <f t="shared" si="22"/>
        <v>J230</v>
      </c>
    </row>
    <row r="644" spans="1:12" x14ac:dyDescent="0.2">
      <c r="A644" s="26" t="s">
        <v>36</v>
      </c>
      <c r="B644" t="s">
        <v>69</v>
      </c>
      <c r="C644">
        <v>9</v>
      </c>
      <c r="D644" s="26" t="s">
        <v>401</v>
      </c>
      <c r="E644" t="s">
        <v>71</v>
      </c>
      <c r="F644">
        <v>13</v>
      </c>
      <c r="G644" t="str">
        <f t="shared" si="21"/>
        <v>CoStep9DoubleSupportTimeT13</v>
      </c>
      <c r="J644" s="26" t="s">
        <v>75</v>
      </c>
      <c r="K644">
        <v>230</v>
      </c>
      <c r="L644" t="str">
        <f t="shared" si="22"/>
        <v>O230</v>
      </c>
    </row>
    <row r="645" spans="1:12" x14ac:dyDescent="0.2">
      <c r="A645" s="26" t="s">
        <v>36</v>
      </c>
      <c r="B645" t="s">
        <v>69</v>
      </c>
      <c r="C645">
        <v>9</v>
      </c>
      <c r="D645" s="26" t="s">
        <v>402</v>
      </c>
      <c r="E645" t="s">
        <v>71</v>
      </c>
      <c r="F645">
        <v>13</v>
      </c>
      <c r="G645" t="str">
        <f t="shared" si="21"/>
        <v>CoStep9StanceTimeT13</v>
      </c>
      <c r="J645" s="26" t="s">
        <v>71</v>
      </c>
      <c r="K645">
        <v>230</v>
      </c>
      <c r="L645" t="str">
        <f t="shared" si="22"/>
        <v>T230</v>
      </c>
    </row>
    <row r="646" spans="1:12" x14ac:dyDescent="0.2">
      <c r="A646" s="26" t="s">
        <v>36</v>
      </c>
      <c r="B646" t="s">
        <v>69</v>
      </c>
      <c r="C646">
        <v>10</v>
      </c>
      <c r="D646" s="26" t="s">
        <v>384</v>
      </c>
      <c r="E646" t="s">
        <v>71</v>
      </c>
      <c r="F646">
        <v>13</v>
      </c>
      <c r="G646" t="str">
        <f t="shared" ref="G646:G709" si="23">A646&amp;B646&amp;C646&amp;D646&amp;E646&amp;F646</f>
        <v>CoStep10ColorT13</v>
      </c>
      <c r="J646" s="26" t="s">
        <v>72</v>
      </c>
      <c r="K646">
        <v>255</v>
      </c>
      <c r="L646" t="str">
        <f t="shared" si="22"/>
        <v>B255</v>
      </c>
    </row>
    <row r="647" spans="1:12" x14ac:dyDescent="0.2">
      <c r="A647" s="26" t="s">
        <v>36</v>
      </c>
      <c r="B647" t="s">
        <v>69</v>
      </c>
      <c r="C647">
        <v>10</v>
      </c>
      <c r="D647" t="s">
        <v>68</v>
      </c>
      <c r="E647" t="s">
        <v>71</v>
      </c>
      <c r="F647">
        <v>13</v>
      </c>
      <c r="G647" t="str">
        <f t="shared" si="23"/>
        <v>CoStep10StepLengthT13</v>
      </c>
      <c r="J647" s="26" t="s">
        <v>73</v>
      </c>
      <c r="K647">
        <v>255</v>
      </c>
      <c r="L647" t="str">
        <f t="shared" si="22"/>
        <v>E255</v>
      </c>
    </row>
    <row r="648" spans="1:12" x14ac:dyDescent="0.2">
      <c r="A648" s="26" t="s">
        <v>36</v>
      </c>
      <c r="B648" t="s">
        <v>69</v>
      </c>
      <c r="C648">
        <v>10</v>
      </c>
      <c r="D648" s="26" t="s">
        <v>400</v>
      </c>
      <c r="E648" t="s">
        <v>71</v>
      </c>
      <c r="F648">
        <v>13</v>
      </c>
      <c r="G648" t="str">
        <f t="shared" si="23"/>
        <v>CoStep10StepTimeT13</v>
      </c>
      <c r="J648" s="26" t="s">
        <v>74</v>
      </c>
      <c r="K648">
        <v>255</v>
      </c>
      <c r="L648" t="str">
        <f t="shared" si="22"/>
        <v>J255</v>
      </c>
    </row>
    <row r="649" spans="1:12" x14ac:dyDescent="0.2">
      <c r="A649" s="26" t="s">
        <v>36</v>
      </c>
      <c r="B649" t="s">
        <v>69</v>
      </c>
      <c r="C649">
        <v>10</v>
      </c>
      <c r="D649" s="26" t="s">
        <v>401</v>
      </c>
      <c r="E649" t="s">
        <v>71</v>
      </c>
      <c r="F649">
        <v>13</v>
      </c>
      <c r="G649" t="str">
        <f t="shared" si="23"/>
        <v>CoStep10DoubleSupportTimeT13</v>
      </c>
      <c r="J649" s="26" t="s">
        <v>75</v>
      </c>
      <c r="K649">
        <v>255</v>
      </c>
      <c r="L649" t="str">
        <f t="shared" si="22"/>
        <v>O255</v>
      </c>
    </row>
    <row r="650" spans="1:12" x14ac:dyDescent="0.2">
      <c r="A650" s="26" t="s">
        <v>36</v>
      </c>
      <c r="B650" t="s">
        <v>69</v>
      </c>
      <c r="C650">
        <v>10</v>
      </c>
      <c r="D650" s="26" t="s">
        <v>402</v>
      </c>
      <c r="E650" t="s">
        <v>71</v>
      </c>
      <c r="F650">
        <v>13</v>
      </c>
      <c r="G650" t="str">
        <f t="shared" si="23"/>
        <v>CoStep10StanceTimeT13</v>
      </c>
      <c r="J650" s="26" t="s">
        <v>71</v>
      </c>
      <c r="K650">
        <v>255</v>
      </c>
      <c r="L650" t="str">
        <f t="shared" si="22"/>
        <v>T255</v>
      </c>
    </row>
    <row r="651" spans="1:12" x14ac:dyDescent="0.2">
      <c r="A651" s="26" t="s">
        <v>36</v>
      </c>
      <c r="B651" t="s">
        <v>69</v>
      </c>
      <c r="C651">
        <v>1</v>
      </c>
      <c r="D651" s="26" t="s">
        <v>384</v>
      </c>
      <c r="E651" t="s">
        <v>71</v>
      </c>
      <c r="F651">
        <v>14</v>
      </c>
      <c r="G651" t="str">
        <f t="shared" si="23"/>
        <v>CoStep1ColorT14</v>
      </c>
      <c r="J651" s="26" t="s">
        <v>72</v>
      </c>
      <c r="K651">
        <v>30</v>
      </c>
      <c r="L651" t="str">
        <f>J651&amp;K651</f>
        <v>B30</v>
      </c>
    </row>
    <row r="652" spans="1:12" x14ac:dyDescent="0.2">
      <c r="A652" s="26" t="s">
        <v>36</v>
      </c>
      <c r="B652" t="s">
        <v>69</v>
      </c>
      <c r="C652">
        <v>1</v>
      </c>
      <c r="D652" t="s">
        <v>68</v>
      </c>
      <c r="E652" t="s">
        <v>71</v>
      </c>
      <c r="F652">
        <v>14</v>
      </c>
      <c r="G652" t="str">
        <f t="shared" si="23"/>
        <v>CoStep1StepLengthT14</v>
      </c>
      <c r="J652" s="26" t="s">
        <v>73</v>
      </c>
      <c r="K652">
        <v>30</v>
      </c>
      <c r="L652" t="str">
        <f t="shared" ref="L652:L700" si="24">J652&amp;K652</f>
        <v>E30</v>
      </c>
    </row>
    <row r="653" spans="1:12" x14ac:dyDescent="0.2">
      <c r="A653" s="26" t="s">
        <v>36</v>
      </c>
      <c r="B653" t="s">
        <v>69</v>
      </c>
      <c r="C653">
        <v>1</v>
      </c>
      <c r="D653" s="26" t="s">
        <v>400</v>
      </c>
      <c r="E653" t="s">
        <v>71</v>
      </c>
      <c r="F653">
        <v>14</v>
      </c>
      <c r="G653" t="str">
        <f t="shared" si="23"/>
        <v>CoStep1StepTimeT14</v>
      </c>
      <c r="J653" s="26" t="s">
        <v>74</v>
      </c>
      <c r="K653">
        <v>30</v>
      </c>
      <c r="L653" t="str">
        <f t="shared" si="24"/>
        <v>J30</v>
      </c>
    </row>
    <row r="654" spans="1:12" x14ac:dyDescent="0.2">
      <c r="A654" s="26" t="s">
        <v>36</v>
      </c>
      <c r="B654" t="s">
        <v>69</v>
      </c>
      <c r="C654">
        <v>1</v>
      </c>
      <c r="D654" s="26" t="s">
        <v>401</v>
      </c>
      <c r="E654" t="s">
        <v>71</v>
      </c>
      <c r="F654">
        <v>14</v>
      </c>
      <c r="G654" t="str">
        <f t="shared" si="23"/>
        <v>CoStep1DoubleSupportTimeT14</v>
      </c>
      <c r="J654" s="26" t="s">
        <v>75</v>
      </c>
      <c r="K654">
        <v>30</v>
      </c>
      <c r="L654" t="str">
        <f t="shared" si="24"/>
        <v>O30</v>
      </c>
    </row>
    <row r="655" spans="1:12" x14ac:dyDescent="0.2">
      <c r="A655" s="26" t="s">
        <v>36</v>
      </c>
      <c r="B655" t="s">
        <v>69</v>
      </c>
      <c r="C655">
        <v>1</v>
      </c>
      <c r="D655" s="26" t="s">
        <v>402</v>
      </c>
      <c r="E655" t="s">
        <v>71</v>
      </c>
      <c r="F655">
        <v>14</v>
      </c>
      <c r="G655" t="str">
        <f t="shared" si="23"/>
        <v>CoStep1StanceTimeT14</v>
      </c>
      <c r="J655" s="26" t="s">
        <v>71</v>
      </c>
      <c r="K655">
        <v>30</v>
      </c>
      <c r="L655" t="str">
        <f t="shared" si="24"/>
        <v>T30</v>
      </c>
    </row>
    <row r="656" spans="1:12" x14ac:dyDescent="0.2">
      <c r="A656" s="26" t="s">
        <v>36</v>
      </c>
      <c r="B656" t="s">
        <v>69</v>
      </c>
      <c r="C656">
        <v>2</v>
      </c>
      <c r="D656" s="26" t="s">
        <v>384</v>
      </c>
      <c r="E656" t="s">
        <v>71</v>
      </c>
      <c r="F656">
        <v>14</v>
      </c>
      <c r="G656" t="str">
        <f t="shared" si="23"/>
        <v>CoStep2ColorT14</v>
      </c>
      <c r="J656" s="26" t="s">
        <v>72</v>
      </c>
      <c r="K656">
        <v>55</v>
      </c>
      <c r="L656" t="str">
        <f t="shared" si="24"/>
        <v>B55</v>
      </c>
    </row>
    <row r="657" spans="1:12" x14ac:dyDescent="0.2">
      <c r="A657" s="26" t="s">
        <v>36</v>
      </c>
      <c r="B657" t="s">
        <v>69</v>
      </c>
      <c r="C657">
        <v>2</v>
      </c>
      <c r="D657" t="s">
        <v>68</v>
      </c>
      <c r="E657" t="s">
        <v>71</v>
      </c>
      <c r="F657">
        <v>14</v>
      </c>
      <c r="G657" t="str">
        <f t="shared" si="23"/>
        <v>CoStep2StepLengthT14</v>
      </c>
      <c r="J657" s="26" t="s">
        <v>73</v>
      </c>
      <c r="K657">
        <v>55</v>
      </c>
      <c r="L657" t="str">
        <f t="shared" si="24"/>
        <v>E55</v>
      </c>
    </row>
    <row r="658" spans="1:12" x14ac:dyDescent="0.2">
      <c r="A658" s="26" t="s">
        <v>36</v>
      </c>
      <c r="B658" t="s">
        <v>69</v>
      </c>
      <c r="C658">
        <v>2</v>
      </c>
      <c r="D658" s="26" t="s">
        <v>400</v>
      </c>
      <c r="E658" t="s">
        <v>71</v>
      </c>
      <c r="F658">
        <v>14</v>
      </c>
      <c r="G658" t="str">
        <f t="shared" si="23"/>
        <v>CoStep2StepTimeT14</v>
      </c>
      <c r="J658" s="26" t="s">
        <v>74</v>
      </c>
      <c r="K658">
        <v>55</v>
      </c>
      <c r="L658" t="str">
        <f t="shared" si="24"/>
        <v>J55</v>
      </c>
    </row>
    <row r="659" spans="1:12" x14ac:dyDescent="0.2">
      <c r="A659" s="26" t="s">
        <v>36</v>
      </c>
      <c r="B659" t="s">
        <v>69</v>
      </c>
      <c r="C659">
        <v>2</v>
      </c>
      <c r="D659" s="26" t="s">
        <v>401</v>
      </c>
      <c r="E659" t="s">
        <v>71</v>
      </c>
      <c r="F659">
        <v>14</v>
      </c>
      <c r="G659" t="str">
        <f t="shared" si="23"/>
        <v>CoStep2DoubleSupportTimeT14</v>
      </c>
      <c r="J659" s="26" t="s">
        <v>75</v>
      </c>
      <c r="K659">
        <v>55</v>
      </c>
      <c r="L659" t="str">
        <f t="shared" si="24"/>
        <v>O55</v>
      </c>
    </row>
    <row r="660" spans="1:12" x14ac:dyDescent="0.2">
      <c r="A660" s="26" t="s">
        <v>36</v>
      </c>
      <c r="B660" t="s">
        <v>69</v>
      </c>
      <c r="C660">
        <v>2</v>
      </c>
      <c r="D660" s="26" t="s">
        <v>402</v>
      </c>
      <c r="E660" t="s">
        <v>71</v>
      </c>
      <c r="F660">
        <v>14</v>
      </c>
      <c r="G660" t="str">
        <f t="shared" si="23"/>
        <v>CoStep2StanceTimeT14</v>
      </c>
      <c r="J660" s="26" t="s">
        <v>71</v>
      </c>
      <c r="K660">
        <v>55</v>
      </c>
      <c r="L660" t="str">
        <f t="shared" si="24"/>
        <v>T55</v>
      </c>
    </row>
    <row r="661" spans="1:12" x14ac:dyDescent="0.2">
      <c r="A661" s="26" t="s">
        <v>36</v>
      </c>
      <c r="B661" t="s">
        <v>69</v>
      </c>
      <c r="C661">
        <v>3</v>
      </c>
      <c r="D661" s="26" t="s">
        <v>384</v>
      </c>
      <c r="E661" t="s">
        <v>71</v>
      </c>
      <c r="F661">
        <v>14</v>
      </c>
      <c r="G661" t="str">
        <f t="shared" si="23"/>
        <v>CoStep3ColorT14</v>
      </c>
      <c r="J661" s="26" t="s">
        <v>72</v>
      </c>
      <c r="K661">
        <v>80</v>
      </c>
      <c r="L661" t="str">
        <f t="shared" si="24"/>
        <v>B80</v>
      </c>
    </row>
    <row r="662" spans="1:12" x14ac:dyDescent="0.2">
      <c r="A662" s="26" t="s">
        <v>36</v>
      </c>
      <c r="B662" t="s">
        <v>69</v>
      </c>
      <c r="C662">
        <v>3</v>
      </c>
      <c r="D662" t="s">
        <v>68</v>
      </c>
      <c r="E662" t="s">
        <v>71</v>
      </c>
      <c r="F662">
        <v>14</v>
      </c>
      <c r="G662" t="str">
        <f t="shared" si="23"/>
        <v>CoStep3StepLengthT14</v>
      </c>
      <c r="J662" s="26" t="s">
        <v>73</v>
      </c>
      <c r="K662">
        <v>80</v>
      </c>
      <c r="L662" t="str">
        <f t="shared" si="24"/>
        <v>E80</v>
      </c>
    </row>
    <row r="663" spans="1:12" x14ac:dyDescent="0.2">
      <c r="A663" s="26" t="s">
        <v>36</v>
      </c>
      <c r="B663" t="s">
        <v>69</v>
      </c>
      <c r="C663">
        <v>3</v>
      </c>
      <c r="D663" s="26" t="s">
        <v>400</v>
      </c>
      <c r="E663" t="s">
        <v>71</v>
      </c>
      <c r="F663">
        <v>14</v>
      </c>
      <c r="G663" t="str">
        <f t="shared" si="23"/>
        <v>CoStep3StepTimeT14</v>
      </c>
      <c r="J663" s="26" t="s">
        <v>74</v>
      </c>
      <c r="K663">
        <v>80</v>
      </c>
      <c r="L663" t="str">
        <f t="shared" si="24"/>
        <v>J80</v>
      </c>
    </row>
    <row r="664" spans="1:12" x14ac:dyDescent="0.2">
      <c r="A664" s="26" t="s">
        <v>36</v>
      </c>
      <c r="B664" t="s">
        <v>69</v>
      </c>
      <c r="C664">
        <v>3</v>
      </c>
      <c r="D664" s="26" t="s">
        <v>401</v>
      </c>
      <c r="E664" t="s">
        <v>71</v>
      </c>
      <c r="F664">
        <v>14</v>
      </c>
      <c r="G664" t="str">
        <f t="shared" si="23"/>
        <v>CoStep3DoubleSupportTimeT14</v>
      </c>
      <c r="J664" s="26" t="s">
        <v>75</v>
      </c>
      <c r="K664">
        <v>80</v>
      </c>
      <c r="L664" t="str">
        <f t="shared" si="24"/>
        <v>O80</v>
      </c>
    </row>
    <row r="665" spans="1:12" x14ac:dyDescent="0.2">
      <c r="A665" s="26" t="s">
        <v>36</v>
      </c>
      <c r="B665" t="s">
        <v>69</v>
      </c>
      <c r="C665">
        <v>3</v>
      </c>
      <c r="D665" s="26" t="s">
        <v>402</v>
      </c>
      <c r="E665" t="s">
        <v>71</v>
      </c>
      <c r="F665">
        <v>14</v>
      </c>
      <c r="G665" t="str">
        <f t="shared" si="23"/>
        <v>CoStep3StanceTimeT14</v>
      </c>
      <c r="J665" s="26" t="s">
        <v>71</v>
      </c>
      <c r="K665">
        <v>80</v>
      </c>
      <c r="L665" t="str">
        <f t="shared" si="24"/>
        <v>T80</v>
      </c>
    </row>
    <row r="666" spans="1:12" x14ac:dyDescent="0.2">
      <c r="A666" s="26" t="s">
        <v>36</v>
      </c>
      <c r="B666" t="s">
        <v>69</v>
      </c>
      <c r="C666">
        <v>4</v>
      </c>
      <c r="D666" s="26" t="s">
        <v>384</v>
      </c>
      <c r="E666" t="s">
        <v>71</v>
      </c>
      <c r="F666">
        <v>14</v>
      </c>
      <c r="G666" t="str">
        <f t="shared" si="23"/>
        <v>CoStep4ColorT14</v>
      </c>
      <c r="J666" s="26" t="s">
        <v>72</v>
      </c>
      <c r="K666">
        <v>105</v>
      </c>
      <c r="L666" t="str">
        <f t="shared" si="24"/>
        <v>B105</v>
      </c>
    </row>
    <row r="667" spans="1:12" x14ac:dyDescent="0.2">
      <c r="A667" s="26" t="s">
        <v>36</v>
      </c>
      <c r="B667" t="s">
        <v>69</v>
      </c>
      <c r="C667">
        <v>4</v>
      </c>
      <c r="D667" t="s">
        <v>68</v>
      </c>
      <c r="E667" t="s">
        <v>71</v>
      </c>
      <c r="F667">
        <v>14</v>
      </c>
      <c r="G667" t="str">
        <f t="shared" si="23"/>
        <v>CoStep4StepLengthT14</v>
      </c>
      <c r="J667" s="26" t="s">
        <v>73</v>
      </c>
      <c r="K667">
        <v>105</v>
      </c>
      <c r="L667" t="str">
        <f t="shared" si="24"/>
        <v>E105</v>
      </c>
    </row>
    <row r="668" spans="1:12" x14ac:dyDescent="0.2">
      <c r="A668" s="26" t="s">
        <v>36</v>
      </c>
      <c r="B668" t="s">
        <v>69</v>
      </c>
      <c r="C668">
        <v>4</v>
      </c>
      <c r="D668" s="26" t="s">
        <v>400</v>
      </c>
      <c r="E668" t="s">
        <v>71</v>
      </c>
      <c r="F668">
        <v>14</v>
      </c>
      <c r="G668" t="str">
        <f t="shared" si="23"/>
        <v>CoStep4StepTimeT14</v>
      </c>
      <c r="J668" s="26" t="s">
        <v>74</v>
      </c>
      <c r="K668">
        <v>105</v>
      </c>
      <c r="L668" t="str">
        <f t="shared" si="24"/>
        <v>J105</v>
      </c>
    </row>
    <row r="669" spans="1:12" x14ac:dyDescent="0.2">
      <c r="A669" s="26" t="s">
        <v>36</v>
      </c>
      <c r="B669" t="s">
        <v>69</v>
      </c>
      <c r="C669">
        <v>4</v>
      </c>
      <c r="D669" s="26" t="s">
        <v>401</v>
      </c>
      <c r="E669" t="s">
        <v>71</v>
      </c>
      <c r="F669">
        <v>14</v>
      </c>
      <c r="G669" t="str">
        <f t="shared" si="23"/>
        <v>CoStep4DoubleSupportTimeT14</v>
      </c>
      <c r="J669" s="26" t="s">
        <v>75</v>
      </c>
      <c r="K669">
        <v>105</v>
      </c>
      <c r="L669" t="str">
        <f t="shared" si="24"/>
        <v>O105</v>
      </c>
    </row>
    <row r="670" spans="1:12" x14ac:dyDescent="0.2">
      <c r="A670" s="26" t="s">
        <v>36</v>
      </c>
      <c r="B670" t="s">
        <v>69</v>
      </c>
      <c r="C670">
        <v>4</v>
      </c>
      <c r="D670" s="26" t="s">
        <v>402</v>
      </c>
      <c r="E670" t="s">
        <v>71</v>
      </c>
      <c r="F670">
        <v>14</v>
      </c>
      <c r="G670" t="str">
        <f t="shared" si="23"/>
        <v>CoStep4StanceTimeT14</v>
      </c>
      <c r="J670" s="26" t="s">
        <v>71</v>
      </c>
      <c r="K670">
        <v>105</v>
      </c>
      <c r="L670" t="str">
        <f t="shared" si="24"/>
        <v>T105</v>
      </c>
    </row>
    <row r="671" spans="1:12" x14ac:dyDescent="0.2">
      <c r="A671" s="26" t="s">
        <v>36</v>
      </c>
      <c r="B671" t="s">
        <v>69</v>
      </c>
      <c r="C671">
        <v>5</v>
      </c>
      <c r="D671" s="26" t="s">
        <v>384</v>
      </c>
      <c r="E671" t="s">
        <v>71</v>
      </c>
      <c r="F671">
        <v>14</v>
      </c>
      <c r="G671" t="str">
        <f t="shared" si="23"/>
        <v>CoStep5ColorT14</v>
      </c>
      <c r="J671" s="26" t="s">
        <v>72</v>
      </c>
      <c r="K671">
        <v>130</v>
      </c>
      <c r="L671" t="str">
        <f t="shared" si="24"/>
        <v>B130</v>
      </c>
    </row>
    <row r="672" spans="1:12" x14ac:dyDescent="0.2">
      <c r="A672" s="26" t="s">
        <v>36</v>
      </c>
      <c r="B672" t="s">
        <v>69</v>
      </c>
      <c r="C672">
        <v>5</v>
      </c>
      <c r="D672" t="s">
        <v>68</v>
      </c>
      <c r="E672" t="s">
        <v>71</v>
      </c>
      <c r="F672">
        <v>14</v>
      </c>
      <c r="G672" t="str">
        <f t="shared" si="23"/>
        <v>CoStep5StepLengthT14</v>
      </c>
      <c r="J672" s="26" t="s">
        <v>73</v>
      </c>
      <c r="K672">
        <v>130</v>
      </c>
      <c r="L672" t="str">
        <f t="shared" si="24"/>
        <v>E130</v>
      </c>
    </row>
    <row r="673" spans="1:12" x14ac:dyDescent="0.2">
      <c r="A673" s="26" t="s">
        <v>36</v>
      </c>
      <c r="B673" t="s">
        <v>69</v>
      </c>
      <c r="C673">
        <v>5</v>
      </c>
      <c r="D673" s="26" t="s">
        <v>400</v>
      </c>
      <c r="E673" t="s">
        <v>71</v>
      </c>
      <c r="F673">
        <v>14</v>
      </c>
      <c r="G673" t="str">
        <f t="shared" si="23"/>
        <v>CoStep5StepTimeT14</v>
      </c>
      <c r="J673" s="26" t="s">
        <v>74</v>
      </c>
      <c r="K673">
        <v>130</v>
      </c>
      <c r="L673" t="str">
        <f t="shared" si="24"/>
        <v>J130</v>
      </c>
    </row>
    <row r="674" spans="1:12" x14ac:dyDescent="0.2">
      <c r="A674" s="26" t="s">
        <v>36</v>
      </c>
      <c r="B674" t="s">
        <v>69</v>
      </c>
      <c r="C674">
        <v>5</v>
      </c>
      <c r="D674" s="26" t="s">
        <v>401</v>
      </c>
      <c r="E674" t="s">
        <v>71</v>
      </c>
      <c r="F674">
        <v>14</v>
      </c>
      <c r="G674" t="str">
        <f t="shared" si="23"/>
        <v>CoStep5DoubleSupportTimeT14</v>
      </c>
      <c r="J674" s="26" t="s">
        <v>75</v>
      </c>
      <c r="K674">
        <v>130</v>
      </c>
      <c r="L674" t="str">
        <f t="shared" si="24"/>
        <v>O130</v>
      </c>
    </row>
    <row r="675" spans="1:12" x14ac:dyDescent="0.2">
      <c r="A675" s="26" t="s">
        <v>36</v>
      </c>
      <c r="B675" t="s">
        <v>69</v>
      </c>
      <c r="C675">
        <v>5</v>
      </c>
      <c r="D675" s="26" t="s">
        <v>402</v>
      </c>
      <c r="E675" t="s">
        <v>71</v>
      </c>
      <c r="F675">
        <v>14</v>
      </c>
      <c r="G675" t="str">
        <f t="shared" si="23"/>
        <v>CoStep5StanceTimeT14</v>
      </c>
      <c r="J675" s="26" t="s">
        <v>71</v>
      </c>
      <c r="K675">
        <v>130</v>
      </c>
      <c r="L675" t="str">
        <f t="shared" si="24"/>
        <v>T130</v>
      </c>
    </row>
    <row r="676" spans="1:12" x14ac:dyDescent="0.2">
      <c r="A676" s="26" t="s">
        <v>36</v>
      </c>
      <c r="B676" t="s">
        <v>69</v>
      </c>
      <c r="C676">
        <v>6</v>
      </c>
      <c r="D676" s="26" t="s">
        <v>384</v>
      </c>
      <c r="E676" t="s">
        <v>71</v>
      </c>
      <c r="F676">
        <v>14</v>
      </c>
      <c r="G676" t="str">
        <f t="shared" si="23"/>
        <v>CoStep6ColorT14</v>
      </c>
      <c r="J676" s="26" t="s">
        <v>72</v>
      </c>
      <c r="K676">
        <v>155</v>
      </c>
      <c r="L676" t="str">
        <f t="shared" si="24"/>
        <v>B155</v>
      </c>
    </row>
    <row r="677" spans="1:12" x14ac:dyDescent="0.2">
      <c r="A677" s="26" t="s">
        <v>36</v>
      </c>
      <c r="B677" t="s">
        <v>69</v>
      </c>
      <c r="C677">
        <v>6</v>
      </c>
      <c r="D677" t="s">
        <v>68</v>
      </c>
      <c r="E677" t="s">
        <v>71</v>
      </c>
      <c r="F677">
        <v>14</v>
      </c>
      <c r="G677" t="str">
        <f t="shared" si="23"/>
        <v>CoStep6StepLengthT14</v>
      </c>
      <c r="J677" s="26" t="s">
        <v>73</v>
      </c>
      <c r="K677">
        <v>155</v>
      </c>
      <c r="L677" t="str">
        <f t="shared" si="24"/>
        <v>E155</v>
      </c>
    </row>
    <row r="678" spans="1:12" x14ac:dyDescent="0.2">
      <c r="A678" s="26" t="s">
        <v>36</v>
      </c>
      <c r="B678" t="s">
        <v>69</v>
      </c>
      <c r="C678">
        <v>6</v>
      </c>
      <c r="D678" s="26" t="s">
        <v>400</v>
      </c>
      <c r="E678" t="s">
        <v>71</v>
      </c>
      <c r="F678">
        <v>14</v>
      </c>
      <c r="G678" t="str">
        <f t="shared" si="23"/>
        <v>CoStep6StepTimeT14</v>
      </c>
      <c r="J678" s="26" t="s">
        <v>74</v>
      </c>
      <c r="K678">
        <v>155</v>
      </c>
      <c r="L678" t="str">
        <f t="shared" si="24"/>
        <v>J155</v>
      </c>
    </row>
    <row r="679" spans="1:12" x14ac:dyDescent="0.2">
      <c r="A679" s="26" t="s">
        <v>36</v>
      </c>
      <c r="B679" t="s">
        <v>69</v>
      </c>
      <c r="C679">
        <v>6</v>
      </c>
      <c r="D679" s="26" t="s">
        <v>401</v>
      </c>
      <c r="E679" t="s">
        <v>71</v>
      </c>
      <c r="F679">
        <v>14</v>
      </c>
      <c r="G679" t="str">
        <f t="shared" si="23"/>
        <v>CoStep6DoubleSupportTimeT14</v>
      </c>
      <c r="J679" s="26" t="s">
        <v>75</v>
      </c>
      <c r="K679">
        <v>155</v>
      </c>
      <c r="L679" t="str">
        <f t="shared" si="24"/>
        <v>O155</v>
      </c>
    </row>
    <row r="680" spans="1:12" x14ac:dyDescent="0.2">
      <c r="A680" s="26" t="s">
        <v>36</v>
      </c>
      <c r="B680" t="s">
        <v>69</v>
      </c>
      <c r="C680">
        <v>6</v>
      </c>
      <c r="D680" s="26" t="s">
        <v>402</v>
      </c>
      <c r="E680" t="s">
        <v>71</v>
      </c>
      <c r="F680">
        <v>14</v>
      </c>
      <c r="G680" t="str">
        <f t="shared" si="23"/>
        <v>CoStep6StanceTimeT14</v>
      </c>
      <c r="J680" s="26" t="s">
        <v>71</v>
      </c>
      <c r="K680">
        <v>155</v>
      </c>
      <c r="L680" t="str">
        <f t="shared" si="24"/>
        <v>T155</v>
      </c>
    </row>
    <row r="681" spans="1:12" x14ac:dyDescent="0.2">
      <c r="A681" s="26" t="s">
        <v>36</v>
      </c>
      <c r="B681" t="s">
        <v>69</v>
      </c>
      <c r="C681">
        <v>7</v>
      </c>
      <c r="D681" s="26" t="s">
        <v>384</v>
      </c>
      <c r="E681" t="s">
        <v>71</v>
      </c>
      <c r="F681">
        <v>14</v>
      </c>
      <c r="G681" t="str">
        <f t="shared" si="23"/>
        <v>CoStep7ColorT14</v>
      </c>
      <c r="J681" s="26" t="s">
        <v>72</v>
      </c>
      <c r="K681">
        <v>188</v>
      </c>
      <c r="L681" t="str">
        <f t="shared" si="24"/>
        <v>B188</v>
      </c>
    </row>
    <row r="682" spans="1:12" x14ac:dyDescent="0.2">
      <c r="A682" s="26" t="s">
        <v>36</v>
      </c>
      <c r="B682" t="s">
        <v>69</v>
      </c>
      <c r="C682">
        <v>7</v>
      </c>
      <c r="D682" t="s">
        <v>68</v>
      </c>
      <c r="E682" t="s">
        <v>71</v>
      </c>
      <c r="F682">
        <v>14</v>
      </c>
      <c r="G682" t="str">
        <f t="shared" si="23"/>
        <v>CoStep7StepLengthT14</v>
      </c>
      <c r="J682" s="26" t="s">
        <v>73</v>
      </c>
      <c r="K682">
        <v>188</v>
      </c>
      <c r="L682" t="str">
        <f t="shared" si="24"/>
        <v>E188</v>
      </c>
    </row>
    <row r="683" spans="1:12" x14ac:dyDescent="0.2">
      <c r="A683" s="26" t="s">
        <v>36</v>
      </c>
      <c r="B683" t="s">
        <v>69</v>
      </c>
      <c r="C683">
        <v>7</v>
      </c>
      <c r="D683" s="26" t="s">
        <v>400</v>
      </c>
      <c r="E683" t="s">
        <v>71</v>
      </c>
      <c r="F683">
        <v>14</v>
      </c>
      <c r="G683" t="str">
        <f t="shared" si="23"/>
        <v>CoStep7StepTimeT14</v>
      </c>
      <c r="J683" s="26" t="s">
        <v>74</v>
      </c>
      <c r="K683">
        <v>188</v>
      </c>
      <c r="L683" t="str">
        <f t="shared" si="24"/>
        <v>J188</v>
      </c>
    </row>
    <row r="684" spans="1:12" x14ac:dyDescent="0.2">
      <c r="A684" s="26" t="s">
        <v>36</v>
      </c>
      <c r="B684" t="s">
        <v>69</v>
      </c>
      <c r="C684">
        <v>7</v>
      </c>
      <c r="D684" s="26" t="s">
        <v>401</v>
      </c>
      <c r="E684" t="s">
        <v>71</v>
      </c>
      <c r="F684">
        <v>14</v>
      </c>
      <c r="G684" t="str">
        <f t="shared" si="23"/>
        <v>CoStep7DoubleSupportTimeT14</v>
      </c>
      <c r="J684" s="26" t="s">
        <v>75</v>
      </c>
      <c r="K684">
        <v>188</v>
      </c>
      <c r="L684" t="str">
        <f t="shared" si="24"/>
        <v>O188</v>
      </c>
    </row>
    <row r="685" spans="1:12" x14ac:dyDescent="0.2">
      <c r="A685" s="26" t="s">
        <v>36</v>
      </c>
      <c r="B685" t="s">
        <v>69</v>
      </c>
      <c r="C685">
        <v>7</v>
      </c>
      <c r="D685" s="26" t="s">
        <v>402</v>
      </c>
      <c r="E685" t="s">
        <v>71</v>
      </c>
      <c r="F685">
        <v>14</v>
      </c>
      <c r="G685" t="str">
        <f t="shared" si="23"/>
        <v>CoStep7StanceTimeT14</v>
      </c>
      <c r="J685" s="26" t="s">
        <v>71</v>
      </c>
      <c r="K685">
        <v>188</v>
      </c>
      <c r="L685" t="str">
        <f t="shared" si="24"/>
        <v>T188</v>
      </c>
    </row>
    <row r="686" spans="1:12" x14ac:dyDescent="0.2">
      <c r="A686" s="26" t="s">
        <v>36</v>
      </c>
      <c r="B686" t="s">
        <v>69</v>
      </c>
      <c r="C686">
        <v>8</v>
      </c>
      <c r="D686" s="26" t="s">
        <v>384</v>
      </c>
      <c r="E686" t="s">
        <v>71</v>
      </c>
      <c r="F686">
        <v>14</v>
      </c>
      <c r="G686" t="str">
        <f t="shared" si="23"/>
        <v>CoStep8ColorT14</v>
      </c>
      <c r="J686" s="26" t="s">
        <v>72</v>
      </c>
      <c r="K686">
        <v>205</v>
      </c>
      <c r="L686" t="str">
        <f t="shared" si="24"/>
        <v>B205</v>
      </c>
    </row>
    <row r="687" spans="1:12" x14ac:dyDescent="0.2">
      <c r="A687" s="26" t="s">
        <v>36</v>
      </c>
      <c r="B687" t="s">
        <v>69</v>
      </c>
      <c r="C687">
        <v>8</v>
      </c>
      <c r="D687" t="s">
        <v>68</v>
      </c>
      <c r="E687" t="s">
        <v>71</v>
      </c>
      <c r="F687">
        <v>14</v>
      </c>
      <c r="G687" t="str">
        <f t="shared" si="23"/>
        <v>CoStep8StepLengthT14</v>
      </c>
      <c r="J687" s="26" t="s">
        <v>73</v>
      </c>
      <c r="K687">
        <v>205</v>
      </c>
      <c r="L687" t="str">
        <f t="shared" si="24"/>
        <v>E205</v>
      </c>
    </row>
    <row r="688" spans="1:12" x14ac:dyDescent="0.2">
      <c r="A688" s="26" t="s">
        <v>36</v>
      </c>
      <c r="B688" t="s">
        <v>69</v>
      </c>
      <c r="C688">
        <v>8</v>
      </c>
      <c r="D688" s="26" t="s">
        <v>400</v>
      </c>
      <c r="E688" t="s">
        <v>71</v>
      </c>
      <c r="F688">
        <v>14</v>
      </c>
      <c r="G688" t="str">
        <f t="shared" si="23"/>
        <v>CoStep8StepTimeT14</v>
      </c>
      <c r="J688" s="26" t="s">
        <v>74</v>
      </c>
      <c r="K688">
        <v>205</v>
      </c>
      <c r="L688" t="str">
        <f t="shared" si="24"/>
        <v>J205</v>
      </c>
    </row>
    <row r="689" spans="1:12" x14ac:dyDescent="0.2">
      <c r="A689" s="26" t="s">
        <v>36</v>
      </c>
      <c r="B689" t="s">
        <v>69</v>
      </c>
      <c r="C689">
        <v>8</v>
      </c>
      <c r="D689" s="26" t="s">
        <v>401</v>
      </c>
      <c r="E689" t="s">
        <v>71</v>
      </c>
      <c r="F689">
        <v>14</v>
      </c>
      <c r="G689" t="str">
        <f t="shared" si="23"/>
        <v>CoStep8DoubleSupportTimeT14</v>
      </c>
      <c r="J689" s="26" t="s">
        <v>75</v>
      </c>
      <c r="K689">
        <v>205</v>
      </c>
      <c r="L689" t="str">
        <f t="shared" si="24"/>
        <v>O205</v>
      </c>
    </row>
    <row r="690" spans="1:12" x14ac:dyDescent="0.2">
      <c r="A690" s="26" t="s">
        <v>36</v>
      </c>
      <c r="B690" t="s">
        <v>69</v>
      </c>
      <c r="C690">
        <v>8</v>
      </c>
      <c r="D690" s="26" t="s">
        <v>402</v>
      </c>
      <c r="E690" t="s">
        <v>71</v>
      </c>
      <c r="F690">
        <v>14</v>
      </c>
      <c r="G690" t="str">
        <f t="shared" si="23"/>
        <v>CoStep8StanceTimeT14</v>
      </c>
      <c r="J690" s="26" t="s">
        <v>71</v>
      </c>
      <c r="K690">
        <v>205</v>
      </c>
      <c r="L690" t="str">
        <f t="shared" si="24"/>
        <v>T205</v>
      </c>
    </row>
    <row r="691" spans="1:12" x14ac:dyDescent="0.2">
      <c r="A691" s="26" t="s">
        <v>36</v>
      </c>
      <c r="B691" t="s">
        <v>69</v>
      </c>
      <c r="C691">
        <v>9</v>
      </c>
      <c r="D691" s="26" t="s">
        <v>384</v>
      </c>
      <c r="E691" t="s">
        <v>71</v>
      </c>
      <c r="F691">
        <v>14</v>
      </c>
      <c r="G691" t="str">
        <f t="shared" si="23"/>
        <v>CoStep9ColorT14</v>
      </c>
      <c r="J691" s="26" t="s">
        <v>72</v>
      </c>
      <c r="K691">
        <v>230</v>
      </c>
      <c r="L691" t="str">
        <f t="shared" si="24"/>
        <v>B230</v>
      </c>
    </row>
    <row r="692" spans="1:12" x14ac:dyDescent="0.2">
      <c r="A692" s="26" t="s">
        <v>36</v>
      </c>
      <c r="B692" t="s">
        <v>69</v>
      </c>
      <c r="C692">
        <v>9</v>
      </c>
      <c r="D692" t="s">
        <v>68</v>
      </c>
      <c r="E692" t="s">
        <v>71</v>
      </c>
      <c r="F692">
        <v>14</v>
      </c>
      <c r="G692" t="str">
        <f t="shared" si="23"/>
        <v>CoStep9StepLengthT14</v>
      </c>
      <c r="J692" s="26" t="s">
        <v>73</v>
      </c>
      <c r="K692">
        <v>230</v>
      </c>
      <c r="L692" t="str">
        <f t="shared" si="24"/>
        <v>E230</v>
      </c>
    </row>
    <row r="693" spans="1:12" x14ac:dyDescent="0.2">
      <c r="A693" s="26" t="s">
        <v>36</v>
      </c>
      <c r="B693" t="s">
        <v>69</v>
      </c>
      <c r="C693">
        <v>9</v>
      </c>
      <c r="D693" s="26" t="s">
        <v>400</v>
      </c>
      <c r="E693" t="s">
        <v>71</v>
      </c>
      <c r="F693">
        <v>14</v>
      </c>
      <c r="G693" t="str">
        <f t="shared" si="23"/>
        <v>CoStep9StepTimeT14</v>
      </c>
      <c r="J693" s="26" t="s">
        <v>74</v>
      </c>
      <c r="K693">
        <v>230</v>
      </c>
      <c r="L693" t="str">
        <f t="shared" si="24"/>
        <v>J230</v>
      </c>
    </row>
    <row r="694" spans="1:12" x14ac:dyDescent="0.2">
      <c r="A694" s="26" t="s">
        <v>36</v>
      </c>
      <c r="B694" t="s">
        <v>69</v>
      </c>
      <c r="C694">
        <v>9</v>
      </c>
      <c r="D694" s="26" t="s">
        <v>401</v>
      </c>
      <c r="E694" t="s">
        <v>71</v>
      </c>
      <c r="F694">
        <v>14</v>
      </c>
      <c r="G694" t="str">
        <f t="shared" si="23"/>
        <v>CoStep9DoubleSupportTimeT14</v>
      </c>
      <c r="J694" s="26" t="s">
        <v>75</v>
      </c>
      <c r="K694">
        <v>230</v>
      </c>
      <c r="L694" t="str">
        <f t="shared" si="24"/>
        <v>O230</v>
      </c>
    </row>
    <row r="695" spans="1:12" x14ac:dyDescent="0.2">
      <c r="A695" s="26" t="s">
        <v>36</v>
      </c>
      <c r="B695" t="s">
        <v>69</v>
      </c>
      <c r="C695">
        <v>9</v>
      </c>
      <c r="D695" s="26" t="s">
        <v>402</v>
      </c>
      <c r="E695" t="s">
        <v>71</v>
      </c>
      <c r="F695">
        <v>14</v>
      </c>
      <c r="G695" t="str">
        <f t="shared" si="23"/>
        <v>CoStep9StanceTimeT14</v>
      </c>
      <c r="J695" s="26" t="s">
        <v>71</v>
      </c>
      <c r="K695">
        <v>230</v>
      </c>
      <c r="L695" t="str">
        <f t="shared" si="24"/>
        <v>T230</v>
      </c>
    </row>
    <row r="696" spans="1:12" x14ac:dyDescent="0.2">
      <c r="A696" s="26" t="s">
        <v>36</v>
      </c>
      <c r="B696" t="s">
        <v>69</v>
      </c>
      <c r="C696">
        <v>10</v>
      </c>
      <c r="D696" s="26" t="s">
        <v>384</v>
      </c>
      <c r="E696" t="s">
        <v>71</v>
      </c>
      <c r="F696">
        <v>14</v>
      </c>
      <c r="G696" t="str">
        <f t="shared" si="23"/>
        <v>CoStep10ColorT14</v>
      </c>
      <c r="J696" s="26" t="s">
        <v>72</v>
      </c>
      <c r="K696">
        <v>255</v>
      </c>
      <c r="L696" t="str">
        <f t="shared" si="24"/>
        <v>B255</v>
      </c>
    </row>
    <row r="697" spans="1:12" x14ac:dyDescent="0.2">
      <c r="A697" s="26" t="s">
        <v>36</v>
      </c>
      <c r="B697" t="s">
        <v>69</v>
      </c>
      <c r="C697">
        <v>10</v>
      </c>
      <c r="D697" t="s">
        <v>68</v>
      </c>
      <c r="E697" t="s">
        <v>71</v>
      </c>
      <c r="F697">
        <v>14</v>
      </c>
      <c r="G697" t="str">
        <f t="shared" si="23"/>
        <v>CoStep10StepLengthT14</v>
      </c>
      <c r="J697" s="26" t="s">
        <v>73</v>
      </c>
      <c r="K697">
        <v>255</v>
      </c>
      <c r="L697" t="str">
        <f t="shared" si="24"/>
        <v>E255</v>
      </c>
    </row>
    <row r="698" spans="1:12" x14ac:dyDescent="0.2">
      <c r="A698" s="26" t="s">
        <v>36</v>
      </c>
      <c r="B698" t="s">
        <v>69</v>
      </c>
      <c r="C698">
        <v>10</v>
      </c>
      <c r="D698" s="26" t="s">
        <v>400</v>
      </c>
      <c r="E698" t="s">
        <v>71</v>
      </c>
      <c r="F698">
        <v>14</v>
      </c>
      <c r="G698" t="str">
        <f t="shared" si="23"/>
        <v>CoStep10StepTimeT14</v>
      </c>
      <c r="J698" s="26" t="s">
        <v>74</v>
      </c>
      <c r="K698">
        <v>255</v>
      </c>
      <c r="L698" t="str">
        <f t="shared" si="24"/>
        <v>J255</v>
      </c>
    </row>
    <row r="699" spans="1:12" x14ac:dyDescent="0.2">
      <c r="A699" s="26" t="s">
        <v>36</v>
      </c>
      <c r="B699" t="s">
        <v>69</v>
      </c>
      <c r="C699">
        <v>10</v>
      </c>
      <c r="D699" s="26" t="s">
        <v>401</v>
      </c>
      <c r="E699" t="s">
        <v>71</v>
      </c>
      <c r="F699">
        <v>14</v>
      </c>
      <c r="G699" t="str">
        <f t="shared" si="23"/>
        <v>CoStep10DoubleSupportTimeT14</v>
      </c>
      <c r="J699" s="26" t="s">
        <v>75</v>
      </c>
      <c r="K699">
        <v>255</v>
      </c>
      <c r="L699" t="str">
        <f t="shared" si="24"/>
        <v>O255</v>
      </c>
    </row>
    <row r="700" spans="1:12" x14ac:dyDescent="0.2">
      <c r="A700" s="26" t="s">
        <v>36</v>
      </c>
      <c r="B700" t="s">
        <v>69</v>
      </c>
      <c r="C700">
        <v>10</v>
      </c>
      <c r="D700" s="26" t="s">
        <v>402</v>
      </c>
      <c r="E700" t="s">
        <v>71</v>
      </c>
      <c r="F700">
        <v>14</v>
      </c>
      <c r="G700" t="str">
        <f t="shared" si="23"/>
        <v>CoStep10StanceTimeT14</v>
      </c>
      <c r="J700" s="26" t="s">
        <v>71</v>
      </c>
      <c r="K700">
        <v>255</v>
      </c>
      <c r="L700" t="str">
        <f t="shared" si="24"/>
        <v>T255</v>
      </c>
    </row>
    <row r="701" spans="1:12" x14ac:dyDescent="0.2">
      <c r="A701" s="26" t="s">
        <v>36</v>
      </c>
      <c r="B701" t="s">
        <v>69</v>
      </c>
      <c r="C701">
        <v>1</v>
      </c>
      <c r="D701" s="26" t="s">
        <v>384</v>
      </c>
      <c r="E701" t="s">
        <v>71</v>
      </c>
      <c r="F701">
        <v>15</v>
      </c>
      <c r="G701" t="str">
        <f t="shared" si="23"/>
        <v>CoStep1ColorT15</v>
      </c>
      <c r="J701" s="26" t="s">
        <v>72</v>
      </c>
      <c r="K701">
        <v>30</v>
      </c>
      <c r="L701" t="str">
        <f>J701&amp;K701</f>
        <v>B30</v>
      </c>
    </row>
    <row r="702" spans="1:12" x14ac:dyDescent="0.2">
      <c r="A702" s="26" t="s">
        <v>36</v>
      </c>
      <c r="B702" t="s">
        <v>69</v>
      </c>
      <c r="C702">
        <v>1</v>
      </c>
      <c r="D702" t="s">
        <v>68</v>
      </c>
      <c r="E702" t="s">
        <v>71</v>
      </c>
      <c r="F702">
        <v>15</v>
      </c>
      <c r="G702" t="str">
        <f t="shared" si="23"/>
        <v>CoStep1StepLengthT15</v>
      </c>
      <c r="J702" s="26" t="s">
        <v>73</v>
      </c>
      <c r="K702">
        <v>30</v>
      </c>
      <c r="L702" t="str">
        <f t="shared" ref="L702:L750" si="25">J702&amp;K702</f>
        <v>E30</v>
      </c>
    </row>
    <row r="703" spans="1:12" x14ac:dyDescent="0.2">
      <c r="A703" s="26" t="s">
        <v>36</v>
      </c>
      <c r="B703" t="s">
        <v>69</v>
      </c>
      <c r="C703">
        <v>1</v>
      </c>
      <c r="D703" s="26" t="s">
        <v>400</v>
      </c>
      <c r="E703" t="s">
        <v>71</v>
      </c>
      <c r="F703">
        <v>15</v>
      </c>
      <c r="G703" t="str">
        <f t="shared" si="23"/>
        <v>CoStep1StepTimeT15</v>
      </c>
      <c r="J703" s="26" t="s">
        <v>74</v>
      </c>
      <c r="K703">
        <v>30</v>
      </c>
      <c r="L703" t="str">
        <f t="shared" si="25"/>
        <v>J30</v>
      </c>
    </row>
    <row r="704" spans="1:12" x14ac:dyDescent="0.2">
      <c r="A704" s="26" t="s">
        <v>36</v>
      </c>
      <c r="B704" t="s">
        <v>69</v>
      </c>
      <c r="C704">
        <v>1</v>
      </c>
      <c r="D704" s="26" t="s">
        <v>401</v>
      </c>
      <c r="E704" t="s">
        <v>71</v>
      </c>
      <c r="F704">
        <v>15</v>
      </c>
      <c r="G704" t="str">
        <f t="shared" si="23"/>
        <v>CoStep1DoubleSupportTimeT15</v>
      </c>
      <c r="J704" s="26" t="s">
        <v>75</v>
      </c>
      <c r="K704">
        <v>30</v>
      </c>
      <c r="L704" t="str">
        <f t="shared" si="25"/>
        <v>O30</v>
      </c>
    </row>
    <row r="705" spans="1:12" x14ac:dyDescent="0.2">
      <c r="A705" s="26" t="s">
        <v>36</v>
      </c>
      <c r="B705" t="s">
        <v>69</v>
      </c>
      <c r="C705">
        <v>1</v>
      </c>
      <c r="D705" s="26" t="s">
        <v>402</v>
      </c>
      <c r="E705" t="s">
        <v>71</v>
      </c>
      <c r="F705">
        <v>15</v>
      </c>
      <c r="G705" t="str">
        <f t="shared" si="23"/>
        <v>CoStep1StanceTimeT15</v>
      </c>
      <c r="J705" s="26" t="s">
        <v>71</v>
      </c>
      <c r="K705">
        <v>30</v>
      </c>
      <c r="L705" t="str">
        <f t="shared" si="25"/>
        <v>T30</v>
      </c>
    </row>
    <row r="706" spans="1:12" x14ac:dyDescent="0.2">
      <c r="A706" s="26" t="s">
        <v>36</v>
      </c>
      <c r="B706" t="s">
        <v>69</v>
      </c>
      <c r="C706">
        <v>2</v>
      </c>
      <c r="D706" s="26" t="s">
        <v>384</v>
      </c>
      <c r="E706" t="s">
        <v>71</v>
      </c>
      <c r="F706">
        <v>15</v>
      </c>
      <c r="G706" t="str">
        <f t="shared" si="23"/>
        <v>CoStep2ColorT15</v>
      </c>
      <c r="J706" s="26" t="s">
        <v>72</v>
      </c>
      <c r="K706">
        <v>55</v>
      </c>
      <c r="L706" t="str">
        <f t="shared" si="25"/>
        <v>B55</v>
      </c>
    </row>
    <row r="707" spans="1:12" x14ac:dyDescent="0.2">
      <c r="A707" s="26" t="s">
        <v>36</v>
      </c>
      <c r="B707" t="s">
        <v>69</v>
      </c>
      <c r="C707">
        <v>2</v>
      </c>
      <c r="D707" t="s">
        <v>68</v>
      </c>
      <c r="E707" t="s">
        <v>71</v>
      </c>
      <c r="F707">
        <v>15</v>
      </c>
      <c r="G707" t="str">
        <f t="shared" si="23"/>
        <v>CoStep2StepLengthT15</v>
      </c>
      <c r="J707" s="26" t="s">
        <v>73</v>
      </c>
      <c r="K707">
        <v>55</v>
      </c>
      <c r="L707" t="str">
        <f t="shared" si="25"/>
        <v>E55</v>
      </c>
    </row>
    <row r="708" spans="1:12" x14ac:dyDescent="0.2">
      <c r="A708" s="26" t="s">
        <v>36</v>
      </c>
      <c r="B708" t="s">
        <v>69</v>
      </c>
      <c r="C708">
        <v>2</v>
      </c>
      <c r="D708" s="26" t="s">
        <v>400</v>
      </c>
      <c r="E708" t="s">
        <v>71</v>
      </c>
      <c r="F708">
        <v>15</v>
      </c>
      <c r="G708" t="str">
        <f t="shared" si="23"/>
        <v>CoStep2StepTimeT15</v>
      </c>
      <c r="J708" s="26" t="s">
        <v>74</v>
      </c>
      <c r="K708">
        <v>55</v>
      </c>
      <c r="L708" t="str">
        <f t="shared" si="25"/>
        <v>J55</v>
      </c>
    </row>
    <row r="709" spans="1:12" x14ac:dyDescent="0.2">
      <c r="A709" s="26" t="s">
        <v>36</v>
      </c>
      <c r="B709" t="s">
        <v>69</v>
      </c>
      <c r="C709">
        <v>2</v>
      </c>
      <c r="D709" s="26" t="s">
        <v>401</v>
      </c>
      <c r="E709" t="s">
        <v>71</v>
      </c>
      <c r="F709">
        <v>15</v>
      </c>
      <c r="G709" t="str">
        <f t="shared" si="23"/>
        <v>CoStep2DoubleSupportTimeT15</v>
      </c>
      <c r="J709" s="26" t="s">
        <v>75</v>
      </c>
      <c r="K709">
        <v>55</v>
      </c>
      <c r="L709" t="str">
        <f t="shared" si="25"/>
        <v>O55</v>
      </c>
    </row>
    <row r="710" spans="1:12" x14ac:dyDescent="0.2">
      <c r="A710" s="26" t="s">
        <v>36</v>
      </c>
      <c r="B710" t="s">
        <v>69</v>
      </c>
      <c r="C710">
        <v>2</v>
      </c>
      <c r="D710" s="26" t="s">
        <v>402</v>
      </c>
      <c r="E710" t="s">
        <v>71</v>
      </c>
      <c r="F710">
        <v>15</v>
      </c>
      <c r="G710" t="str">
        <f t="shared" ref="G710:G773" si="26">A710&amp;B710&amp;C710&amp;D710&amp;E710&amp;F710</f>
        <v>CoStep2StanceTimeT15</v>
      </c>
      <c r="J710" s="26" t="s">
        <v>71</v>
      </c>
      <c r="K710">
        <v>55</v>
      </c>
      <c r="L710" t="str">
        <f t="shared" si="25"/>
        <v>T55</v>
      </c>
    </row>
    <row r="711" spans="1:12" x14ac:dyDescent="0.2">
      <c r="A711" s="26" t="s">
        <v>36</v>
      </c>
      <c r="B711" t="s">
        <v>69</v>
      </c>
      <c r="C711">
        <v>3</v>
      </c>
      <c r="D711" s="26" t="s">
        <v>384</v>
      </c>
      <c r="E711" t="s">
        <v>71</v>
      </c>
      <c r="F711">
        <v>15</v>
      </c>
      <c r="G711" t="str">
        <f t="shared" si="26"/>
        <v>CoStep3ColorT15</v>
      </c>
      <c r="J711" s="26" t="s">
        <v>72</v>
      </c>
      <c r="K711">
        <v>80</v>
      </c>
      <c r="L711" t="str">
        <f t="shared" si="25"/>
        <v>B80</v>
      </c>
    </row>
    <row r="712" spans="1:12" x14ac:dyDescent="0.2">
      <c r="A712" s="26" t="s">
        <v>36</v>
      </c>
      <c r="B712" t="s">
        <v>69</v>
      </c>
      <c r="C712">
        <v>3</v>
      </c>
      <c r="D712" t="s">
        <v>68</v>
      </c>
      <c r="E712" t="s">
        <v>71</v>
      </c>
      <c r="F712">
        <v>15</v>
      </c>
      <c r="G712" t="str">
        <f t="shared" si="26"/>
        <v>CoStep3StepLengthT15</v>
      </c>
      <c r="J712" s="26" t="s">
        <v>73</v>
      </c>
      <c r="K712">
        <v>80</v>
      </c>
      <c r="L712" t="str">
        <f t="shared" si="25"/>
        <v>E80</v>
      </c>
    </row>
    <row r="713" spans="1:12" x14ac:dyDescent="0.2">
      <c r="A713" s="26" t="s">
        <v>36</v>
      </c>
      <c r="B713" t="s">
        <v>69</v>
      </c>
      <c r="C713">
        <v>3</v>
      </c>
      <c r="D713" s="26" t="s">
        <v>400</v>
      </c>
      <c r="E713" t="s">
        <v>71</v>
      </c>
      <c r="F713">
        <v>15</v>
      </c>
      <c r="G713" t="str">
        <f t="shared" si="26"/>
        <v>CoStep3StepTimeT15</v>
      </c>
      <c r="J713" s="26" t="s">
        <v>74</v>
      </c>
      <c r="K713">
        <v>80</v>
      </c>
      <c r="L713" t="str">
        <f t="shared" si="25"/>
        <v>J80</v>
      </c>
    </row>
    <row r="714" spans="1:12" x14ac:dyDescent="0.2">
      <c r="A714" s="26" t="s">
        <v>36</v>
      </c>
      <c r="B714" t="s">
        <v>69</v>
      </c>
      <c r="C714">
        <v>3</v>
      </c>
      <c r="D714" s="26" t="s">
        <v>401</v>
      </c>
      <c r="E714" t="s">
        <v>71</v>
      </c>
      <c r="F714">
        <v>15</v>
      </c>
      <c r="G714" t="str">
        <f t="shared" si="26"/>
        <v>CoStep3DoubleSupportTimeT15</v>
      </c>
      <c r="J714" s="26" t="s">
        <v>75</v>
      </c>
      <c r="K714">
        <v>80</v>
      </c>
      <c r="L714" t="str">
        <f t="shared" si="25"/>
        <v>O80</v>
      </c>
    </row>
    <row r="715" spans="1:12" x14ac:dyDescent="0.2">
      <c r="A715" s="26" t="s">
        <v>36</v>
      </c>
      <c r="B715" t="s">
        <v>69</v>
      </c>
      <c r="C715">
        <v>3</v>
      </c>
      <c r="D715" s="26" t="s">
        <v>402</v>
      </c>
      <c r="E715" t="s">
        <v>71</v>
      </c>
      <c r="F715">
        <v>15</v>
      </c>
      <c r="G715" t="str">
        <f t="shared" si="26"/>
        <v>CoStep3StanceTimeT15</v>
      </c>
      <c r="J715" s="26" t="s">
        <v>71</v>
      </c>
      <c r="K715">
        <v>80</v>
      </c>
      <c r="L715" t="str">
        <f t="shared" si="25"/>
        <v>T80</v>
      </c>
    </row>
    <row r="716" spans="1:12" x14ac:dyDescent="0.2">
      <c r="A716" s="26" t="s">
        <v>36</v>
      </c>
      <c r="B716" t="s">
        <v>69</v>
      </c>
      <c r="C716">
        <v>4</v>
      </c>
      <c r="D716" s="26" t="s">
        <v>384</v>
      </c>
      <c r="E716" t="s">
        <v>71</v>
      </c>
      <c r="F716">
        <v>15</v>
      </c>
      <c r="G716" t="str">
        <f t="shared" si="26"/>
        <v>CoStep4ColorT15</v>
      </c>
      <c r="J716" s="26" t="s">
        <v>72</v>
      </c>
      <c r="K716">
        <v>105</v>
      </c>
      <c r="L716" t="str">
        <f t="shared" si="25"/>
        <v>B105</v>
      </c>
    </row>
    <row r="717" spans="1:12" x14ac:dyDescent="0.2">
      <c r="A717" s="26" t="s">
        <v>36</v>
      </c>
      <c r="B717" t="s">
        <v>69</v>
      </c>
      <c r="C717">
        <v>4</v>
      </c>
      <c r="D717" t="s">
        <v>68</v>
      </c>
      <c r="E717" t="s">
        <v>71</v>
      </c>
      <c r="F717">
        <v>15</v>
      </c>
      <c r="G717" t="str">
        <f t="shared" si="26"/>
        <v>CoStep4StepLengthT15</v>
      </c>
      <c r="J717" s="26" t="s">
        <v>73</v>
      </c>
      <c r="K717">
        <v>105</v>
      </c>
      <c r="L717" t="str">
        <f t="shared" si="25"/>
        <v>E105</v>
      </c>
    </row>
    <row r="718" spans="1:12" x14ac:dyDescent="0.2">
      <c r="A718" s="26" t="s">
        <v>36</v>
      </c>
      <c r="B718" t="s">
        <v>69</v>
      </c>
      <c r="C718">
        <v>4</v>
      </c>
      <c r="D718" s="26" t="s">
        <v>400</v>
      </c>
      <c r="E718" t="s">
        <v>71</v>
      </c>
      <c r="F718">
        <v>15</v>
      </c>
      <c r="G718" t="str">
        <f t="shared" si="26"/>
        <v>CoStep4StepTimeT15</v>
      </c>
      <c r="J718" s="26" t="s">
        <v>74</v>
      </c>
      <c r="K718">
        <v>105</v>
      </c>
      <c r="L718" t="str">
        <f t="shared" si="25"/>
        <v>J105</v>
      </c>
    </row>
    <row r="719" spans="1:12" x14ac:dyDescent="0.2">
      <c r="A719" s="26" t="s">
        <v>36</v>
      </c>
      <c r="B719" t="s">
        <v>69</v>
      </c>
      <c r="C719">
        <v>4</v>
      </c>
      <c r="D719" s="26" t="s">
        <v>401</v>
      </c>
      <c r="E719" t="s">
        <v>71</v>
      </c>
      <c r="F719">
        <v>15</v>
      </c>
      <c r="G719" t="str">
        <f t="shared" si="26"/>
        <v>CoStep4DoubleSupportTimeT15</v>
      </c>
      <c r="J719" s="26" t="s">
        <v>75</v>
      </c>
      <c r="K719">
        <v>105</v>
      </c>
      <c r="L719" t="str">
        <f t="shared" si="25"/>
        <v>O105</v>
      </c>
    </row>
    <row r="720" spans="1:12" x14ac:dyDescent="0.2">
      <c r="A720" s="26" t="s">
        <v>36</v>
      </c>
      <c r="B720" t="s">
        <v>69</v>
      </c>
      <c r="C720">
        <v>4</v>
      </c>
      <c r="D720" s="26" t="s">
        <v>402</v>
      </c>
      <c r="E720" t="s">
        <v>71</v>
      </c>
      <c r="F720">
        <v>15</v>
      </c>
      <c r="G720" t="str">
        <f t="shared" si="26"/>
        <v>CoStep4StanceTimeT15</v>
      </c>
      <c r="J720" s="26" t="s">
        <v>71</v>
      </c>
      <c r="K720">
        <v>105</v>
      </c>
      <c r="L720" t="str">
        <f t="shared" si="25"/>
        <v>T105</v>
      </c>
    </row>
    <row r="721" spans="1:12" x14ac:dyDescent="0.2">
      <c r="A721" s="26" t="s">
        <v>36</v>
      </c>
      <c r="B721" t="s">
        <v>69</v>
      </c>
      <c r="C721">
        <v>5</v>
      </c>
      <c r="D721" s="26" t="s">
        <v>384</v>
      </c>
      <c r="E721" t="s">
        <v>71</v>
      </c>
      <c r="F721">
        <v>15</v>
      </c>
      <c r="G721" t="str">
        <f t="shared" si="26"/>
        <v>CoStep5ColorT15</v>
      </c>
      <c r="J721" s="26" t="s">
        <v>72</v>
      </c>
      <c r="K721">
        <v>130</v>
      </c>
      <c r="L721" t="str">
        <f t="shared" si="25"/>
        <v>B130</v>
      </c>
    </row>
    <row r="722" spans="1:12" x14ac:dyDescent="0.2">
      <c r="A722" s="26" t="s">
        <v>36</v>
      </c>
      <c r="B722" t="s">
        <v>69</v>
      </c>
      <c r="C722">
        <v>5</v>
      </c>
      <c r="D722" t="s">
        <v>68</v>
      </c>
      <c r="E722" t="s">
        <v>71</v>
      </c>
      <c r="F722">
        <v>15</v>
      </c>
      <c r="G722" t="str">
        <f t="shared" si="26"/>
        <v>CoStep5StepLengthT15</v>
      </c>
      <c r="J722" s="26" t="s">
        <v>73</v>
      </c>
      <c r="K722">
        <v>130</v>
      </c>
      <c r="L722" t="str">
        <f t="shared" si="25"/>
        <v>E130</v>
      </c>
    </row>
    <row r="723" spans="1:12" x14ac:dyDescent="0.2">
      <c r="A723" s="26" t="s">
        <v>36</v>
      </c>
      <c r="B723" t="s">
        <v>69</v>
      </c>
      <c r="C723">
        <v>5</v>
      </c>
      <c r="D723" s="26" t="s">
        <v>400</v>
      </c>
      <c r="E723" t="s">
        <v>71</v>
      </c>
      <c r="F723">
        <v>15</v>
      </c>
      <c r="G723" t="str">
        <f t="shared" si="26"/>
        <v>CoStep5StepTimeT15</v>
      </c>
      <c r="J723" s="26" t="s">
        <v>74</v>
      </c>
      <c r="K723">
        <v>130</v>
      </c>
      <c r="L723" t="str">
        <f t="shared" si="25"/>
        <v>J130</v>
      </c>
    </row>
    <row r="724" spans="1:12" x14ac:dyDescent="0.2">
      <c r="A724" s="26" t="s">
        <v>36</v>
      </c>
      <c r="B724" t="s">
        <v>69</v>
      </c>
      <c r="C724">
        <v>5</v>
      </c>
      <c r="D724" s="26" t="s">
        <v>401</v>
      </c>
      <c r="E724" t="s">
        <v>71</v>
      </c>
      <c r="F724">
        <v>15</v>
      </c>
      <c r="G724" t="str">
        <f t="shared" si="26"/>
        <v>CoStep5DoubleSupportTimeT15</v>
      </c>
      <c r="J724" s="26" t="s">
        <v>75</v>
      </c>
      <c r="K724">
        <v>130</v>
      </c>
      <c r="L724" t="str">
        <f t="shared" si="25"/>
        <v>O130</v>
      </c>
    </row>
    <row r="725" spans="1:12" x14ac:dyDescent="0.2">
      <c r="A725" s="26" t="s">
        <v>36</v>
      </c>
      <c r="B725" t="s">
        <v>69</v>
      </c>
      <c r="C725">
        <v>5</v>
      </c>
      <c r="D725" s="26" t="s">
        <v>402</v>
      </c>
      <c r="E725" t="s">
        <v>71</v>
      </c>
      <c r="F725">
        <v>15</v>
      </c>
      <c r="G725" t="str">
        <f t="shared" si="26"/>
        <v>CoStep5StanceTimeT15</v>
      </c>
      <c r="J725" s="26" t="s">
        <v>71</v>
      </c>
      <c r="K725">
        <v>130</v>
      </c>
      <c r="L725" t="str">
        <f t="shared" si="25"/>
        <v>T130</v>
      </c>
    </row>
    <row r="726" spans="1:12" x14ac:dyDescent="0.2">
      <c r="A726" s="26" t="s">
        <v>36</v>
      </c>
      <c r="B726" t="s">
        <v>69</v>
      </c>
      <c r="C726">
        <v>6</v>
      </c>
      <c r="D726" s="26" t="s">
        <v>384</v>
      </c>
      <c r="E726" t="s">
        <v>71</v>
      </c>
      <c r="F726">
        <v>15</v>
      </c>
      <c r="G726" t="str">
        <f t="shared" si="26"/>
        <v>CoStep6ColorT15</v>
      </c>
      <c r="J726" s="26" t="s">
        <v>72</v>
      </c>
      <c r="K726">
        <v>155</v>
      </c>
      <c r="L726" t="str">
        <f t="shared" si="25"/>
        <v>B155</v>
      </c>
    </row>
    <row r="727" spans="1:12" x14ac:dyDescent="0.2">
      <c r="A727" s="26" t="s">
        <v>36</v>
      </c>
      <c r="B727" t="s">
        <v>69</v>
      </c>
      <c r="C727">
        <v>6</v>
      </c>
      <c r="D727" t="s">
        <v>68</v>
      </c>
      <c r="E727" t="s">
        <v>71</v>
      </c>
      <c r="F727">
        <v>15</v>
      </c>
      <c r="G727" t="str">
        <f t="shared" si="26"/>
        <v>CoStep6StepLengthT15</v>
      </c>
      <c r="J727" s="26" t="s">
        <v>73</v>
      </c>
      <c r="K727">
        <v>155</v>
      </c>
      <c r="L727" t="str">
        <f t="shared" si="25"/>
        <v>E155</v>
      </c>
    </row>
    <row r="728" spans="1:12" x14ac:dyDescent="0.2">
      <c r="A728" s="26" t="s">
        <v>36</v>
      </c>
      <c r="B728" t="s">
        <v>69</v>
      </c>
      <c r="C728">
        <v>6</v>
      </c>
      <c r="D728" s="26" t="s">
        <v>400</v>
      </c>
      <c r="E728" t="s">
        <v>71</v>
      </c>
      <c r="F728">
        <v>15</v>
      </c>
      <c r="G728" t="str">
        <f t="shared" si="26"/>
        <v>CoStep6StepTimeT15</v>
      </c>
      <c r="J728" s="26" t="s">
        <v>74</v>
      </c>
      <c r="K728">
        <v>155</v>
      </c>
      <c r="L728" t="str">
        <f t="shared" si="25"/>
        <v>J155</v>
      </c>
    </row>
    <row r="729" spans="1:12" x14ac:dyDescent="0.2">
      <c r="A729" s="26" t="s">
        <v>36</v>
      </c>
      <c r="B729" t="s">
        <v>69</v>
      </c>
      <c r="C729">
        <v>6</v>
      </c>
      <c r="D729" s="26" t="s">
        <v>401</v>
      </c>
      <c r="E729" t="s">
        <v>71</v>
      </c>
      <c r="F729">
        <v>15</v>
      </c>
      <c r="G729" t="str">
        <f t="shared" si="26"/>
        <v>CoStep6DoubleSupportTimeT15</v>
      </c>
      <c r="J729" s="26" t="s">
        <v>75</v>
      </c>
      <c r="K729">
        <v>155</v>
      </c>
      <c r="L729" t="str">
        <f t="shared" si="25"/>
        <v>O155</v>
      </c>
    </row>
    <row r="730" spans="1:12" x14ac:dyDescent="0.2">
      <c r="A730" s="26" t="s">
        <v>36</v>
      </c>
      <c r="B730" t="s">
        <v>69</v>
      </c>
      <c r="C730">
        <v>6</v>
      </c>
      <c r="D730" s="26" t="s">
        <v>402</v>
      </c>
      <c r="E730" t="s">
        <v>71</v>
      </c>
      <c r="F730">
        <v>15</v>
      </c>
      <c r="G730" t="str">
        <f t="shared" si="26"/>
        <v>CoStep6StanceTimeT15</v>
      </c>
      <c r="J730" s="26" t="s">
        <v>71</v>
      </c>
      <c r="K730">
        <v>155</v>
      </c>
      <c r="L730" t="str">
        <f t="shared" si="25"/>
        <v>T155</v>
      </c>
    </row>
    <row r="731" spans="1:12" x14ac:dyDescent="0.2">
      <c r="A731" s="26" t="s">
        <v>36</v>
      </c>
      <c r="B731" t="s">
        <v>69</v>
      </c>
      <c r="C731">
        <v>7</v>
      </c>
      <c r="D731" s="26" t="s">
        <v>384</v>
      </c>
      <c r="E731" t="s">
        <v>71</v>
      </c>
      <c r="F731">
        <v>15</v>
      </c>
      <c r="G731" t="str">
        <f t="shared" si="26"/>
        <v>CoStep7ColorT15</v>
      </c>
      <c r="J731" s="26" t="s">
        <v>72</v>
      </c>
      <c r="K731">
        <v>188</v>
      </c>
      <c r="L731" t="str">
        <f t="shared" si="25"/>
        <v>B188</v>
      </c>
    </row>
    <row r="732" spans="1:12" x14ac:dyDescent="0.2">
      <c r="A732" s="26" t="s">
        <v>36</v>
      </c>
      <c r="B732" t="s">
        <v>69</v>
      </c>
      <c r="C732">
        <v>7</v>
      </c>
      <c r="D732" t="s">
        <v>68</v>
      </c>
      <c r="E732" t="s">
        <v>71</v>
      </c>
      <c r="F732">
        <v>15</v>
      </c>
      <c r="G732" t="str">
        <f t="shared" si="26"/>
        <v>CoStep7StepLengthT15</v>
      </c>
      <c r="J732" s="26" t="s">
        <v>73</v>
      </c>
      <c r="K732">
        <v>188</v>
      </c>
      <c r="L732" t="str">
        <f t="shared" si="25"/>
        <v>E188</v>
      </c>
    </row>
    <row r="733" spans="1:12" x14ac:dyDescent="0.2">
      <c r="A733" s="26" t="s">
        <v>36</v>
      </c>
      <c r="B733" t="s">
        <v>69</v>
      </c>
      <c r="C733">
        <v>7</v>
      </c>
      <c r="D733" s="26" t="s">
        <v>400</v>
      </c>
      <c r="E733" t="s">
        <v>71</v>
      </c>
      <c r="F733">
        <v>15</v>
      </c>
      <c r="G733" t="str">
        <f t="shared" si="26"/>
        <v>CoStep7StepTimeT15</v>
      </c>
      <c r="J733" s="26" t="s">
        <v>74</v>
      </c>
      <c r="K733">
        <v>188</v>
      </c>
      <c r="L733" t="str">
        <f t="shared" si="25"/>
        <v>J188</v>
      </c>
    </row>
    <row r="734" spans="1:12" x14ac:dyDescent="0.2">
      <c r="A734" s="26" t="s">
        <v>36</v>
      </c>
      <c r="B734" t="s">
        <v>69</v>
      </c>
      <c r="C734">
        <v>7</v>
      </c>
      <c r="D734" s="26" t="s">
        <v>401</v>
      </c>
      <c r="E734" t="s">
        <v>71</v>
      </c>
      <c r="F734">
        <v>15</v>
      </c>
      <c r="G734" t="str">
        <f t="shared" si="26"/>
        <v>CoStep7DoubleSupportTimeT15</v>
      </c>
      <c r="J734" s="26" t="s">
        <v>75</v>
      </c>
      <c r="K734">
        <v>188</v>
      </c>
      <c r="L734" t="str">
        <f t="shared" si="25"/>
        <v>O188</v>
      </c>
    </row>
    <row r="735" spans="1:12" x14ac:dyDescent="0.2">
      <c r="A735" s="26" t="s">
        <v>36</v>
      </c>
      <c r="B735" t="s">
        <v>69</v>
      </c>
      <c r="C735">
        <v>7</v>
      </c>
      <c r="D735" s="26" t="s">
        <v>402</v>
      </c>
      <c r="E735" t="s">
        <v>71</v>
      </c>
      <c r="F735">
        <v>15</v>
      </c>
      <c r="G735" t="str">
        <f t="shared" si="26"/>
        <v>CoStep7StanceTimeT15</v>
      </c>
      <c r="J735" s="26" t="s">
        <v>71</v>
      </c>
      <c r="K735">
        <v>188</v>
      </c>
      <c r="L735" t="str">
        <f t="shared" si="25"/>
        <v>T188</v>
      </c>
    </row>
    <row r="736" spans="1:12" x14ac:dyDescent="0.2">
      <c r="A736" s="26" t="s">
        <v>36</v>
      </c>
      <c r="B736" t="s">
        <v>69</v>
      </c>
      <c r="C736">
        <v>8</v>
      </c>
      <c r="D736" s="26" t="s">
        <v>384</v>
      </c>
      <c r="E736" t="s">
        <v>71</v>
      </c>
      <c r="F736">
        <v>15</v>
      </c>
      <c r="G736" t="str">
        <f t="shared" si="26"/>
        <v>CoStep8ColorT15</v>
      </c>
      <c r="J736" s="26" t="s">
        <v>72</v>
      </c>
      <c r="K736">
        <v>205</v>
      </c>
      <c r="L736" t="str">
        <f t="shared" si="25"/>
        <v>B205</v>
      </c>
    </row>
    <row r="737" spans="1:12" x14ac:dyDescent="0.2">
      <c r="A737" s="26" t="s">
        <v>36</v>
      </c>
      <c r="B737" t="s">
        <v>69</v>
      </c>
      <c r="C737">
        <v>8</v>
      </c>
      <c r="D737" t="s">
        <v>68</v>
      </c>
      <c r="E737" t="s">
        <v>71</v>
      </c>
      <c r="F737">
        <v>15</v>
      </c>
      <c r="G737" t="str">
        <f t="shared" si="26"/>
        <v>CoStep8StepLengthT15</v>
      </c>
      <c r="J737" s="26" t="s">
        <v>73</v>
      </c>
      <c r="K737">
        <v>205</v>
      </c>
      <c r="L737" t="str">
        <f t="shared" si="25"/>
        <v>E205</v>
      </c>
    </row>
    <row r="738" spans="1:12" x14ac:dyDescent="0.2">
      <c r="A738" s="26" t="s">
        <v>36</v>
      </c>
      <c r="B738" t="s">
        <v>69</v>
      </c>
      <c r="C738">
        <v>8</v>
      </c>
      <c r="D738" s="26" t="s">
        <v>400</v>
      </c>
      <c r="E738" t="s">
        <v>71</v>
      </c>
      <c r="F738">
        <v>15</v>
      </c>
      <c r="G738" t="str">
        <f t="shared" si="26"/>
        <v>CoStep8StepTimeT15</v>
      </c>
      <c r="J738" s="26" t="s">
        <v>74</v>
      </c>
      <c r="K738">
        <v>205</v>
      </c>
      <c r="L738" t="str">
        <f t="shared" si="25"/>
        <v>J205</v>
      </c>
    </row>
    <row r="739" spans="1:12" x14ac:dyDescent="0.2">
      <c r="A739" s="26" t="s">
        <v>36</v>
      </c>
      <c r="B739" t="s">
        <v>69</v>
      </c>
      <c r="C739">
        <v>8</v>
      </c>
      <c r="D739" s="26" t="s">
        <v>401</v>
      </c>
      <c r="E739" t="s">
        <v>71</v>
      </c>
      <c r="F739">
        <v>15</v>
      </c>
      <c r="G739" t="str">
        <f t="shared" si="26"/>
        <v>CoStep8DoubleSupportTimeT15</v>
      </c>
      <c r="J739" s="26" t="s">
        <v>75</v>
      </c>
      <c r="K739">
        <v>205</v>
      </c>
      <c r="L739" t="str">
        <f t="shared" si="25"/>
        <v>O205</v>
      </c>
    </row>
    <row r="740" spans="1:12" x14ac:dyDescent="0.2">
      <c r="A740" s="26" t="s">
        <v>36</v>
      </c>
      <c r="B740" t="s">
        <v>69</v>
      </c>
      <c r="C740">
        <v>8</v>
      </c>
      <c r="D740" s="26" t="s">
        <v>402</v>
      </c>
      <c r="E740" t="s">
        <v>71</v>
      </c>
      <c r="F740">
        <v>15</v>
      </c>
      <c r="G740" t="str">
        <f t="shared" si="26"/>
        <v>CoStep8StanceTimeT15</v>
      </c>
      <c r="J740" s="26" t="s">
        <v>71</v>
      </c>
      <c r="K740">
        <v>205</v>
      </c>
      <c r="L740" t="str">
        <f t="shared" si="25"/>
        <v>T205</v>
      </c>
    </row>
    <row r="741" spans="1:12" x14ac:dyDescent="0.2">
      <c r="A741" s="26" t="s">
        <v>36</v>
      </c>
      <c r="B741" t="s">
        <v>69</v>
      </c>
      <c r="C741">
        <v>9</v>
      </c>
      <c r="D741" s="26" t="s">
        <v>384</v>
      </c>
      <c r="E741" t="s">
        <v>71</v>
      </c>
      <c r="F741">
        <v>15</v>
      </c>
      <c r="G741" t="str">
        <f t="shared" si="26"/>
        <v>CoStep9ColorT15</v>
      </c>
      <c r="J741" s="26" t="s">
        <v>72</v>
      </c>
      <c r="K741">
        <v>230</v>
      </c>
      <c r="L741" t="str">
        <f t="shared" si="25"/>
        <v>B230</v>
      </c>
    </row>
    <row r="742" spans="1:12" x14ac:dyDescent="0.2">
      <c r="A742" s="26" t="s">
        <v>36</v>
      </c>
      <c r="B742" t="s">
        <v>69</v>
      </c>
      <c r="C742">
        <v>9</v>
      </c>
      <c r="D742" t="s">
        <v>68</v>
      </c>
      <c r="E742" t="s">
        <v>71</v>
      </c>
      <c r="F742">
        <v>15</v>
      </c>
      <c r="G742" t="str">
        <f t="shared" si="26"/>
        <v>CoStep9StepLengthT15</v>
      </c>
      <c r="J742" s="26" t="s">
        <v>73</v>
      </c>
      <c r="K742">
        <v>230</v>
      </c>
      <c r="L742" t="str">
        <f t="shared" si="25"/>
        <v>E230</v>
      </c>
    </row>
    <row r="743" spans="1:12" x14ac:dyDescent="0.2">
      <c r="A743" s="26" t="s">
        <v>36</v>
      </c>
      <c r="B743" t="s">
        <v>69</v>
      </c>
      <c r="C743">
        <v>9</v>
      </c>
      <c r="D743" s="26" t="s">
        <v>400</v>
      </c>
      <c r="E743" t="s">
        <v>71</v>
      </c>
      <c r="F743">
        <v>15</v>
      </c>
      <c r="G743" t="str">
        <f t="shared" si="26"/>
        <v>CoStep9StepTimeT15</v>
      </c>
      <c r="J743" s="26" t="s">
        <v>74</v>
      </c>
      <c r="K743">
        <v>230</v>
      </c>
      <c r="L743" t="str">
        <f t="shared" si="25"/>
        <v>J230</v>
      </c>
    </row>
    <row r="744" spans="1:12" x14ac:dyDescent="0.2">
      <c r="A744" s="26" t="s">
        <v>36</v>
      </c>
      <c r="B744" t="s">
        <v>69</v>
      </c>
      <c r="C744">
        <v>9</v>
      </c>
      <c r="D744" s="26" t="s">
        <v>401</v>
      </c>
      <c r="E744" t="s">
        <v>71</v>
      </c>
      <c r="F744">
        <v>15</v>
      </c>
      <c r="G744" t="str">
        <f t="shared" si="26"/>
        <v>CoStep9DoubleSupportTimeT15</v>
      </c>
      <c r="J744" s="26" t="s">
        <v>75</v>
      </c>
      <c r="K744">
        <v>230</v>
      </c>
      <c r="L744" t="str">
        <f t="shared" si="25"/>
        <v>O230</v>
      </c>
    </row>
    <row r="745" spans="1:12" x14ac:dyDescent="0.2">
      <c r="A745" s="26" t="s">
        <v>36</v>
      </c>
      <c r="B745" t="s">
        <v>69</v>
      </c>
      <c r="C745">
        <v>9</v>
      </c>
      <c r="D745" s="26" t="s">
        <v>402</v>
      </c>
      <c r="E745" t="s">
        <v>71</v>
      </c>
      <c r="F745">
        <v>15</v>
      </c>
      <c r="G745" t="str">
        <f t="shared" si="26"/>
        <v>CoStep9StanceTimeT15</v>
      </c>
      <c r="J745" s="26" t="s">
        <v>71</v>
      </c>
      <c r="K745">
        <v>230</v>
      </c>
      <c r="L745" t="str">
        <f t="shared" si="25"/>
        <v>T230</v>
      </c>
    </row>
    <row r="746" spans="1:12" x14ac:dyDescent="0.2">
      <c r="A746" s="26" t="s">
        <v>36</v>
      </c>
      <c r="B746" t="s">
        <v>69</v>
      </c>
      <c r="C746">
        <v>10</v>
      </c>
      <c r="D746" s="26" t="s">
        <v>384</v>
      </c>
      <c r="E746" t="s">
        <v>71</v>
      </c>
      <c r="F746">
        <v>15</v>
      </c>
      <c r="G746" t="str">
        <f t="shared" si="26"/>
        <v>CoStep10ColorT15</v>
      </c>
      <c r="J746" s="26" t="s">
        <v>72</v>
      </c>
      <c r="K746">
        <v>255</v>
      </c>
      <c r="L746" t="str">
        <f t="shared" si="25"/>
        <v>B255</v>
      </c>
    </row>
    <row r="747" spans="1:12" x14ac:dyDescent="0.2">
      <c r="A747" s="26" t="s">
        <v>36</v>
      </c>
      <c r="B747" t="s">
        <v>69</v>
      </c>
      <c r="C747">
        <v>10</v>
      </c>
      <c r="D747" t="s">
        <v>68</v>
      </c>
      <c r="E747" t="s">
        <v>71</v>
      </c>
      <c r="F747">
        <v>15</v>
      </c>
      <c r="G747" t="str">
        <f t="shared" si="26"/>
        <v>CoStep10StepLengthT15</v>
      </c>
      <c r="J747" s="26" t="s">
        <v>73</v>
      </c>
      <c r="K747">
        <v>255</v>
      </c>
      <c r="L747" t="str">
        <f t="shared" si="25"/>
        <v>E255</v>
      </c>
    </row>
    <row r="748" spans="1:12" x14ac:dyDescent="0.2">
      <c r="A748" s="26" t="s">
        <v>36</v>
      </c>
      <c r="B748" t="s">
        <v>69</v>
      </c>
      <c r="C748">
        <v>10</v>
      </c>
      <c r="D748" s="26" t="s">
        <v>400</v>
      </c>
      <c r="E748" t="s">
        <v>71</v>
      </c>
      <c r="F748">
        <v>15</v>
      </c>
      <c r="G748" t="str">
        <f t="shared" si="26"/>
        <v>CoStep10StepTimeT15</v>
      </c>
      <c r="J748" s="26" t="s">
        <v>74</v>
      </c>
      <c r="K748">
        <v>255</v>
      </c>
      <c r="L748" t="str">
        <f t="shared" si="25"/>
        <v>J255</v>
      </c>
    </row>
    <row r="749" spans="1:12" x14ac:dyDescent="0.2">
      <c r="A749" s="26" t="s">
        <v>36</v>
      </c>
      <c r="B749" t="s">
        <v>69</v>
      </c>
      <c r="C749">
        <v>10</v>
      </c>
      <c r="D749" s="26" t="s">
        <v>401</v>
      </c>
      <c r="E749" t="s">
        <v>71</v>
      </c>
      <c r="F749">
        <v>15</v>
      </c>
      <c r="G749" t="str">
        <f t="shared" si="26"/>
        <v>CoStep10DoubleSupportTimeT15</v>
      </c>
      <c r="J749" s="26" t="s">
        <v>75</v>
      </c>
      <c r="K749">
        <v>255</v>
      </c>
      <c r="L749" t="str">
        <f t="shared" si="25"/>
        <v>O255</v>
      </c>
    </row>
    <row r="750" spans="1:12" x14ac:dyDescent="0.2">
      <c r="A750" s="26" t="s">
        <v>36</v>
      </c>
      <c r="B750" t="s">
        <v>69</v>
      </c>
      <c r="C750">
        <v>10</v>
      </c>
      <c r="D750" s="26" t="s">
        <v>402</v>
      </c>
      <c r="E750" t="s">
        <v>71</v>
      </c>
      <c r="F750">
        <v>15</v>
      </c>
      <c r="G750" t="str">
        <f t="shared" si="26"/>
        <v>CoStep10StanceTimeT15</v>
      </c>
      <c r="J750" s="26" t="s">
        <v>71</v>
      </c>
      <c r="K750">
        <v>255</v>
      </c>
      <c r="L750" t="str">
        <f t="shared" si="25"/>
        <v>T255</v>
      </c>
    </row>
    <row r="751" spans="1:12" x14ac:dyDescent="0.2">
      <c r="A751" s="26" t="s">
        <v>36</v>
      </c>
      <c r="B751" t="s">
        <v>69</v>
      </c>
      <c r="C751">
        <v>1</v>
      </c>
      <c r="D751" s="26" t="s">
        <v>384</v>
      </c>
      <c r="E751" t="s">
        <v>71</v>
      </c>
      <c r="F751">
        <v>16</v>
      </c>
      <c r="G751" t="str">
        <f t="shared" si="26"/>
        <v>CoStep1ColorT16</v>
      </c>
      <c r="J751" s="26" t="s">
        <v>72</v>
      </c>
      <c r="K751">
        <v>30</v>
      </c>
      <c r="L751" t="str">
        <f>J751&amp;K751</f>
        <v>B30</v>
      </c>
    </row>
    <row r="752" spans="1:12" x14ac:dyDescent="0.2">
      <c r="A752" s="26" t="s">
        <v>36</v>
      </c>
      <c r="B752" t="s">
        <v>69</v>
      </c>
      <c r="C752">
        <v>1</v>
      </c>
      <c r="D752" t="s">
        <v>68</v>
      </c>
      <c r="E752" t="s">
        <v>71</v>
      </c>
      <c r="F752">
        <v>16</v>
      </c>
      <c r="G752" t="str">
        <f t="shared" si="26"/>
        <v>CoStep1StepLengthT16</v>
      </c>
      <c r="J752" s="26" t="s">
        <v>73</v>
      </c>
      <c r="K752">
        <v>30</v>
      </c>
      <c r="L752" t="str">
        <f t="shared" ref="L752:L800" si="27">J752&amp;K752</f>
        <v>E30</v>
      </c>
    </row>
    <row r="753" spans="1:12" x14ac:dyDescent="0.2">
      <c r="A753" s="26" t="s">
        <v>36</v>
      </c>
      <c r="B753" t="s">
        <v>69</v>
      </c>
      <c r="C753">
        <v>1</v>
      </c>
      <c r="D753" s="26" t="s">
        <v>400</v>
      </c>
      <c r="E753" t="s">
        <v>71</v>
      </c>
      <c r="F753">
        <v>16</v>
      </c>
      <c r="G753" t="str">
        <f t="shared" si="26"/>
        <v>CoStep1StepTimeT16</v>
      </c>
      <c r="J753" s="26" t="s">
        <v>74</v>
      </c>
      <c r="K753">
        <v>30</v>
      </c>
      <c r="L753" t="str">
        <f t="shared" si="27"/>
        <v>J30</v>
      </c>
    </row>
    <row r="754" spans="1:12" x14ac:dyDescent="0.2">
      <c r="A754" s="26" t="s">
        <v>36</v>
      </c>
      <c r="B754" t="s">
        <v>69</v>
      </c>
      <c r="C754">
        <v>1</v>
      </c>
      <c r="D754" s="26" t="s">
        <v>401</v>
      </c>
      <c r="E754" t="s">
        <v>71</v>
      </c>
      <c r="F754">
        <v>16</v>
      </c>
      <c r="G754" t="str">
        <f t="shared" si="26"/>
        <v>CoStep1DoubleSupportTimeT16</v>
      </c>
      <c r="J754" s="26" t="s">
        <v>75</v>
      </c>
      <c r="K754">
        <v>30</v>
      </c>
      <c r="L754" t="str">
        <f t="shared" si="27"/>
        <v>O30</v>
      </c>
    </row>
    <row r="755" spans="1:12" x14ac:dyDescent="0.2">
      <c r="A755" s="26" t="s">
        <v>36</v>
      </c>
      <c r="B755" t="s">
        <v>69</v>
      </c>
      <c r="C755">
        <v>1</v>
      </c>
      <c r="D755" s="26" t="s">
        <v>402</v>
      </c>
      <c r="E755" t="s">
        <v>71</v>
      </c>
      <c r="F755">
        <v>16</v>
      </c>
      <c r="G755" t="str">
        <f t="shared" si="26"/>
        <v>CoStep1StanceTimeT16</v>
      </c>
      <c r="J755" s="26" t="s">
        <v>71</v>
      </c>
      <c r="K755">
        <v>30</v>
      </c>
      <c r="L755" t="str">
        <f t="shared" si="27"/>
        <v>T30</v>
      </c>
    </row>
    <row r="756" spans="1:12" x14ac:dyDescent="0.2">
      <c r="A756" s="26" t="s">
        <v>36</v>
      </c>
      <c r="B756" t="s">
        <v>69</v>
      </c>
      <c r="C756">
        <v>2</v>
      </c>
      <c r="D756" s="26" t="s">
        <v>384</v>
      </c>
      <c r="E756" t="s">
        <v>71</v>
      </c>
      <c r="F756">
        <v>16</v>
      </c>
      <c r="G756" t="str">
        <f t="shared" si="26"/>
        <v>CoStep2ColorT16</v>
      </c>
      <c r="J756" s="26" t="s">
        <v>72</v>
      </c>
      <c r="K756">
        <v>55</v>
      </c>
      <c r="L756" t="str">
        <f t="shared" si="27"/>
        <v>B55</v>
      </c>
    </row>
    <row r="757" spans="1:12" x14ac:dyDescent="0.2">
      <c r="A757" s="26" t="s">
        <v>36</v>
      </c>
      <c r="B757" t="s">
        <v>69</v>
      </c>
      <c r="C757">
        <v>2</v>
      </c>
      <c r="D757" t="s">
        <v>68</v>
      </c>
      <c r="E757" t="s">
        <v>71</v>
      </c>
      <c r="F757">
        <v>16</v>
      </c>
      <c r="G757" t="str">
        <f t="shared" si="26"/>
        <v>CoStep2StepLengthT16</v>
      </c>
      <c r="J757" s="26" t="s">
        <v>73</v>
      </c>
      <c r="K757">
        <v>55</v>
      </c>
      <c r="L757" t="str">
        <f t="shared" si="27"/>
        <v>E55</v>
      </c>
    </row>
    <row r="758" spans="1:12" x14ac:dyDescent="0.2">
      <c r="A758" s="26" t="s">
        <v>36</v>
      </c>
      <c r="B758" t="s">
        <v>69</v>
      </c>
      <c r="C758">
        <v>2</v>
      </c>
      <c r="D758" s="26" t="s">
        <v>400</v>
      </c>
      <c r="E758" t="s">
        <v>71</v>
      </c>
      <c r="F758">
        <v>16</v>
      </c>
      <c r="G758" t="str">
        <f t="shared" si="26"/>
        <v>CoStep2StepTimeT16</v>
      </c>
      <c r="J758" s="26" t="s">
        <v>74</v>
      </c>
      <c r="K758">
        <v>55</v>
      </c>
      <c r="L758" t="str">
        <f t="shared" si="27"/>
        <v>J55</v>
      </c>
    </row>
    <row r="759" spans="1:12" x14ac:dyDescent="0.2">
      <c r="A759" s="26" t="s">
        <v>36</v>
      </c>
      <c r="B759" t="s">
        <v>69</v>
      </c>
      <c r="C759">
        <v>2</v>
      </c>
      <c r="D759" s="26" t="s">
        <v>401</v>
      </c>
      <c r="E759" t="s">
        <v>71</v>
      </c>
      <c r="F759">
        <v>16</v>
      </c>
      <c r="G759" t="str">
        <f t="shared" si="26"/>
        <v>CoStep2DoubleSupportTimeT16</v>
      </c>
      <c r="J759" s="26" t="s">
        <v>75</v>
      </c>
      <c r="K759">
        <v>55</v>
      </c>
      <c r="L759" t="str">
        <f t="shared" si="27"/>
        <v>O55</v>
      </c>
    </row>
    <row r="760" spans="1:12" x14ac:dyDescent="0.2">
      <c r="A760" s="26" t="s">
        <v>36</v>
      </c>
      <c r="B760" t="s">
        <v>69</v>
      </c>
      <c r="C760">
        <v>2</v>
      </c>
      <c r="D760" s="26" t="s">
        <v>402</v>
      </c>
      <c r="E760" t="s">
        <v>71</v>
      </c>
      <c r="F760">
        <v>16</v>
      </c>
      <c r="G760" t="str">
        <f t="shared" si="26"/>
        <v>CoStep2StanceTimeT16</v>
      </c>
      <c r="J760" s="26" t="s">
        <v>71</v>
      </c>
      <c r="K760">
        <v>55</v>
      </c>
      <c r="L760" t="str">
        <f t="shared" si="27"/>
        <v>T55</v>
      </c>
    </row>
    <row r="761" spans="1:12" x14ac:dyDescent="0.2">
      <c r="A761" s="26" t="s">
        <v>36</v>
      </c>
      <c r="B761" t="s">
        <v>69</v>
      </c>
      <c r="C761">
        <v>3</v>
      </c>
      <c r="D761" s="26" t="s">
        <v>384</v>
      </c>
      <c r="E761" t="s">
        <v>71</v>
      </c>
      <c r="F761">
        <v>16</v>
      </c>
      <c r="G761" t="str">
        <f t="shared" si="26"/>
        <v>CoStep3ColorT16</v>
      </c>
      <c r="J761" s="26" t="s">
        <v>72</v>
      </c>
      <c r="K761">
        <v>80</v>
      </c>
      <c r="L761" t="str">
        <f t="shared" si="27"/>
        <v>B80</v>
      </c>
    </row>
    <row r="762" spans="1:12" x14ac:dyDescent="0.2">
      <c r="A762" s="26" t="s">
        <v>36</v>
      </c>
      <c r="B762" t="s">
        <v>69</v>
      </c>
      <c r="C762">
        <v>3</v>
      </c>
      <c r="D762" t="s">
        <v>68</v>
      </c>
      <c r="E762" t="s">
        <v>71</v>
      </c>
      <c r="F762">
        <v>16</v>
      </c>
      <c r="G762" t="str">
        <f t="shared" si="26"/>
        <v>CoStep3StepLengthT16</v>
      </c>
      <c r="J762" s="26" t="s">
        <v>73</v>
      </c>
      <c r="K762">
        <v>80</v>
      </c>
      <c r="L762" t="str">
        <f t="shared" si="27"/>
        <v>E80</v>
      </c>
    </row>
    <row r="763" spans="1:12" x14ac:dyDescent="0.2">
      <c r="A763" s="26" t="s">
        <v>36</v>
      </c>
      <c r="B763" t="s">
        <v>69</v>
      </c>
      <c r="C763">
        <v>3</v>
      </c>
      <c r="D763" s="26" t="s">
        <v>400</v>
      </c>
      <c r="E763" t="s">
        <v>71</v>
      </c>
      <c r="F763">
        <v>16</v>
      </c>
      <c r="G763" t="str">
        <f t="shared" si="26"/>
        <v>CoStep3StepTimeT16</v>
      </c>
      <c r="J763" s="26" t="s">
        <v>74</v>
      </c>
      <c r="K763">
        <v>80</v>
      </c>
      <c r="L763" t="str">
        <f t="shared" si="27"/>
        <v>J80</v>
      </c>
    </row>
    <row r="764" spans="1:12" x14ac:dyDescent="0.2">
      <c r="A764" s="26" t="s">
        <v>36</v>
      </c>
      <c r="B764" t="s">
        <v>69</v>
      </c>
      <c r="C764">
        <v>3</v>
      </c>
      <c r="D764" s="26" t="s">
        <v>401</v>
      </c>
      <c r="E764" t="s">
        <v>71</v>
      </c>
      <c r="F764">
        <v>16</v>
      </c>
      <c r="G764" t="str">
        <f t="shared" si="26"/>
        <v>CoStep3DoubleSupportTimeT16</v>
      </c>
      <c r="J764" s="26" t="s">
        <v>75</v>
      </c>
      <c r="K764">
        <v>80</v>
      </c>
      <c r="L764" t="str">
        <f t="shared" si="27"/>
        <v>O80</v>
      </c>
    </row>
    <row r="765" spans="1:12" x14ac:dyDescent="0.2">
      <c r="A765" s="26" t="s">
        <v>36</v>
      </c>
      <c r="B765" t="s">
        <v>69</v>
      </c>
      <c r="C765">
        <v>3</v>
      </c>
      <c r="D765" s="26" t="s">
        <v>402</v>
      </c>
      <c r="E765" t="s">
        <v>71</v>
      </c>
      <c r="F765">
        <v>16</v>
      </c>
      <c r="G765" t="str">
        <f t="shared" si="26"/>
        <v>CoStep3StanceTimeT16</v>
      </c>
      <c r="J765" s="26" t="s">
        <v>71</v>
      </c>
      <c r="K765">
        <v>80</v>
      </c>
      <c r="L765" t="str">
        <f t="shared" si="27"/>
        <v>T80</v>
      </c>
    </row>
    <row r="766" spans="1:12" x14ac:dyDescent="0.2">
      <c r="A766" s="26" t="s">
        <v>36</v>
      </c>
      <c r="B766" t="s">
        <v>69</v>
      </c>
      <c r="C766">
        <v>4</v>
      </c>
      <c r="D766" s="26" t="s">
        <v>384</v>
      </c>
      <c r="E766" t="s">
        <v>71</v>
      </c>
      <c r="F766">
        <v>16</v>
      </c>
      <c r="G766" t="str">
        <f t="shared" si="26"/>
        <v>CoStep4ColorT16</v>
      </c>
      <c r="J766" s="26" t="s">
        <v>72</v>
      </c>
      <c r="K766">
        <v>105</v>
      </c>
      <c r="L766" t="str">
        <f t="shared" si="27"/>
        <v>B105</v>
      </c>
    </row>
    <row r="767" spans="1:12" x14ac:dyDescent="0.2">
      <c r="A767" s="26" t="s">
        <v>36</v>
      </c>
      <c r="B767" t="s">
        <v>69</v>
      </c>
      <c r="C767">
        <v>4</v>
      </c>
      <c r="D767" t="s">
        <v>68</v>
      </c>
      <c r="E767" t="s">
        <v>71</v>
      </c>
      <c r="F767">
        <v>16</v>
      </c>
      <c r="G767" t="str">
        <f t="shared" si="26"/>
        <v>CoStep4StepLengthT16</v>
      </c>
      <c r="J767" s="26" t="s">
        <v>73</v>
      </c>
      <c r="K767">
        <v>105</v>
      </c>
      <c r="L767" t="str">
        <f t="shared" si="27"/>
        <v>E105</v>
      </c>
    </row>
    <row r="768" spans="1:12" x14ac:dyDescent="0.2">
      <c r="A768" s="26" t="s">
        <v>36</v>
      </c>
      <c r="B768" t="s">
        <v>69</v>
      </c>
      <c r="C768">
        <v>4</v>
      </c>
      <c r="D768" s="26" t="s">
        <v>400</v>
      </c>
      <c r="E768" t="s">
        <v>71</v>
      </c>
      <c r="F768">
        <v>16</v>
      </c>
      <c r="G768" t="str">
        <f t="shared" si="26"/>
        <v>CoStep4StepTimeT16</v>
      </c>
      <c r="J768" s="26" t="s">
        <v>74</v>
      </c>
      <c r="K768">
        <v>105</v>
      </c>
      <c r="L768" t="str">
        <f t="shared" si="27"/>
        <v>J105</v>
      </c>
    </row>
    <row r="769" spans="1:12" x14ac:dyDescent="0.2">
      <c r="A769" s="26" t="s">
        <v>36</v>
      </c>
      <c r="B769" t="s">
        <v>69</v>
      </c>
      <c r="C769">
        <v>4</v>
      </c>
      <c r="D769" s="26" t="s">
        <v>401</v>
      </c>
      <c r="E769" t="s">
        <v>71</v>
      </c>
      <c r="F769">
        <v>16</v>
      </c>
      <c r="G769" t="str">
        <f t="shared" si="26"/>
        <v>CoStep4DoubleSupportTimeT16</v>
      </c>
      <c r="J769" s="26" t="s">
        <v>75</v>
      </c>
      <c r="K769">
        <v>105</v>
      </c>
      <c r="L769" t="str">
        <f t="shared" si="27"/>
        <v>O105</v>
      </c>
    </row>
    <row r="770" spans="1:12" x14ac:dyDescent="0.2">
      <c r="A770" s="26" t="s">
        <v>36</v>
      </c>
      <c r="B770" t="s">
        <v>69</v>
      </c>
      <c r="C770">
        <v>4</v>
      </c>
      <c r="D770" s="26" t="s">
        <v>402</v>
      </c>
      <c r="E770" t="s">
        <v>71</v>
      </c>
      <c r="F770">
        <v>16</v>
      </c>
      <c r="G770" t="str">
        <f t="shared" si="26"/>
        <v>CoStep4StanceTimeT16</v>
      </c>
      <c r="J770" s="26" t="s">
        <v>71</v>
      </c>
      <c r="K770">
        <v>105</v>
      </c>
      <c r="L770" t="str">
        <f t="shared" si="27"/>
        <v>T105</v>
      </c>
    </row>
    <row r="771" spans="1:12" x14ac:dyDescent="0.2">
      <c r="A771" s="26" t="s">
        <v>36</v>
      </c>
      <c r="B771" t="s">
        <v>69</v>
      </c>
      <c r="C771">
        <v>5</v>
      </c>
      <c r="D771" s="26" t="s">
        <v>384</v>
      </c>
      <c r="E771" t="s">
        <v>71</v>
      </c>
      <c r="F771">
        <v>16</v>
      </c>
      <c r="G771" t="str">
        <f t="shared" si="26"/>
        <v>CoStep5ColorT16</v>
      </c>
      <c r="J771" s="26" t="s">
        <v>72</v>
      </c>
      <c r="K771">
        <v>130</v>
      </c>
      <c r="L771" t="str">
        <f t="shared" si="27"/>
        <v>B130</v>
      </c>
    </row>
    <row r="772" spans="1:12" x14ac:dyDescent="0.2">
      <c r="A772" s="26" t="s">
        <v>36</v>
      </c>
      <c r="B772" t="s">
        <v>69</v>
      </c>
      <c r="C772">
        <v>5</v>
      </c>
      <c r="D772" t="s">
        <v>68</v>
      </c>
      <c r="E772" t="s">
        <v>71</v>
      </c>
      <c r="F772">
        <v>16</v>
      </c>
      <c r="G772" t="str">
        <f t="shared" si="26"/>
        <v>CoStep5StepLengthT16</v>
      </c>
      <c r="J772" s="26" t="s">
        <v>73</v>
      </c>
      <c r="K772">
        <v>130</v>
      </c>
      <c r="L772" t="str">
        <f t="shared" si="27"/>
        <v>E130</v>
      </c>
    </row>
    <row r="773" spans="1:12" x14ac:dyDescent="0.2">
      <c r="A773" s="26" t="s">
        <v>36</v>
      </c>
      <c r="B773" t="s">
        <v>69</v>
      </c>
      <c r="C773">
        <v>5</v>
      </c>
      <c r="D773" s="26" t="s">
        <v>400</v>
      </c>
      <c r="E773" t="s">
        <v>71</v>
      </c>
      <c r="F773">
        <v>16</v>
      </c>
      <c r="G773" t="str">
        <f t="shared" si="26"/>
        <v>CoStep5StepTimeT16</v>
      </c>
      <c r="J773" s="26" t="s">
        <v>74</v>
      </c>
      <c r="K773">
        <v>130</v>
      </c>
      <c r="L773" t="str">
        <f t="shared" si="27"/>
        <v>J130</v>
      </c>
    </row>
    <row r="774" spans="1:12" x14ac:dyDescent="0.2">
      <c r="A774" s="26" t="s">
        <v>36</v>
      </c>
      <c r="B774" t="s">
        <v>69</v>
      </c>
      <c r="C774">
        <v>5</v>
      </c>
      <c r="D774" s="26" t="s">
        <v>401</v>
      </c>
      <c r="E774" t="s">
        <v>71</v>
      </c>
      <c r="F774">
        <v>16</v>
      </c>
      <c r="G774" t="str">
        <f t="shared" ref="G774:G837" si="28">A774&amp;B774&amp;C774&amp;D774&amp;E774&amp;F774</f>
        <v>CoStep5DoubleSupportTimeT16</v>
      </c>
      <c r="J774" s="26" t="s">
        <v>75</v>
      </c>
      <c r="K774">
        <v>130</v>
      </c>
      <c r="L774" t="str">
        <f t="shared" si="27"/>
        <v>O130</v>
      </c>
    </row>
    <row r="775" spans="1:12" x14ac:dyDescent="0.2">
      <c r="A775" s="26" t="s">
        <v>36</v>
      </c>
      <c r="B775" t="s">
        <v>69</v>
      </c>
      <c r="C775">
        <v>5</v>
      </c>
      <c r="D775" s="26" t="s">
        <v>402</v>
      </c>
      <c r="E775" t="s">
        <v>71</v>
      </c>
      <c r="F775">
        <v>16</v>
      </c>
      <c r="G775" t="str">
        <f t="shared" si="28"/>
        <v>CoStep5StanceTimeT16</v>
      </c>
      <c r="J775" s="26" t="s">
        <v>71</v>
      </c>
      <c r="K775">
        <v>130</v>
      </c>
      <c r="L775" t="str">
        <f t="shared" si="27"/>
        <v>T130</v>
      </c>
    </row>
    <row r="776" spans="1:12" x14ac:dyDescent="0.2">
      <c r="A776" s="26" t="s">
        <v>36</v>
      </c>
      <c r="B776" t="s">
        <v>69</v>
      </c>
      <c r="C776">
        <v>6</v>
      </c>
      <c r="D776" s="26" t="s">
        <v>384</v>
      </c>
      <c r="E776" t="s">
        <v>71</v>
      </c>
      <c r="F776">
        <v>16</v>
      </c>
      <c r="G776" t="str">
        <f t="shared" si="28"/>
        <v>CoStep6ColorT16</v>
      </c>
      <c r="J776" s="26" t="s">
        <v>72</v>
      </c>
      <c r="K776">
        <v>155</v>
      </c>
      <c r="L776" t="str">
        <f t="shared" si="27"/>
        <v>B155</v>
      </c>
    </row>
    <row r="777" spans="1:12" x14ac:dyDescent="0.2">
      <c r="A777" s="26" t="s">
        <v>36</v>
      </c>
      <c r="B777" t="s">
        <v>69</v>
      </c>
      <c r="C777">
        <v>6</v>
      </c>
      <c r="D777" t="s">
        <v>68</v>
      </c>
      <c r="E777" t="s">
        <v>71</v>
      </c>
      <c r="F777">
        <v>16</v>
      </c>
      <c r="G777" t="str">
        <f t="shared" si="28"/>
        <v>CoStep6StepLengthT16</v>
      </c>
      <c r="J777" s="26" t="s">
        <v>73</v>
      </c>
      <c r="K777">
        <v>155</v>
      </c>
      <c r="L777" t="str">
        <f t="shared" si="27"/>
        <v>E155</v>
      </c>
    </row>
    <row r="778" spans="1:12" x14ac:dyDescent="0.2">
      <c r="A778" s="26" t="s">
        <v>36</v>
      </c>
      <c r="B778" t="s">
        <v>69</v>
      </c>
      <c r="C778">
        <v>6</v>
      </c>
      <c r="D778" s="26" t="s">
        <v>400</v>
      </c>
      <c r="E778" t="s">
        <v>71</v>
      </c>
      <c r="F778">
        <v>16</v>
      </c>
      <c r="G778" t="str">
        <f t="shared" si="28"/>
        <v>CoStep6StepTimeT16</v>
      </c>
      <c r="J778" s="26" t="s">
        <v>74</v>
      </c>
      <c r="K778">
        <v>155</v>
      </c>
      <c r="L778" t="str">
        <f t="shared" si="27"/>
        <v>J155</v>
      </c>
    </row>
    <row r="779" spans="1:12" x14ac:dyDescent="0.2">
      <c r="A779" s="26" t="s">
        <v>36</v>
      </c>
      <c r="B779" t="s">
        <v>69</v>
      </c>
      <c r="C779">
        <v>6</v>
      </c>
      <c r="D779" s="26" t="s">
        <v>401</v>
      </c>
      <c r="E779" t="s">
        <v>71</v>
      </c>
      <c r="F779">
        <v>16</v>
      </c>
      <c r="G779" t="str">
        <f t="shared" si="28"/>
        <v>CoStep6DoubleSupportTimeT16</v>
      </c>
      <c r="J779" s="26" t="s">
        <v>75</v>
      </c>
      <c r="K779">
        <v>155</v>
      </c>
      <c r="L779" t="str">
        <f t="shared" si="27"/>
        <v>O155</v>
      </c>
    </row>
    <row r="780" spans="1:12" x14ac:dyDescent="0.2">
      <c r="A780" s="26" t="s">
        <v>36</v>
      </c>
      <c r="B780" t="s">
        <v>69</v>
      </c>
      <c r="C780">
        <v>6</v>
      </c>
      <c r="D780" s="26" t="s">
        <v>402</v>
      </c>
      <c r="E780" t="s">
        <v>71</v>
      </c>
      <c r="F780">
        <v>16</v>
      </c>
      <c r="G780" t="str">
        <f t="shared" si="28"/>
        <v>CoStep6StanceTimeT16</v>
      </c>
      <c r="J780" s="26" t="s">
        <v>71</v>
      </c>
      <c r="K780">
        <v>155</v>
      </c>
      <c r="L780" t="str">
        <f t="shared" si="27"/>
        <v>T155</v>
      </c>
    </row>
    <row r="781" spans="1:12" x14ac:dyDescent="0.2">
      <c r="A781" s="26" t="s">
        <v>36</v>
      </c>
      <c r="B781" t="s">
        <v>69</v>
      </c>
      <c r="C781">
        <v>7</v>
      </c>
      <c r="D781" s="26" t="s">
        <v>384</v>
      </c>
      <c r="E781" t="s">
        <v>71</v>
      </c>
      <c r="F781">
        <v>16</v>
      </c>
      <c r="G781" t="str">
        <f t="shared" si="28"/>
        <v>CoStep7ColorT16</v>
      </c>
      <c r="J781" s="26" t="s">
        <v>72</v>
      </c>
      <c r="K781">
        <v>188</v>
      </c>
      <c r="L781" t="str">
        <f t="shared" si="27"/>
        <v>B188</v>
      </c>
    </row>
    <row r="782" spans="1:12" x14ac:dyDescent="0.2">
      <c r="A782" s="26" t="s">
        <v>36</v>
      </c>
      <c r="B782" t="s">
        <v>69</v>
      </c>
      <c r="C782">
        <v>7</v>
      </c>
      <c r="D782" t="s">
        <v>68</v>
      </c>
      <c r="E782" t="s">
        <v>71</v>
      </c>
      <c r="F782">
        <v>16</v>
      </c>
      <c r="G782" t="str">
        <f t="shared" si="28"/>
        <v>CoStep7StepLengthT16</v>
      </c>
      <c r="J782" s="26" t="s">
        <v>73</v>
      </c>
      <c r="K782">
        <v>188</v>
      </c>
      <c r="L782" t="str">
        <f t="shared" si="27"/>
        <v>E188</v>
      </c>
    </row>
    <row r="783" spans="1:12" x14ac:dyDescent="0.2">
      <c r="A783" s="26" t="s">
        <v>36</v>
      </c>
      <c r="B783" t="s">
        <v>69</v>
      </c>
      <c r="C783">
        <v>7</v>
      </c>
      <c r="D783" s="26" t="s">
        <v>400</v>
      </c>
      <c r="E783" t="s">
        <v>71</v>
      </c>
      <c r="F783">
        <v>16</v>
      </c>
      <c r="G783" t="str">
        <f t="shared" si="28"/>
        <v>CoStep7StepTimeT16</v>
      </c>
      <c r="J783" s="26" t="s">
        <v>74</v>
      </c>
      <c r="K783">
        <v>188</v>
      </c>
      <c r="L783" t="str">
        <f t="shared" si="27"/>
        <v>J188</v>
      </c>
    </row>
    <row r="784" spans="1:12" x14ac:dyDescent="0.2">
      <c r="A784" s="26" t="s">
        <v>36</v>
      </c>
      <c r="B784" t="s">
        <v>69</v>
      </c>
      <c r="C784">
        <v>7</v>
      </c>
      <c r="D784" s="26" t="s">
        <v>401</v>
      </c>
      <c r="E784" t="s">
        <v>71</v>
      </c>
      <c r="F784">
        <v>16</v>
      </c>
      <c r="G784" t="str">
        <f t="shared" si="28"/>
        <v>CoStep7DoubleSupportTimeT16</v>
      </c>
      <c r="J784" s="26" t="s">
        <v>75</v>
      </c>
      <c r="K784">
        <v>188</v>
      </c>
      <c r="L784" t="str">
        <f t="shared" si="27"/>
        <v>O188</v>
      </c>
    </row>
    <row r="785" spans="1:12" x14ac:dyDescent="0.2">
      <c r="A785" s="26" t="s">
        <v>36</v>
      </c>
      <c r="B785" t="s">
        <v>69</v>
      </c>
      <c r="C785">
        <v>7</v>
      </c>
      <c r="D785" s="26" t="s">
        <v>402</v>
      </c>
      <c r="E785" t="s">
        <v>71</v>
      </c>
      <c r="F785">
        <v>16</v>
      </c>
      <c r="G785" t="str">
        <f t="shared" si="28"/>
        <v>CoStep7StanceTimeT16</v>
      </c>
      <c r="J785" s="26" t="s">
        <v>71</v>
      </c>
      <c r="K785">
        <v>188</v>
      </c>
      <c r="L785" t="str">
        <f t="shared" si="27"/>
        <v>T188</v>
      </c>
    </row>
    <row r="786" spans="1:12" x14ac:dyDescent="0.2">
      <c r="A786" s="26" t="s">
        <v>36</v>
      </c>
      <c r="B786" t="s">
        <v>69</v>
      </c>
      <c r="C786">
        <v>8</v>
      </c>
      <c r="D786" s="26" t="s">
        <v>384</v>
      </c>
      <c r="E786" t="s">
        <v>71</v>
      </c>
      <c r="F786">
        <v>16</v>
      </c>
      <c r="G786" t="str">
        <f t="shared" si="28"/>
        <v>CoStep8ColorT16</v>
      </c>
      <c r="J786" s="26" t="s">
        <v>72</v>
      </c>
      <c r="K786">
        <v>205</v>
      </c>
      <c r="L786" t="str">
        <f t="shared" si="27"/>
        <v>B205</v>
      </c>
    </row>
    <row r="787" spans="1:12" x14ac:dyDescent="0.2">
      <c r="A787" s="26" t="s">
        <v>36</v>
      </c>
      <c r="B787" t="s">
        <v>69</v>
      </c>
      <c r="C787">
        <v>8</v>
      </c>
      <c r="D787" t="s">
        <v>68</v>
      </c>
      <c r="E787" t="s">
        <v>71</v>
      </c>
      <c r="F787">
        <v>16</v>
      </c>
      <c r="G787" t="str">
        <f t="shared" si="28"/>
        <v>CoStep8StepLengthT16</v>
      </c>
      <c r="J787" s="26" t="s">
        <v>73</v>
      </c>
      <c r="K787">
        <v>205</v>
      </c>
      <c r="L787" t="str">
        <f t="shared" si="27"/>
        <v>E205</v>
      </c>
    </row>
    <row r="788" spans="1:12" x14ac:dyDescent="0.2">
      <c r="A788" s="26" t="s">
        <v>36</v>
      </c>
      <c r="B788" t="s">
        <v>69</v>
      </c>
      <c r="C788">
        <v>8</v>
      </c>
      <c r="D788" s="26" t="s">
        <v>400</v>
      </c>
      <c r="E788" t="s">
        <v>71</v>
      </c>
      <c r="F788">
        <v>16</v>
      </c>
      <c r="G788" t="str">
        <f t="shared" si="28"/>
        <v>CoStep8StepTimeT16</v>
      </c>
      <c r="J788" s="26" t="s">
        <v>74</v>
      </c>
      <c r="K788">
        <v>205</v>
      </c>
      <c r="L788" t="str">
        <f t="shared" si="27"/>
        <v>J205</v>
      </c>
    </row>
    <row r="789" spans="1:12" x14ac:dyDescent="0.2">
      <c r="A789" s="26" t="s">
        <v>36</v>
      </c>
      <c r="B789" t="s">
        <v>69</v>
      </c>
      <c r="C789">
        <v>8</v>
      </c>
      <c r="D789" s="26" t="s">
        <v>401</v>
      </c>
      <c r="E789" t="s">
        <v>71</v>
      </c>
      <c r="F789">
        <v>16</v>
      </c>
      <c r="G789" t="str">
        <f t="shared" si="28"/>
        <v>CoStep8DoubleSupportTimeT16</v>
      </c>
      <c r="J789" s="26" t="s">
        <v>75</v>
      </c>
      <c r="K789">
        <v>205</v>
      </c>
      <c r="L789" t="str">
        <f t="shared" si="27"/>
        <v>O205</v>
      </c>
    </row>
    <row r="790" spans="1:12" x14ac:dyDescent="0.2">
      <c r="A790" s="26" t="s">
        <v>36</v>
      </c>
      <c r="B790" t="s">
        <v>69</v>
      </c>
      <c r="C790">
        <v>8</v>
      </c>
      <c r="D790" s="26" t="s">
        <v>402</v>
      </c>
      <c r="E790" t="s">
        <v>71</v>
      </c>
      <c r="F790">
        <v>16</v>
      </c>
      <c r="G790" t="str">
        <f t="shared" si="28"/>
        <v>CoStep8StanceTimeT16</v>
      </c>
      <c r="J790" s="26" t="s">
        <v>71</v>
      </c>
      <c r="K790">
        <v>205</v>
      </c>
      <c r="L790" t="str">
        <f t="shared" si="27"/>
        <v>T205</v>
      </c>
    </row>
    <row r="791" spans="1:12" x14ac:dyDescent="0.2">
      <c r="A791" s="26" t="s">
        <v>36</v>
      </c>
      <c r="B791" t="s">
        <v>69</v>
      </c>
      <c r="C791">
        <v>9</v>
      </c>
      <c r="D791" s="26" t="s">
        <v>384</v>
      </c>
      <c r="E791" t="s">
        <v>71</v>
      </c>
      <c r="F791">
        <v>16</v>
      </c>
      <c r="G791" t="str">
        <f t="shared" si="28"/>
        <v>CoStep9ColorT16</v>
      </c>
      <c r="J791" s="26" t="s">
        <v>72</v>
      </c>
      <c r="K791">
        <v>230</v>
      </c>
      <c r="L791" t="str">
        <f t="shared" si="27"/>
        <v>B230</v>
      </c>
    </row>
    <row r="792" spans="1:12" x14ac:dyDescent="0.2">
      <c r="A792" s="26" t="s">
        <v>36</v>
      </c>
      <c r="B792" t="s">
        <v>69</v>
      </c>
      <c r="C792">
        <v>9</v>
      </c>
      <c r="D792" t="s">
        <v>68</v>
      </c>
      <c r="E792" t="s">
        <v>71</v>
      </c>
      <c r="F792">
        <v>16</v>
      </c>
      <c r="G792" t="str">
        <f t="shared" si="28"/>
        <v>CoStep9StepLengthT16</v>
      </c>
      <c r="J792" s="26" t="s">
        <v>73</v>
      </c>
      <c r="K792">
        <v>230</v>
      </c>
      <c r="L792" t="str">
        <f t="shared" si="27"/>
        <v>E230</v>
      </c>
    </row>
    <row r="793" spans="1:12" x14ac:dyDescent="0.2">
      <c r="A793" s="26" t="s">
        <v>36</v>
      </c>
      <c r="B793" t="s">
        <v>69</v>
      </c>
      <c r="C793">
        <v>9</v>
      </c>
      <c r="D793" s="26" t="s">
        <v>400</v>
      </c>
      <c r="E793" t="s">
        <v>71</v>
      </c>
      <c r="F793">
        <v>16</v>
      </c>
      <c r="G793" t="str">
        <f t="shared" si="28"/>
        <v>CoStep9StepTimeT16</v>
      </c>
      <c r="J793" s="26" t="s">
        <v>74</v>
      </c>
      <c r="K793">
        <v>230</v>
      </c>
      <c r="L793" t="str">
        <f t="shared" si="27"/>
        <v>J230</v>
      </c>
    </row>
    <row r="794" spans="1:12" x14ac:dyDescent="0.2">
      <c r="A794" s="26" t="s">
        <v>36</v>
      </c>
      <c r="B794" t="s">
        <v>69</v>
      </c>
      <c r="C794">
        <v>9</v>
      </c>
      <c r="D794" s="26" t="s">
        <v>401</v>
      </c>
      <c r="E794" t="s">
        <v>71</v>
      </c>
      <c r="F794">
        <v>16</v>
      </c>
      <c r="G794" t="str">
        <f t="shared" si="28"/>
        <v>CoStep9DoubleSupportTimeT16</v>
      </c>
      <c r="J794" s="26" t="s">
        <v>75</v>
      </c>
      <c r="K794">
        <v>230</v>
      </c>
      <c r="L794" t="str">
        <f t="shared" si="27"/>
        <v>O230</v>
      </c>
    </row>
    <row r="795" spans="1:12" x14ac:dyDescent="0.2">
      <c r="A795" s="26" t="s">
        <v>36</v>
      </c>
      <c r="B795" t="s">
        <v>69</v>
      </c>
      <c r="C795">
        <v>9</v>
      </c>
      <c r="D795" s="26" t="s">
        <v>402</v>
      </c>
      <c r="E795" t="s">
        <v>71</v>
      </c>
      <c r="F795">
        <v>16</v>
      </c>
      <c r="G795" t="str">
        <f t="shared" si="28"/>
        <v>CoStep9StanceTimeT16</v>
      </c>
      <c r="J795" s="26" t="s">
        <v>71</v>
      </c>
      <c r="K795">
        <v>230</v>
      </c>
      <c r="L795" t="str">
        <f t="shared" si="27"/>
        <v>T230</v>
      </c>
    </row>
    <row r="796" spans="1:12" x14ac:dyDescent="0.2">
      <c r="A796" s="26" t="s">
        <v>36</v>
      </c>
      <c r="B796" t="s">
        <v>69</v>
      </c>
      <c r="C796">
        <v>10</v>
      </c>
      <c r="D796" s="26" t="s">
        <v>384</v>
      </c>
      <c r="E796" t="s">
        <v>71</v>
      </c>
      <c r="F796">
        <v>16</v>
      </c>
      <c r="G796" t="str">
        <f t="shared" si="28"/>
        <v>CoStep10ColorT16</v>
      </c>
      <c r="J796" s="26" t="s">
        <v>72</v>
      </c>
      <c r="K796">
        <v>255</v>
      </c>
      <c r="L796" t="str">
        <f t="shared" si="27"/>
        <v>B255</v>
      </c>
    </row>
    <row r="797" spans="1:12" x14ac:dyDescent="0.2">
      <c r="A797" s="26" t="s">
        <v>36</v>
      </c>
      <c r="B797" t="s">
        <v>69</v>
      </c>
      <c r="C797">
        <v>10</v>
      </c>
      <c r="D797" t="s">
        <v>68</v>
      </c>
      <c r="E797" t="s">
        <v>71</v>
      </c>
      <c r="F797">
        <v>16</v>
      </c>
      <c r="G797" t="str">
        <f t="shared" si="28"/>
        <v>CoStep10StepLengthT16</v>
      </c>
      <c r="J797" s="26" t="s">
        <v>73</v>
      </c>
      <c r="K797">
        <v>255</v>
      </c>
      <c r="L797" t="str">
        <f t="shared" si="27"/>
        <v>E255</v>
      </c>
    </row>
    <row r="798" spans="1:12" x14ac:dyDescent="0.2">
      <c r="A798" s="26" t="s">
        <v>36</v>
      </c>
      <c r="B798" t="s">
        <v>69</v>
      </c>
      <c r="C798">
        <v>10</v>
      </c>
      <c r="D798" s="26" t="s">
        <v>400</v>
      </c>
      <c r="E798" t="s">
        <v>71</v>
      </c>
      <c r="F798">
        <v>16</v>
      </c>
      <c r="G798" t="str">
        <f t="shared" si="28"/>
        <v>CoStep10StepTimeT16</v>
      </c>
      <c r="J798" s="26" t="s">
        <v>74</v>
      </c>
      <c r="K798">
        <v>255</v>
      </c>
      <c r="L798" t="str">
        <f t="shared" si="27"/>
        <v>J255</v>
      </c>
    </row>
    <row r="799" spans="1:12" x14ac:dyDescent="0.2">
      <c r="A799" s="26" t="s">
        <v>36</v>
      </c>
      <c r="B799" t="s">
        <v>69</v>
      </c>
      <c r="C799">
        <v>10</v>
      </c>
      <c r="D799" s="26" t="s">
        <v>401</v>
      </c>
      <c r="E799" t="s">
        <v>71</v>
      </c>
      <c r="F799">
        <v>16</v>
      </c>
      <c r="G799" t="str">
        <f t="shared" si="28"/>
        <v>CoStep10DoubleSupportTimeT16</v>
      </c>
      <c r="J799" s="26" t="s">
        <v>75</v>
      </c>
      <c r="K799">
        <v>255</v>
      </c>
      <c r="L799" t="str">
        <f t="shared" si="27"/>
        <v>O255</v>
      </c>
    </row>
    <row r="800" spans="1:12" x14ac:dyDescent="0.2">
      <c r="A800" s="26" t="s">
        <v>36</v>
      </c>
      <c r="B800" t="s">
        <v>69</v>
      </c>
      <c r="C800">
        <v>10</v>
      </c>
      <c r="D800" s="26" t="s">
        <v>402</v>
      </c>
      <c r="E800" t="s">
        <v>71</v>
      </c>
      <c r="F800">
        <v>16</v>
      </c>
      <c r="G800" t="str">
        <f t="shared" si="28"/>
        <v>CoStep10StanceTimeT16</v>
      </c>
      <c r="J800" s="26" t="s">
        <v>71</v>
      </c>
      <c r="K800">
        <v>255</v>
      </c>
      <c r="L800" t="str">
        <f t="shared" si="27"/>
        <v>T255</v>
      </c>
    </row>
    <row r="801" spans="1:12" x14ac:dyDescent="0.2">
      <c r="A801" s="26" t="s">
        <v>36</v>
      </c>
      <c r="B801" t="s">
        <v>69</v>
      </c>
      <c r="C801">
        <v>1</v>
      </c>
      <c r="D801" s="26" t="s">
        <v>384</v>
      </c>
      <c r="E801" t="s">
        <v>71</v>
      </c>
      <c r="F801">
        <v>17</v>
      </c>
      <c r="G801" t="str">
        <f t="shared" si="28"/>
        <v>CoStep1ColorT17</v>
      </c>
      <c r="J801" s="26" t="s">
        <v>72</v>
      </c>
      <c r="K801">
        <v>30</v>
      </c>
      <c r="L801" t="str">
        <f>J801&amp;K801</f>
        <v>B30</v>
      </c>
    </row>
    <row r="802" spans="1:12" x14ac:dyDescent="0.2">
      <c r="A802" s="26" t="s">
        <v>36</v>
      </c>
      <c r="B802" t="s">
        <v>69</v>
      </c>
      <c r="C802">
        <v>1</v>
      </c>
      <c r="D802" t="s">
        <v>68</v>
      </c>
      <c r="E802" t="s">
        <v>71</v>
      </c>
      <c r="F802">
        <v>17</v>
      </c>
      <c r="G802" t="str">
        <f t="shared" si="28"/>
        <v>CoStep1StepLengthT17</v>
      </c>
      <c r="J802" s="26" t="s">
        <v>73</v>
      </c>
      <c r="K802">
        <v>30</v>
      </c>
      <c r="L802" t="str">
        <f t="shared" ref="L802:L850" si="29">J802&amp;K802</f>
        <v>E30</v>
      </c>
    </row>
    <row r="803" spans="1:12" x14ac:dyDescent="0.2">
      <c r="A803" s="26" t="s">
        <v>36</v>
      </c>
      <c r="B803" t="s">
        <v>69</v>
      </c>
      <c r="C803">
        <v>1</v>
      </c>
      <c r="D803" s="26" t="s">
        <v>400</v>
      </c>
      <c r="E803" t="s">
        <v>71</v>
      </c>
      <c r="F803">
        <v>17</v>
      </c>
      <c r="G803" t="str">
        <f t="shared" si="28"/>
        <v>CoStep1StepTimeT17</v>
      </c>
      <c r="J803" s="26" t="s">
        <v>74</v>
      </c>
      <c r="K803">
        <v>30</v>
      </c>
      <c r="L803" t="str">
        <f t="shared" si="29"/>
        <v>J30</v>
      </c>
    </row>
    <row r="804" spans="1:12" x14ac:dyDescent="0.2">
      <c r="A804" s="26" t="s">
        <v>36</v>
      </c>
      <c r="B804" t="s">
        <v>69</v>
      </c>
      <c r="C804">
        <v>1</v>
      </c>
      <c r="D804" s="26" t="s">
        <v>401</v>
      </c>
      <c r="E804" t="s">
        <v>71</v>
      </c>
      <c r="F804">
        <v>17</v>
      </c>
      <c r="G804" t="str">
        <f t="shared" si="28"/>
        <v>CoStep1DoubleSupportTimeT17</v>
      </c>
      <c r="J804" s="26" t="s">
        <v>75</v>
      </c>
      <c r="K804">
        <v>30</v>
      </c>
      <c r="L804" t="str">
        <f t="shared" si="29"/>
        <v>O30</v>
      </c>
    </row>
    <row r="805" spans="1:12" x14ac:dyDescent="0.2">
      <c r="A805" s="26" t="s">
        <v>36</v>
      </c>
      <c r="B805" t="s">
        <v>69</v>
      </c>
      <c r="C805">
        <v>1</v>
      </c>
      <c r="D805" s="26" t="s">
        <v>402</v>
      </c>
      <c r="E805" t="s">
        <v>71</v>
      </c>
      <c r="F805">
        <v>17</v>
      </c>
      <c r="G805" t="str">
        <f t="shared" si="28"/>
        <v>CoStep1StanceTimeT17</v>
      </c>
      <c r="J805" s="26" t="s">
        <v>71</v>
      </c>
      <c r="K805">
        <v>30</v>
      </c>
      <c r="L805" t="str">
        <f t="shared" si="29"/>
        <v>T30</v>
      </c>
    </row>
    <row r="806" spans="1:12" x14ac:dyDescent="0.2">
      <c r="A806" s="26" t="s">
        <v>36</v>
      </c>
      <c r="B806" t="s">
        <v>69</v>
      </c>
      <c r="C806">
        <v>2</v>
      </c>
      <c r="D806" s="26" t="s">
        <v>384</v>
      </c>
      <c r="E806" t="s">
        <v>71</v>
      </c>
      <c r="F806">
        <v>17</v>
      </c>
      <c r="G806" t="str">
        <f t="shared" si="28"/>
        <v>CoStep2ColorT17</v>
      </c>
      <c r="J806" s="26" t="s">
        <v>72</v>
      </c>
      <c r="K806">
        <v>55</v>
      </c>
      <c r="L806" t="str">
        <f t="shared" si="29"/>
        <v>B55</v>
      </c>
    </row>
    <row r="807" spans="1:12" x14ac:dyDescent="0.2">
      <c r="A807" s="26" t="s">
        <v>36</v>
      </c>
      <c r="B807" t="s">
        <v>69</v>
      </c>
      <c r="C807">
        <v>2</v>
      </c>
      <c r="D807" t="s">
        <v>68</v>
      </c>
      <c r="E807" t="s">
        <v>71</v>
      </c>
      <c r="F807">
        <v>17</v>
      </c>
      <c r="G807" t="str">
        <f t="shared" si="28"/>
        <v>CoStep2StepLengthT17</v>
      </c>
      <c r="J807" s="26" t="s">
        <v>73</v>
      </c>
      <c r="K807">
        <v>55</v>
      </c>
      <c r="L807" t="str">
        <f t="shared" si="29"/>
        <v>E55</v>
      </c>
    </row>
    <row r="808" spans="1:12" x14ac:dyDescent="0.2">
      <c r="A808" s="26" t="s">
        <v>36</v>
      </c>
      <c r="B808" t="s">
        <v>69</v>
      </c>
      <c r="C808">
        <v>2</v>
      </c>
      <c r="D808" s="26" t="s">
        <v>400</v>
      </c>
      <c r="E808" t="s">
        <v>71</v>
      </c>
      <c r="F808">
        <v>17</v>
      </c>
      <c r="G808" t="str">
        <f t="shared" si="28"/>
        <v>CoStep2StepTimeT17</v>
      </c>
      <c r="J808" s="26" t="s">
        <v>74</v>
      </c>
      <c r="K808">
        <v>55</v>
      </c>
      <c r="L808" t="str">
        <f t="shared" si="29"/>
        <v>J55</v>
      </c>
    </row>
    <row r="809" spans="1:12" x14ac:dyDescent="0.2">
      <c r="A809" s="26" t="s">
        <v>36</v>
      </c>
      <c r="B809" t="s">
        <v>69</v>
      </c>
      <c r="C809">
        <v>2</v>
      </c>
      <c r="D809" s="26" t="s">
        <v>401</v>
      </c>
      <c r="E809" t="s">
        <v>71</v>
      </c>
      <c r="F809">
        <v>17</v>
      </c>
      <c r="G809" t="str">
        <f t="shared" si="28"/>
        <v>CoStep2DoubleSupportTimeT17</v>
      </c>
      <c r="J809" s="26" t="s">
        <v>75</v>
      </c>
      <c r="K809">
        <v>55</v>
      </c>
      <c r="L809" t="str">
        <f t="shared" si="29"/>
        <v>O55</v>
      </c>
    </row>
    <row r="810" spans="1:12" x14ac:dyDescent="0.2">
      <c r="A810" s="26" t="s">
        <v>36</v>
      </c>
      <c r="B810" t="s">
        <v>69</v>
      </c>
      <c r="C810">
        <v>2</v>
      </c>
      <c r="D810" s="26" t="s">
        <v>402</v>
      </c>
      <c r="E810" t="s">
        <v>71</v>
      </c>
      <c r="F810">
        <v>17</v>
      </c>
      <c r="G810" t="str">
        <f t="shared" si="28"/>
        <v>CoStep2StanceTimeT17</v>
      </c>
      <c r="J810" s="26" t="s">
        <v>71</v>
      </c>
      <c r="K810">
        <v>55</v>
      </c>
      <c r="L810" t="str">
        <f t="shared" si="29"/>
        <v>T55</v>
      </c>
    </row>
    <row r="811" spans="1:12" x14ac:dyDescent="0.2">
      <c r="A811" s="26" t="s">
        <v>36</v>
      </c>
      <c r="B811" t="s">
        <v>69</v>
      </c>
      <c r="C811">
        <v>3</v>
      </c>
      <c r="D811" s="26" t="s">
        <v>384</v>
      </c>
      <c r="E811" t="s">
        <v>71</v>
      </c>
      <c r="F811">
        <v>17</v>
      </c>
      <c r="G811" t="str">
        <f t="shared" si="28"/>
        <v>CoStep3ColorT17</v>
      </c>
      <c r="J811" s="26" t="s">
        <v>72</v>
      </c>
      <c r="K811">
        <v>80</v>
      </c>
      <c r="L811" t="str">
        <f t="shared" si="29"/>
        <v>B80</v>
      </c>
    </row>
    <row r="812" spans="1:12" x14ac:dyDescent="0.2">
      <c r="A812" s="26" t="s">
        <v>36</v>
      </c>
      <c r="B812" t="s">
        <v>69</v>
      </c>
      <c r="C812">
        <v>3</v>
      </c>
      <c r="D812" t="s">
        <v>68</v>
      </c>
      <c r="E812" t="s">
        <v>71</v>
      </c>
      <c r="F812">
        <v>17</v>
      </c>
      <c r="G812" t="str">
        <f t="shared" si="28"/>
        <v>CoStep3StepLengthT17</v>
      </c>
      <c r="J812" s="26" t="s">
        <v>73</v>
      </c>
      <c r="K812">
        <v>80</v>
      </c>
      <c r="L812" t="str">
        <f t="shared" si="29"/>
        <v>E80</v>
      </c>
    </row>
    <row r="813" spans="1:12" x14ac:dyDescent="0.2">
      <c r="A813" s="26" t="s">
        <v>36</v>
      </c>
      <c r="B813" t="s">
        <v>69</v>
      </c>
      <c r="C813">
        <v>3</v>
      </c>
      <c r="D813" s="26" t="s">
        <v>400</v>
      </c>
      <c r="E813" t="s">
        <v>71</v>
      </c>
      <c r="F813">
        <v>17</v>
      </c>
      <c r="G813" t="str">
        <f t="shared" si="28"/>
        <v>CoStep3StepTimeT17</v>
      </c>
      <c r="J813" s="26" t="s">
        <v>74</v>
      </c>
      <c r="K813">
        <v>80</v>
      </c>
      <c r="L813" t="str">
        <f t="shared" si="29"/>
        <v>J80</v>
      </c>
    </row>
    <row r="814" spans="1:12" x14ac:dyDescent="0.2">
      <c r="A814" s="26" t="s">
        <v>36</v>
      </c>
      <c r="B814" t="s">
        <v>69</v>
      </c>
      <c r="C814">
        <v>3</v>
      </c>
      <c r="D814" s="26" t="s">
        <v>401</v>
      </c>
      <c r="E814" t="s">
        <v>71</v>
      </c>
      <c r="F814">
        <v>17</v>
      </c>
      <c r="G814" t="str">
        <f t="shared" si="28"/>
        <v>CoStep3DoubleSupportTimeT17</v>
      </c>
      <c r="J814" s="26" t="s">
        <v>75</v>
      </c>
      <c r="K814">
        <v>80</v>
      </c>
      <c r="L814" t="str">
        <f t="shared" si="29"/>
        <v>O80</v>
      </c>
    </row>
    <row r="815" spans="1:12" x14ac:dyDescent="0.2">
      <c r="A815" s="26" t="s">
        <v>36</v>
      </c>
      <c r="B815" t="s">
        <v>69</v>
      </c>
      <c r="C815">
        <v>3</v>
      </c>
      <c r="D815" s="26" t="s">
        <v>402</v>
      </c>
      <c r="E815" t="s">
        <v>71</v>
      </c>
      <c r="F815">
        <v>17</v>
      </c>
      <c r="G815" t="str">
        <f t="shared" si="28"/>
        <v>CoStep3StanceTimeT17</v>
      </c>
      <c r="J815" s="26" t="s">
        <v>71</v>
      </c>
      <c r="K815">
        <v>80</v>
      </c>
      <c r="L815" t="str">
        <f t="shared" si="29"/>
        <v>T80</v>
      </c>
    </row>
    <row r="816" spans="1:12" x14ac:dyDescent="0.2">
      <c r="A816" s="26" t="s">
        <v>36</v>
      </c>
      <c r="B816" t="s">
        <v>69</v>
      </c>
      <c r="C816">
        <v>4</v>
      </c>
      <c r="D816" s="26" t="s">
        <v>384</v>
      </c>
      <c r="E816" t="s">
        <v>71</v>
      </c>
      <c r="F816">
        <v>17</v>
      </c>
      <c r="G816" t="str">
        <f t="shared" si="28"/>
        <v>CoStep4ColorT17</v>
      </c>
      <c r="J816" s="26" t="s">
        <v>72</v>
      </c>
      <c r="K816">
        <v>105</v>
      </c>
      <c r="L816" t="str">
        <f t="shared" si="29"/>
        <v>B105</v>
      </c>
    </row>
    <row r="817" spans="1:12" x14ac:dyDescent="0.2">
      <c r="A817" s="26" t="s">
        <v>36</v>
      </c>
      <c r="B817" t="s">
        <v>69</v>
      </c>
      <c r="C817">
        <v>4</v>
      </c>
      <c r="D817" t="s">
        <v>68</v>
      </c>
      <c r="E817" t="s">
        <v>71</v>
      </c>
      <c r="F817">
        <v>17</v>
      </c>
      <c r="G817" t="str">
        <f t="shared" si="28"/>
        <v>CoStep4StepLengthT17</v>
      </c>
      <c r="J817" s="26" t="s">
        <v>73</v>
      </c>
      <c r="K817">
        <v>105</v>
      </c>
      <c r="L817" t="str">
        <f t="shared" si="29"/>
        <v>E105</v>
      </c>
    </row>
    <row r="818" spans="1:12" x14ac:dyDescent="0.2">
      <c r="A818" s="26" t="s">
        <v>36</v>
      </c>
      <c r="B818" t="s">
        <v>69</v>
      </c>
      <c r="C818">
        <v>4</v>
      </c>
      <c r="D818" s="26" t="s">
        <v>400</v>
      </c>
      <c r="E818" t="s">
        <v>71</v>
      </c>
      <c r="F818">
        <v>17</v>
      </c>
      <c r="G818" t="str">
        <f t="shared" si="28"/>
        <v>CoStep4StepTimeT17</v>
      </c>
      <c r="J818" s="26" t="s">
        <v>74</v>
      </c>
      <c r="K818">
        <v>105</v>
      </c>
      <c r="L818" t="str">
        <f t="shared" si="29"/>
        <v>J105</v>
      </c>
    </row>
    <row r="819" spans="1:12" x14ac:dyDescent="0.2">
      <c r="A819" s="26" t="s">
        <v>36</v>
      </c>
      <c r="B819" t="s">
        <v>69</v>
      </c>
      <c r="C819">
        <v>4</v>
      </c>
      <c r="D819" s="26" t="s">
        <v>401</v>
      </c>
      <c r="E819" t="s">
        <v>71</v>
      </c>
      <c r="F819">
        <v>17</v>
      </c>
      <c r="G819" t="str">
        <f t="shared" si="28"/>
        <v>CoStep4DoubleSupportTimeT17</v>
      </c>
      <c r="J819" s="26" t="s">
        <v>75</v>
      </c>
      <c r="K819">
        <v>105</v>
      </c>
      <c r="L819" t="str">
        <f t="shared" si="29"/>
        <v>O105</v>
      </c>
    </row>
    <row r="820" spans="1:12" x14ac:dyDescent="0.2">
      <c r="A820" s="26" t="s">
        <v>36</v>
      </c>
      <c r="B820" t="s">
        <v>69</v>
      </c>
      <c r="C820">
        <v>4</v>
      </c>
      <c r="D820" s="26" t="s">
        <v>402</v>
      </c>
      <c r="E820" t="s">
        <v>71</v>
      </c>
      <c r="F820">
        <v>17</v>
      </c>
      <c r="G820" t="str">
        <f t="shared" si="28"/>
        <v>CoStep4StanceTimeT17</v>
      </c>
      <c r="J820" s="26" t="s">
        <v>71</v>
      </c>
      <c r="K820">
        <v>105</v>
      </c>
      <c r="L820" t="str">
        <f t="shared" si="29"/>
        <v>T105</v>
      </c>
    </row>
    <row r="821" spans="1:12" x14ac:dyDescent="0.2">
      <c r="A821" s="26" t="s">
        <v>36</v>
      </c>
      <c r="B821" t="s">
        <v>69</v>
      </c>
      <c r="C821">
        <v>5</v>
      </c>
      <c r="D821" s="26" t="s">
        <v>384</v>
      </c>
      <c r="E821" t="s">
        <v>71</v>
      </c>
      <c r="F821">
        <v>17</v>
      </c>
      <c r="G821" t="str">
        <f t="shared" si="28"/>
        <v>CoStep5ColorT17</v>
      </c>
      <c r="J821" s="26" t="s">
        <v>72</v>
      </c>
      <c r="K821">
        <v>130</v>
      </c>
      <c r="L821" t="str">
        <f t="shared" si="29"/>
        <v>B130</v>
      </c>
    </row>
    <row r="822" spans="1:12" x14ac:dyDescent="0.2">
      <c r="A822" s="26" t="s">
        <v>36</v>
      </c>
      <c r="B822" t="s">
        <v>69</v>
      </c>
      <c r="C822">
        <v>5</v>
      </c>
      <c r="D822" t="s">
        <v>68</v>
      </c>
      <c r="E822" t="s">
        <v>71</v>
      </c>
      <c r="F822">
        <v>17</v>
      </c>
      <c r="G822" t="str">
        <f t="shared" si="28"/>
        <v>CoStep5StepLengthT17</v>
      </c>
      <c r="J822" s="26" t="s">
        <v>73</v>
      </c>
      <c r="K822">
        <v>130</v>
      </c>
      <c r="L822" t="str">
        <f t="shared" si="29"/>
        <v>E130</v>
      </c>
    </row>
    <row r="823" spans="1:12" x14ac:dyDescent="0.2">
      <c r="A823" s="26" t="s">
        <v>36</v>
      </c>
      <c r="B823" t="s">
        <v>69</v>
      </c>
      <c r="C823">
        <v>5</v>
      </c>
      <c r="D823" s="26" t="s">
        <v>400</v>
      </c>
      <c r="E823" t="s">
        <v>71</v>
      </c>
      <c r="F823">
        <v>17</v>
      </c>
      <c r="G823" t="str">
        <f t="shared" si="28"/>
        <v>CoStep5StepTimeT17</v>
      </c>
      <c r="J823" s="26" t="s">
        <v>74</v>
      </c>
      <c r="K823">
        <v>130</v>
      </c>
      <c r="L823" t="str">
        <f t="shared" si="29"/>
        <v>J130</v>
      </c>
    </row>
    <row r="824" spans="1:12" x14ac:dyDescent="0.2">
      <c r="A824" s="26" t="s">
        <v>36</v>
      </c>
      <c r="B824" t="s">
        <v>69</v>
      </c>
      <c r="C824">
        <v>5</v>
      </c>
      <c r="D824" s="26" t="s">
        <v>401</v>
      </c>
      <c r="E824" t="s">
        <v>71</v>
      </c>
      <c r="F824">
        <v>17</v>
      </c>
      <c r="G824" t="str">
        <f t="shared" si="28"/>
        <v>CoStep5DoubleSupportTimeT17</v>
      </c>
      <c r="J824" s="26" t="s">
        <v>75</v>
      </c>
      <c r="K824">
        <v>130</v>
      </c>
      <c r="L824" t="str">
        <f t="shared" si="29"/>
        <v>O130</v>
      </c>
    </row>
    <row r="825" spans="1:12" x14ac:dyDescent="0.2">
      <c r="A825" s="26" t="s">
        <v>36</v>
      </c>
      <c r="B825" t="s">
        <v>69</v>
      </c>
      <c r="C825">
        <v>5</v>
      </c>
      <c r="D825" s="26" t="s">
        <v>402</v>
      </c>
      <c r="E825" t="s">
        <v>71</v>
      </c>
      <c r="F825">
        <v>17</v>
      </c>
      <c r="G825" t="str">
        <f t="shared" si="28"/>
        <v>CoStep5StanceTimeT17</v>
      </c>
      <c r="J825" s="26" t="s">
        <v>71</v>
      </c>
      <c r="K825">
        <v>130</v>
      </c>
      <c r="L825" t="str">
        <f t="shared" si="29"/>
        <v>T130</v>
      </c>
    </row>
    <row r="826" spans="1:12" x14ac:dyDescent="0.2">
      <c r="A826" s="26" t="s">
        <v>36</v>
      </c>
      <c r="B826" t="s">
        <v>69</v>
      </c>
      <c r="C826">
        <v>6</v>
      </c>
      <c r="D826" s="26" t="s">
        <v>384</v>
      </c>
      <c r="E826" t="s">
        <v>71</v>
      </c>
      <c r="F826">
        <v>17</v>
      </c>
      <c r="G826" t="str">
        <f t="shared" si="28"/>
        <v>CoStep6ColorT17</v>
      </c>
      <c r="J826" s="26" t="s">
        <v>72</v>
      </c>
      <c r="K826">
        <v>155</v>
      </c>
      <c r="L826" t="str">
        <f t="shared" si="29"/>
        <v>B155</v>
      </c>
    </row>
    <row r="827" spans="1:12" x14ac:dyDescent="0.2">
      <c r="A827" s="26" t="s">
        <v>36</v>
      </c>
      <c r="B827" t="s">
        <v>69</v>
      </c>
      <c r="C827">
        <v>6</v>
      </c>
      <c r="D827" t="s">
        <v>68</v>
      </c>
      <c r="E827" t="s">
        <v>71</v>
      </c>
      <c r="F827">
        <v>17</v>
      </c>
      <c r="G827" t="str">
        <f t="shared" si="28"/>
        <v>CoStep6StepLengthT17</v>
      </c>
      <c r="J827" s="26" t="s">
        <v>73</v>
      </c>
      <c r="K827">
        <v>155</v>
      </c>
      <c r="L827" t="str">
        <f t="shared" si="29"/>
        <v>E155</v>
      </c>
    </row>
    <row r="828" spans="1:12" x14ac:dyDescent="0.2">
      <c r="A828" s="26" t="s">
        <v>36</v>
      </c>
      <c r="B828" t="s">
        <v>69</v>
      </c>
      <c r="C828">
        <v>6</v>
      </c>
      <c r="D828" s="26" t="s">
        <v>400</v>
      </c>
      <c r="E828" t="s">
        <v>71</v>
      </c>
      <c r="F828">
        <v>17</v>
      </c>
      <c r="G828" t="str">
        <f t="shared" si="28"/>
        <v>CoStep6StepTimeT17</v>
      </c>
      <c r="J828" s="26" t="s">
        <v>74</v>
      </c>
      <c r="K828">
        <v>155</v>
      </c>
      <c r="L828" t="str">
        <f t="shared" si="29"/>
        <v>J155</v>
      </c>
    </row>
    <row r="829" spans="1:12" x14ac:dyDescent="0.2">
      <c r="A829" s="26" t="s">
        <v>36</v>
      </c>
      <c r="B829" t="s">
        <v>69</v>
      </c>
      <c r="C829">
        <v>6</v>
      </c>
      <c r="D829" s="26" t="s">
        <v>401</v>
      </c>
      <c r="E829" t="s">
        <v>71</v>
      </c>
      <c r="F829">
        <v>17</v>
      </c>
      <c r="G829" t="str">
        <f t="shared" si="28"/>
        <v>CoStep6DoubleSupportTimeT17</v>
      </c>
      <c r="J829" s="26" t="s">
        <v>75</v>
      </c>
      <c r="K829">
        <v>155</v>
      </c>
      <c r="L829" t="str">
        <f t="shared" si="29"/>
        <v>O155</v>
      </c>
    </row>
    <row r="830" spans="1:12" x14ac:dyDescent="0.2">
      <c r="A830" s="26" t="s">
        <v>36</v>
      </c>
      <c r="B830" t="s">
        <v>69</v>
      </c>
      <c r="C830">
        <v>6</v>
      </c>
      <c r="D830" s="26" t="s">
        <v>402</v>
      </c>
      <c r="E830" t="s">
        <v>71</v>
      </c>
      <c r="F830">
        <v>17</v>
      </c>
      <c r="G830" t="str">
        <f t="shared" si="28"/>
        <v>CoStep6StanceTimeT17</v>
      </c>
      <c r="J830" s="26" t="s">
        <v>71</v>
      </c>
      <c r="K830">
        <v>155</v>
      </c>
      <c r="L830" t="str">
        <f t="shared" si="29"/>
        <v>T155</v>
      </c>
    </row>
    <row r="831" spans="1:12" x14ac:dyDescent="0.2">
      <c r="A831" s="26" t="s">
        <v>36</v>
      </c>
      <c r="B831" t="s">
        <v>69</v>
      </c>
      <c r="C831">
        <v>7</v>
      </c>
      <c r="D831" s="26" t="s">
        <v>384</v>
      </c>
      <c r="E831" t="s">
        <v>71</v>
      </c>
      <c r="F831">
        <v>17</v>
      </c>
      <c r="G831" t="str">
        <f t="shared" si="28"/>
        <v>CoStep7ColorT17</v>
      </c>
      <c r="J831" s="26" t="s">
        <v>72</v>
      </c>
      <c r="K831">
        <v>188</v>
      </c>
      <c r="L831" t="str">
        <f t="shared" si="29"/>
        <v>B188</v>
      </c>
    </row>
    <row r="832" spans="1:12" x14ac:dyDescent="0.2">
      <c r="A832" s="26" t="s">
        <v>36</v>
      </c>
      <c r="B832" t="s">
        <v>69</v>
      </c>
      <c r="C832">
        <v>7</v>
      </c>
      <c r="D832" t="s">
        <v>68</v>
      </c>
      <c r="E832" t="s">
        <v>71</v>
      </c>
      <c r="F832">
        <v>17</v>
      </c>
      <c r="G832" t="str">
        <f t="shared" si="28"/>
        <v>CoStep7StepLengthT17</v>
      </c>
      <c r="J832" s="26" t="s">
        <v>73</v>
      </c>
      <c r="K832">
        <v>188</v>
      </c>
      <c r="L832" t="str">
        <f t="shared" si="29"/>
        <v>E188</v>
      </c>
    </row>
    <row r="833" spans="1:12" x14ac:dyDescent="0.2">
      <c r="A833" s="26" t="s">
        <v>36</v>
      </c>
      <c r="B833" t="s">
        <v>69</v>
      </c>
      <c r="C833">
        <v>7</v>
      </c>
      <c r="D833" s="26" t="s">
        <v>400</v>
      </c>
      <c r="E833" t="s">
        <v>71</v>
      </c>
      <c r="F833">
        <v>17</v>
      </c>
      <c r="G833" t="str">
        <f t="shared" si="28"/>
        <v>CoStep7StepTimeT17</v>
      </c>
      <c r="J833" s="26" t="s">
        <v>74</v>
      </c>
      <c r="K833">
        <v>188</v>
      </c>
      <c r="L833" t="str">
        <f t="shared" si="29"/>
        <v>J188</v>
      </c>
    </row>
    <row r="834" spans="1:12" x14ac:dyDescent="0.2">
      <c r="A834" s="26" t="s">
        <v>36</v>
      </c>
      <c r="B834" t="s">
        <v>69</v>
      </c>
      <c r="C834">
        <v>7</v>
      </c>
      <c r="D834" s="26" t="s">
        <v>401</v>
      </c>
      <c r="E834" t="s">
        <v>71</v>
      </c>
      <c r="F834">
        <v>17</v>
      </c>
      <c r="G834" t="str">
        <f t="shared" si="28"/>
        <v>CoStep7DoubleSupportTimeT17</v>
      </c>
      <c r="J834" s="26" t="s">
        <v>75</v>
      </c>
      <c r="K834">
        <v>188</v>
      </c>
      <c r="L834" t="str">
        <f t="shared" si="29"/>
        <v>O188</v>
      </c>
    </row>
    <row r="835" spans="1:12" x14ac:dyDescent="0.2">
      <c r="A835" s="26" t="s">
        <v>36</v>
      </c>
      <c r="B835" t="s">
        <v>69</v>
      </c>
      <c r="C835">
        <v>7</v>
      </c>
      <c r="D835" s="26" t="s">
        <v>402</v>
      </c>
      <c r="E835" t="s">
        <v>71</v>
      </c>
      <c r="F835">
        <v>17</v>
      </c>
      <c r="G835" t="str">
        <f t="shared" si="28"/>
        <v>CoStep7StanceTimeT17</v>
      </c>
      <c r="J835" s="26" t="s">
        <v>71</v>
      </c>
      <c r="K835">
        <v>188</v>
      </c>
      <c r="L835" t="str">
        <f t="shared" si="29"/>
        <v>T188</v>
      </c>
    </row>
    <row r="836" spans="1:12" x14ac:dyDescent="0.2">
      <c r="A836" s="26" t="s">
        <v>36</v>
      </c>
      <c r="B836" t="s">
        <v>69</v>
      </c>
      <c r="C836">
        <v>8</v>
      </c>
      <c r="D836" s="26" t="s">
        <v>384</v>
      </c>
      <c r="E836" t="s">
        <v>71</v>
      </c>
      <c r="F836">
        <v>17</v>
      </c>
      <c r="G836" t="str">
        <f t="shared" si="28"/>
        <v>CoStep8ColorT17</v>
      </c>
      <c r="J836" s="26" t="s">
        <v>72</v>
      </c>
      <c r="K836">
        <v>205</v>
      </c>
      <c r="L836" t="str">
        <f t="shared" si="29"/>
        <v>B205</v>
      </c>
    </row>
    <row r="837" spans="1:12" x14ac:dyDescent="0.2">
      <c r="A837" s="26" t="s">
        <v>36</v>
      </c>
      <c r="B837" t="s">
        <v>69</v>
      </c>
      <c r="C837">
        <v>8</v>
      </c>
      <c r="D837" t="s">
        <v>68</v>
      </c>
      <c r="E837" t="s">
        <v>71</v>
      </c>
      <c r="F837">
        <v>17</v>
      </c>
      <c r="G837" t="str">
        <f t="shared" si="28"/>
        <v>CoStep8StepLengthT17</v>
      </c>
      <c r="J837" s="26" t="s">
        <v>73</v>
      </c>
      <c r="K837">
        <v>205</v>
      </c>
      <c r="L837" t="str">
        <f t="shared" si="29"/>
        <v>E205</v>
      </c>
    </row>
    <row r="838" spans="1:12" x14ac:dyDescent="0.2">
      <c r="A838" s="26" t="s">
        <v>36</v>
      </c>
      <c r="B838" t="s">
        <v>69</v>
      </c>
      <c r="C838">
        <v>8</v>
      </c>
      <c r="D838" s="26" t="s">
        <v>400</v>
      </c>
      <c r="E838" t="s">
        <v>71</v>
      </c>
      <c r="F838">
        <v>17</v>
      </c>
      <c r="G838" t="str">
        <f t="shared" ref="G838:G901" si="30">A838&amp;B838&amp;C838&amp;D838&amp;E838&amp;F838</f>
        <v>CoStep8StepTimeT17</v>
      </c>
      <c r="J838" s="26" t="s">
        <v>74</v>
      </c>
      <c r="K838">
        <v>205</v>
      </c>
      <c r="L838" t="str">
        <f t="shared" si="29"/>
        <v>J205</v>
      </c>
    </row>
    <row r="839" spans="1:12" x14ac:dyDescent="0.2">
      <c r="A839" s="26" t="s">
        <v>36</v>
      </c>
      <c r="B839" t="s">
        <v>69</v>
      </c>
      <c r="C839">
        <v>8</v>
      </c>
      <c r="D839" s="26" t="s">
        <v>401</v>
      </c>
      <c r="E839" t="s">
        <v>71</v>
      </c>
      <c r="F839">
        <v>17</v>
      </c>
      <c r="G839" t="str">
        <f t="shared" si="30"/>
        <v>CoStep8DoubleSupportTimeT17</v>
      </c>
      <c r="J839" s="26" t="s">
        <v>75</v>
      </c>
      <c r="K839">
        <v>205</v>
      </c>
      <c r="L839" t="str">
        <f t="shared" si="29"/>
        <v>O205</v>
      </c>
    </row>
    <row r="840" spans="1:12" x14ac:dyDescent="0.2">
      <c r="A840" s="26" t="s">
        <v>36</v>
      </c>
      <c r="B840" t="s">
        <v>69</v>
      </c>
      <c r="C840">
        <v>8</v>
      </c>
      <c r="D840" s="26" t="s">
        <v>402</v>
      </c>
      <c r="E840" t="s">
        <v>71</v>
      </c>
      <c r="F840">
        <v>17</v>
      </c>
      <c r="G840" t="str">
        <f t="shared" si="30"/>
        <v>CoStep8StanceTimeT17</v>
      </c>
      <c r="J840" s="26" t="s">
        <v>71</v>
      </c>
      <c r="K840">
        <v>205</v>
      </c>
      <c r="L840" t="str">
        <f t="shared" si="29"/>
        <v>T205</v>
      </c>
    </row>
    <row r="841" spans="1:12" x14ac:dyDescent="0.2">
      <c r="A841" s="26" t="s">
        <v>36</v>
      </c>
      <c r="B841" t="s">
        <v>69</v>
      </c>
      <c r="C841">
        <v>9</v>
      </c>
      <c r="D841" s="26" t="s">
        <v>384</v>
      </c>
      <c r="E841" t="s">
        <v>71</v>
      </c>
      <c r="F841">
        <v>17</v>
      </c>
      <c r="G841" t="str">
        <f t="shared" si="30"/>
        <v>CoStep9ColorT17</v>
      </c>
      <c r="J841" s="26" t="s">
        <v>72</v>
      </c>
      <c r="K841">
        <v>230</v>
      </c>
      <c r="L841" t="str">
        <f t="shared" si="29"/>
        <v>B230</v>
      </c>
    </row>
    <row r="842" spans="1:12" x14ac:dyDescent="0.2">
      <c r="A842" s="26" t="s">
        <v>36</v>
      </c>
      <c r="B842" t="s">
        <v>69</v>
      </c>
      <c r="C842">
        <v>9</v>
      </c>
      <c r="D842" t="s">
        <v>68</v>
      </c>
      <c r="E842" t="s">
        <v>71</v>
      </c>
      <c r="F842">
        <v>17</v>
      </c>
      <c r="G842" t="str">
        <f t="shared" si="30"/>
        <v>CoStep9StepLengthT17</v>
      </c>
      <c r="J842" s="26" t="s">
        <v>73</v>
      </c>
      <c r="K842">
        <v>230</v>
      </c>
      <c r="L842" t="str">
        <f t="shared" si="29"/>
        <v>E230</v>
      </c>
    </row>
    <row r="843" spans="1:12" x14ac:dyDescent="0.2">
      <c r="A843" s="26" t="s">
        <v>36</v>
      </c>
      <c r="B843" t="s">
        <v>69</v>
      </c>
      <c r="C843">
        <v>9</v>
      </c>
      <c r="D843" s="26" t="s">
        <v>400</v>
      </c>
      <c r="E843" t="s">
        <v>71</v>
      </c>
      <c r="F843">
        <v>17</v>
      </c>
      <c r="G843" t="str">
        <f t="shared" si="30"/>
        <v>CoStep9StepTimeT17</v>
      </c>
      <c r="J843" s="26" t="s">
        <v>74</v>
      </c>
      <c r="K843">
        <v>230</v>
      </c>
      <c r="L843" t="str">
        <f t="shared" si="29"/>
        <v>J230</v>
      </c>
    </row>
    <row r="844" spans="1:12" x14ac:dyDescent="0.2">
      <c r="A844" s="26" t="s">
        <v>36</v>
      </c>
      <c r="B844" t="s">
        <v>69</v>
      </c>
      <c r="C844">
        <v>9</v>
      </c>
      <c r="D844" s="26" t="s">
        <v>401</v>
      </c>
      <c r="E844" t="s">
        <v>71</v>
      </c>
      <c r="F844">
        <v>17</v>
      </c>
      <c r="G844" t="str">
        <f t="shared" si="30"/>
        <v>CoStep9DoubleSupportTimeT17</v>
      </c>
      <c r="J844" s="26" t="s">
        <v>75</v>
      </c>
      <c r="K844">
        <v>230</v>
      </c>
      <c r="L844" t="str">
        <f t="shared" si="29"/>
        <v>O230</v>
      </c>
    </row>
    <row r="845" spans="1:12" x14ac:dyDescent="0.2">
      <c r="A845" s="26" t="s">
        <v>36</v>
      </c>
      <c r="B845" t="s">
        <v>69</v>
      </c>
      <c r="C845">
        <v>9</v>
      </c>
      <c r="D845" s="26" t="s">
        <v>402</v>
      </c>
      <c r="E845" t="s">
        <v>71</v>
      </c>
      <c r="F845">
        <v>17</v>
      </c>
      <c r="G845" t="str">
        <f t="shared" si="30"/>
        <v>CoStep9StanceTimeT17</v>
      </c>
      <c r="J845" s="26" t="s">
        <v>71</v>
      </c>
      <c r="K845">
        <v>230</v>
      </c>
      <c r="L845" t="str">
        <f t="shared" si="29"/>
        <v>T230</v>
      </c>
    </row>
    <row r="846" spans="1:12" x14ac:dyDescent="0.2">
      <c r="A846" s="26" t="s">
        <v>36</v>
      </c>
      <c r="B846" t="s">
        <v>69</v>
      </c>
      <c r="C846">
        <v>10</v>
      </c>
      <c r="D846" s="26" t="s">
        <v>384</v>
      </c>
      <c r="E846" t="s">
        <v>71</v>
      </c>
      <c r="F846">
        <v>17</v>
      </c>
      <c r="G846" t="str">
        <f t="shared" si="30"/>
        <v>CoStep10ColorT17</v>
      </c>
      <c r="J846" s="26" t="s">
        <v>72</v>
      </c>
      <c r="K846">
        <v>255</v>
      </c>
      <c r="L846" t="str">
        <f t="shared" si="29"/>
        <v>B255</v>
      </c>
    </row>
    <row r="847" spans="1:12" x14ac:dyDescent="0.2">
      <c r="A847" s="26" t="s">
        <v>36</v>
      </c>
      <c r="B847" t="s">
        <v>69</v>
      </c>
      <c r="C847">
        <v>10</v>
      </c>
      <c r="D847" t="s">
        <v>68</v>
      </c>
      <c r="E847" t="s">
        <v>71</v>
      </c>
      <c r="F847">
        <v>17</v>
      </c>
      <c r="G847" t="str">
        <f t="shared" si="30"/>
        <v>CoStep10StepLengthT17</v>
      </c>
      <c r="J847" s="26" t="s">
        <v>73</v>
      </c>
      <c r="K847">
        <v>255</v>
      </c>
      <c r="L847" t="str">
        <f t="shared" si="29"/>
        <v>E255</v>
      </c>
    </row>
    <row r="848" spans="1:12" x14ac:dyDescent="0.2">
      <c r="A848" s="26" t="s">
        <v>36</v>
      </c>
      <c r="B848" t="s">
        <v>69</v>
      </c>
      <c r="C848">
        <v>10</v>
      </c>
      <c r="D848" s="26" t="s">
        <v>400</v>
      </c>
      <c r="E848" t="s">
        <v>71</v>
      </c>
      <c r="F848">
        <v>17</v>
      </c>
      <c r="G848" t="str">
        <f t="shared" si="30"/>
        <v>CoStep10StepTimeT17</v>
      </c>
      <c r="J848" s="26" t="s">
        <v>74</v>
      </c>
      <c r="K848">
        <v>255</v>
      </c>
      <c r="L848" t="str">
        <f t="shared" si="29"/>
        <v>J255</v>
      </c>
    </row>
    <row r="849" spans="1:12" x14ac:dyDescent="0.2">
      <c r="A849" s="26" t="s">
        <v>36</v>
      </c>
      <c r="B849" t="s">
        <v>69</v>
      </c>
      <c r="C849">
        <v>10</v>
      </c>
      <c r="D849" s="26" t="s">
        <v>401</v>
      </c>
      <c r="E849" t="s">
        <v>71</v>
      </c>
      <c r="F849">
        <v>17</v>
      </c>
      <c r="G849" t="str">
        <f t="shared" si="30"/>
        <v>CoStep10DoubleSupportTimeT17</v>
      </c>
      <c r="J849" s="26" t="s">
        <v>75</v>
      </c>
      <c r="K849">
        <v>255</v>
      </c>
      <c r="L849" t="str">
        <f t="shared" si="29"/>
        <v>O255</v>
      </c>
    </row>
    <row r="850" spans="1:12" x14ac:dyDescent="0.2">
      <c r="A850" s="26" t="s">
        <v>36</v>
      </c>
      <c r="B850" t="s">
        <v>69</v>
      </c>
      <c r="C850">
        <v>10</v>
      </c>
      <c r="D850" s="26" t="s">
        <v>402</v>
      </c>
      <c r="E850" t="s">
        <v>71</v>
      </c>
      <c r="F850">
        <v>17</v>
      </c>
      <c r="G850" t="str">
        <f t="shared" si="30"/>
        <v>CoStep10StanceTimeT17</v>
      </c>
      <c r="J850" s="26" t="s">
        <v>71</v>
      </c>
      <c r="K850">
        <v>255</v>
      </c>
      <c r="L850" t="str">
        <f t="shared" si="29"/>
        <v>T255</v>
      </c>
    </row>
    <row r="851" spans="1:12" x14ac:dyDescent="0.2">
      <c r="A851" s="26" t="s">
        <v>36</v>
      </c>
      <c r="B851" t="s">
        <v>69</v>
      </c>
      <c r="C851">
        <v>1</v>
      </c>
      <c r="D851" s="26" t="s">
        <v>384</v>
      </c>
      <c r="E851" t="s">
        <v>71</v>
      </c>
      <c r="F851">
        <v>18</v>
      </c>
      <c r="G851" t="str">
        <f t="shared" si="30"/>
        <v>CoStep1ColorT18</v>
      </c>
      <c r="J851" s="26" t="s">
        <v>72</v>
      </c>
      <c r="K851">
        <v>30</v>
      </c>
      <c r="L851" t="str">
        <f>J851&amp;K851</f>
        <v>B30</v>
      </c>
    </row>
    <row r="852" spans="1:12" x14ac:dyDescent="0.2">
      <c r="A852" s="26" t="s">
        <v>36</v>
      </c>
      <c r="B852" t="s">
        <v>69</v>
      </c>
      <c r="C852">
        <v>1</v>
      </c>
      <c r="D852" t="s">
        <v>68</v>
      </c>
      <c r="E852" t="s">
        <v>71</v>
      </c>
      <c r="F852">
        <v>18</v>
      </c>
      <c r="G852" t="str">
        <f t="shared" si="30"/>
        <v>CoStep1StepLengthT18</v>
      </c>
      <c r="J852" s="26" t="s">
        <v>73</v>
      </c>
      <c r="K852">
        <v>30</v>
      </c>
      <c r="L852" t="str">
        <f t="shared" ref="L852:L900" si="31">J852&amp;K852</f>
        <v>E30</v>
      </c>
    </row>
    <row r="853" spans="1:12" x14ac:dyDescent="0.2">
      <c r="A853" s="26" t="s">
        <v>36</v>
      </c>
      <c r="B853" t="s">
        <v>69</v>
      </c>
      <c r="C853">
        <v>1</v>
      </c>
      <c r="D853" s="26" t="s">
        <v>400</v>
      </c>
      <c r="E853" t="s">
        <v>71</v>
      </c>
      <c r="F853">
        <v>18</v>
      </c>
      <c r="G853" t="str">
        <f t="shared" si="30"/>
        <v>CoStep1StepTimeT18</v>
      </c>
      <c r="J853" s="26" t="s">
        <v>74</v>
      </c>
      <c r="K853">
        <v>30</v>
      </c>
      <c r="L853" t="str">
        <f t="shared" si="31"/>
        <v>J30</v>
      </c>
    </row>
    <row r="854" spans="1:12" x14ac:dyDescent="0.2">
      <c r="A854" s="26" t="s">
        <v>36</v>
      </c>
      <c r="B854" t="s">
        <v>69</v>
      </c>
      <c r="C854">
        <v>1</v>
      </c>
      <c r="D854" s="26" t="s">
        <v>401</v>
      </c>
      <c r="E854" t="s">
        <v>71</v>
      </c>
      <c r="F854">
        <v>18</v>
      </c>
      <c r="G854" t="str">
        <f t="shared" si="30"/>
        <v>CoStep1DoubleSupportTimeT18</v>
      </c>
      <c r="J854" s="26" t="s">
        <v>75</v>
      </c>
      <c r="K854">
        <v>30</v>
      </c>
      <c r="L854" t="str">
        <f t="shared" si="31"/>
        <v>O30</v>
      </c>
    </row>
    <row r="855" spans="1:12" x14ac:dyDescent="0.2">
      <c r="A855" s="26" t="s">
        <v>36</v>
      </c>
      <c r="B855" t="s">
        <v>69</v>
      </c>
      <c r="C855">
        <v>1</v>
      </c>
      <c r="D855" s="26" t="s">
        <v>402</v>
      </c>
      <c r="E855" t="s">
        <v>71</v>
      </c>
      <c r="F855">
        <v>18</v>
      </c>
      <c r="G855" t="str">
        <f t="shared" si="30"/>
        <v>CoStep1StanceTimeT18</v>
      </c>
      <c r="J855" s="26" t="s">
        <v>71</v>
      </c>
      <c r="K855">
        <v>30</v>
      </c>
      <c r="L855" t="str">
        <f t="shared" si="31"/>
        <v>T30</v>
      </c>
    </row>
    <row r="856" spans="1:12" x14ac:dyDescent="0.2">
      <c r="A856" s="26" t="s">
        <v>36</v>
      </c>
      <c r="B856" t="s">
        <v>69</v>
      </c>
      <c r="C856">
        <v>2</v>
      </c>
      <c r="D856" s="26" t="s">
        <v>384</v>
      </c>
      <c r="E856" t="s">
        <v>71</v>
      </c>
      <c r="F856">
        <v>18</v>
      </c>
      <c r="G856" t="str">
        <f t="shared" si="30"/>
        <v>CoStep2ColorT18</v>
      </c>
      <c r="J856" s="26" t="s">
        <v>72</v>
      </c>
      <c r="K856">
        <v>55</v>
      </c>
      <c r="L856" t="str">
        <f t="shared" si="31"/>
        <v>B55</v>
      </c>
    </row>
    <row r="857" spans="1:12" x14ac:dyDescent="0.2">
      <c r="A857" s="26" t="s">
        <v>36</v>
      </c>
      <c r="B857" t="s">
        <v>69</v>
      </c>
      <c r="C857">
        <v>2</v>
      </c>
      <c r="D857" t="s">
        <v>68</v>
      </c>
      <c r="E857" t="s">
        <v>71</v>
      </c>
      <c r="F857">
        <v>18</v>
      </c>
      <c r="G857" t="str">
        <f t="shared" si="30"/>
        <v>CoStep2StepLengthT18</v>
      </c>
      <c r="J857" s="26" t="s">
        <v>73</v>
      </c>
      <c r="K857">
        <v>55</v>
      </c>
      <c r="L857" t="str">
        <f t="shared" si="31"/>
        <v>E55</v>
      </c>
    </row>
    <row r="858" spans="1:12" x14ac:dyDescent="0.2">
      <c r="A858" s="26" t="s">
        <v>36</v>
      </c>
      <c r="B858" t="s">
        <v>69</v>
      </c>
      <c r="C858">
        <v>2</v>
      </c>
      <c r="D858" s="26" t="s">
        <v>400</v>
      </c>
      <c r="E858" t="s">
        <v>71</v>
      </c>
      <c r="F858">
        <v>18</v>
      </c>
      <c r="G858" t="str">
        <f t="shared" si="30"/>
        <v>CoStep2StepTimeT18</v>
      </c>
      <c r="J858" s="26" t="s">
        <v>74</v>
      </c>
      <c r="K858">
        <v>55</v>
      </c>
      <c r="L858" t="str">
        <f t="shared" si="31"/>
        <v>J55</v>
      </c>
    </row>
    <row r="859" spans="1:12" x14ac:dyDescent="0.2">
      <c r="A859" s="26" t="s">
        <v>36</v>
      </c>
      <c r="B859" t="s">
        <v>69</v>
      </c>
      <c r="C859">
        <v>2</v>
      </c>
      <c r="D859" s="26" t="s">
        <v>401</v>
      </c>
      <c r="E859" t="s">
        <v>71</v>
      </c>
      <c r="F859">
        <v>18</v>
      </c>
      <c r="G859" t="str">
        <f t="shared" si="30"/>
        <v>CoStep2DoubleSupportTimeT18</v>
      </c>
      <c r="J859" s="26" t="s">
        <v>75</v>
      </c>
      <c r="K859">
        <v>55</v>
      </c>
      <c r="L859" t="str">
        <f t="shared" si="31"/>
        <v>O55</v>
      </c>
    </row>
    <row r="860" spans="1:12" x14ac:dyDescent="0.2">
      <c r="A860" s="26" t="s">
        <v>36</v>
      </c>
      <c r="B860" t="s">
        <v>69</v>
      </c>
      <c r="C860">
        <v>2</v>
      </c>
      <c r="D860" s="26" t="s">
        <v>402</v>
      </c>
      <c r="E860" t="s">
        <v>71</v>
      </c>
      <c r="F860">
        <v>18</v>
      </c>
      <c r="G860" t="str">
        <f t="shared" si="30"/>
        <v>CoStep2StanceTimeT18</v>
      </c>
      <c r="J860" s="26" t="s">
        <v>71</v>
      </c>
      <c r="K860">
        <v>55</v>
      </c>
      <c r="L860" t="str">
        <f t="shared" si="31"/>
        <v>T55</v>
      </c>
    </row>
    <row r="861" spans="1:12" x14ac:dyDescent="0.2">
      <c r="A861" s="26" t="s">
        <v>36</v>
      </c>
      <c r="B861" t="s">
        <v>69</v>
      </c>
      <c r="C861">
        <v>3</v>
      </c>
      <c r="D861" s="26" t="s">
        <v>384</v>
      </c>
      <c r="E861" t="s">
        <v>71</v>
      </c>
      <c r="F861">
        <v>18</v>
      </c>
      <c r="G861" t="str">
        <f t="shared" si="30"/>
        <v>CoStep3ColorT18</v>
      </c>
      <c r="J861" s="26" t="s">
        <v>72</v>
      </c>
      <c r="K861">
        <v>80</v>
      </c>
      <c r="L861" t="str">
        <f t="shared" si="31"/>
        <v>B80</v>
      </c>
    </row>
    <row r="862" spans="1:12" x14ac:dyDescent="0.2">
      <c r="A862" s="26" t="s">
        <v>36</v>
      </c>
      <c r="B862" t="s">
        <v>69</v>
      </c>
      <c r="C862">
        <v>3</v>
      </c>
      <c r="D862" t="s">
        <v>68</v>
      </c>
      <c r="E862" t="s">
        <v>71</v>
      </c>
      <c r="F862">
        <v>18</v>
      </c>
      <c r="G862" t="str">
        <f t="shared" si="30"/>
        <v>CoStep3StepLengthT18</v>
      </c>
      <c r="J862" s="26" t="s">
        <v>73</v>
      </c>
      <c r="K862">
        <v>80</v>
      </c>
      <c r="L862" t="str">
        <f t="shared" si="31"/>
        <v>E80</v>
      </c>
    </row>
    <row r="863" spans="1:12" x14ac:dyDescent="0.2">
      <c r="A863" s="26" t="s">
        <v>36</v>
      </c>
      <c r="B863" t="s">
        <v>69</v>
      </c>
      <c r="C863">
        <v>3</v>
      </c>
      <c r="D863" s="26" t="s">
        <v>400</v>
      </c>
      <c r="E863" t="s">
        <v>71</v>
      </c>
      <c r="F863">
        <v>18</v>
      </c>
      <c r="G863" t="str">
        <f t="shared" si="30"/>
        <v>CoStep3StepTimeT18</v>
      </c>
      <c r="J863" s="26" t="s">
        <v>74</v>
      </c>
      <c r="K863">
        <v>80</v>
      </c>
      <c r="L863" t="str">
        <f t="shared" si="31"/>
        <v>J80</v>
      </c>
    </row>
    <row r="864" spans="1:12" x14ac:dyDescent="0.2">
      <c r="A864" s="26" t="s">
        <v>36</v>
      </c>
      <c r="B864" t="s">
        <v>69</v>
      </c>
      <c r="C864">
        <v>3</v>
      </c>
      <c r="D864" s="26" t="s">
        <v>401</v>
      </c>
      <c r="E864" t="s">
        <v>71</v>
      </c>
      <c r="F864">
        <v>18</v>
      </c>
      <c r="G864" t="str">
        <f t="shared" si="30"/>
        <v>CoStep3DoubleSupportTimeT18</v>
      </c>
      <c r="J864" s="26" t="s">
        <v>75</v>
      </c>
      <c r="K864">
        <v>80</v>
      </c>
      <c r="L864" t="str">
        <f t="shared" si="31"/>
        <v>O80</v>
      </c>
    </row>
    <row r="865" spans="1:12" x14ac:dyDescent="0.2">
      <c r="A865" s="26" t="s">
        <v>36</v>
      </c>
      <c r="B865" t="s">
        <v>69</v>
      </c>
      <c r="C865">
        <v>3</v>
      </c>
      <c r="D865" s="26" t="s">
        <v>402</v>
      </c>
      <c r="E865" t="s">
        <v>71</v>
      </c>
      <c r="F865">
        <v>18</v>
      </c>
      <c r="G865" t="str">
        <f t="shared" si="30"/>
        <v>CoStep3StanceTimeT18</v>
      </c>
      <c r="J865" s="26" t="s">
        <v>71</v>
      </c>
      <c r="K865">
        <v>80</v>
      </c>
      <c r="L865" t="str">
        <f t="shared" si="31"/>
        <v>T80</v>
      </c>
    </row>
    <row r="866" spans="1:12" x14ac:dyDescent="0.2">
      <c r="A866" s="26" t="s">
        <v>36</v>
      </c>
      <c r="B866" t="s">
        <v>69</v>
      </c>
      <c r="C866">
        <v>4</v>
      </c>
      <c r="D866" s="26" t="s">
        <v>384</v>
      </c>
      <c r="E866" t="s">
        <v>71</v>
      </c>
      <c r="F866">
        <v>18</v>
      </c>
      <c r="G866" t="str">
        <f t="shared" si="30"/>
        <v>CoStep4ColorT18</v>
      </c>
      <c r="J866" s="26" t="s">
        <v>72</v>
      </c>
      <c r="K866">
        <v>105</v>
      </c>
      <c r="L866" t="str">
        <f t="shared" si="31"/>
        <v>B105</v>
      </c>
    </row>
    <row r="867" spans="1:12" x14ac:dyDescent="0.2">
      <c r="A867" s="26" t="s">
        <v>36</v>
      </c>
      <c r="B867" t="s">
        <v>69</v>
      </c>
      <c r="C867">
        <v>4</v>
      </c>
      <c r="D867" t="s">
        <v>68</v>
      </c>
      <c r="E867" t="s">
        <v>71</v>
      </c>
      <c r="F867">
        <v>18</v>
      </c>
      <c r="G867" t="str">
        <f t="shared" si="30"/>
        <v>CoStep4StepLengthT18</v>
      </c>
      <c r="J867" s="26" t="s">
        <v>73</v>
      </c>
      <c r="K867">
        <v>105</v>
      </c>
      <c r="L867" t="str">
        <f t="shared" si="31"/>
        <v>E105</v>
      </c>
    </row>
    <row r="868" spans="1:12" x14ac:dyDescent="0.2">
      <c r="A868" s="26" t="s">
        <v>36</v>
      </c>
      <c r="B868" t="s">
        <v>69</v>
      </c>
      <c r="C868">
        <v>4</v>
      </c>
      <c r="D868" s="26" t="s">
        <v>400</v>
      </c>
      <c r="E868" t="s">
        <v>71</v>
      </c>
      <c r="F868">
        <v>18</v>
      </c>
      <c r="G868" t="str">
        <f t="shared" si="30"/>
        <v>CoStep4StepTimeT18</v>
      </c>
      <c r="J868" s="26" t="s">
        <v>74</v>
      </c>
      <c r="K868">
        <v>105</v>
      </c>
      <c r="L868" t="str">
        <f t="shared" si="31"/>
        <v>J105</v>
      </c>
    </row>
    <row r="869" spans="1:12" x14ac:dyDescent="0.2">
      <c r="A869" s="26" t="s">
        <v>36</v>
      </c>
      <c r="B869" t="s">
        <v>69</v>
      </c>
      <c r="C869">
        <v>4</v>
      </c>
      <c r="D869" s="26" t="s">
        <v>401</v>
      </c>
      <c r="E869" t="s">
        <v>71</v>
      </c>
      <c r="F869">
        <v>18</v>
      </c>
      <c r="G869" t="str">
        <f t="shared" si="30"/>
        <v>CoStep4DoubleSupportTimeT18</v>
      </c>
      <c r="J869" s="26" t="s">
        <v>75</v>
      </c>
      <c r="K869">
        <v>105</v>
      </c>
      <c r="L869" t="str">
        <f t="shared" si="31"/>
        <v>O105</v>
      </c>
    </row>
    <row r="870" spans="1:12" x14ac:dyDescent="0.2">
      <c r="A870" s="26" t="s">
        <v>36</v>
      </c>
      <c r="B870" t="s">
        <v>69</v>
      </c>
      <c r="C870">
        <v>4</v>
      </c>
      <c r="D870" s="26" t="s">
        <v>402</v>
      </c>
      <c r="E870" t="s">
        <v>71</v>
      </c>
      <c r="F870">
        <v>18</v>
      </c>
      <c r="G870" t="str">
        <f t="shared" si="30"/>
        <v>CoStep4StanceTimeT18</v>
      </c>
      <c r="J870" s="26" t="s">
        <v>71</v>
      </c>
      <c r="K870">
        <v>105</v>
      </c>
      <c r="L870" t="str">
        <f t="shared" si="31"/>
        <v>T105</v>
      </c>
    </row>
    <row r="871" spans="1:12" x14ac:dyDescent="0.2">
      <c r="A871" s="26" t="s">
        <v>36</v>
      </c>
      <c r="B871" t="s">
        <v>69</v>
      </c>
      <c r="C871">
        <v>5</v>
      </c>
      <c r="D871" s="26" t="s">
        <v>384</v>
      </c>
      <c r="E871" t="s">
        <v>71</v>
      </c>
      <c r="F871">
        <v>18</v>
      </c>
      <c r="G871" t="str">
        <f t="shared" si="30"/>
        <v>CoStep5ColorT18</v>
      </c>
      <c r="J871" s="26" t="s">
        <v>72</v>
      </c>
      <c r="K871">
        <v>130</v>
      </c>
      <c r="L871" t="str">
        <f t="shared" si="31"/>
        <v>B130</v>
      </c>
    </row>
    <row r="872" spans="1:12" x14ac:dyDescent="0.2">
      <c r="A872" s="26" t="s">
        <v>36</v>
      </c>
      <c r="B872" t="s">
        <v>69</v>
      </c>
      <c r="C872">
        <v>5</v>
      </c>
      <c r="D872" t="s">
        <v>68</v>
      </c>
      <c r="E872" t="s">
        <v>71</v>
      </c>
      <c r="F872">
        <v>18</v>
      </c>
      <c r="G872" t="str">
        <f t="shared" si="30"/>
        <v>CoStep5StepLengthT18</v>
      </c>
      <c r="J872" s="26" t="s">
        <v>73</v>
      </c>
      <c r="K872">
        <v>130</v>
      </c>
      <c r="L872" t="str">
        <f t="shared" si="31"/>
        <v>E130</v>
      </c>
    </row>
    <row r="873" spans="1:12" x14ac:dyDescent="0.2">
      <c r="A873" s="26" t="s">
        <v>36</v>
      </c>
      <c r="B873" t="s">
        <v>69</v>
      </c>
      <c r="C873">
        <v>5</v>
      </c>
      <c r="D873" s="26" t="s">
        <v>400</v>
      </c>
      <c r="E873" t="s">
        <v>71</v>
      </c>
      <c r="F873">
        <v>18</v>
      </c>
      <c r="G873" t="str">
        <f t="shared" si="30"/>
        <v>CoStep5StepTimeT18</v>
      </c>
      <c r="J873" s="26" t="s">
        <v>74</v>
      </c>
      <c r="K873">
        <v>130</v>
      </c>
      <c r="L873" t="str">
        <f t="shared" si="31"/>
        <v>J130</v>
      </c>
    </row>
    <row r="874" spans="1:12" x14ac:dyDescent="0.2">
      <c r="A874" s="26" t="s">
        <v>36</v>
      </c>
      <c r="B874" t="s">
        <v>69</v>
      </c>
      <c r="C874">
        <v>5</v>
      </c>
      <c r="D874" s="26" t="s">
        <v>401</v>
      </c>
      <c r="E874" t="s">
        <v>71</v>
      </c>
      <c r="F874">
        <v>18</v>
      </c>
      <c r="G874" t="str">
        <f t="shared" si="30"/>
        <v>CoStep5DoubleSupportTimeT18</v>
      </c>
      <c r="J874" s="26" t="s">
        <v>75</v>
      </c>
      <c r="K874">
        <v>130</v>
      </c>
      <c r="L874" t="str">
        <f t="shared" si="31"/>
        <v>O130</v>
      </c>
    </row>
    <row r="875" spans="1:12" x14ac:dyDescent="0.2">
      <c r="A875" s="26" t="s">
        <v>36</v>
      </c>
      <c r="B875" t="s">
        <v>69</v>
      </c>
      <c r="C875">
        <v>5</v>
      </c>
      <c r="D875" s="26" t="s">
        <v>402</v>
      </c>
      <c r="E875" t="s">
        <v>71</v>
      </c>
      <c r="F875">
        <v>18</v>
      </c>
      <c r="G875" t="str">
        <f t="shared" si="30"/>
        <v>CoStep5StanceTimeT18</v>
      </c>
      <c r="J875" s="26" t="s">
        <v>71</v>
      </c>
      <c r="K875">
        <v>130</v>
      </c>
      <c r="L875" t="str">
        <f t="shared" si="31"/>
        <v>T130</v>
      </c>
    </row>
    <row r="876" spans="1:12" x14ac:dyDescent="0.2">
      <c r="A876" s="26" t="s">
        <v>36</v>
      </c>
      <c r="B876" t="s">
        <v>69</v>
      </c>
      <c r="C876">
        <v>6</v>
      </c>
      <c r="D876" s="26" t="s">
        <v>384</v>
      </c>
      <c r="E876" t="s">
        <v>71</v>
      </c>
      <c r="F876">
        <v>18</v>
      </c>
      <c r="G876" t="str">
        <f t="shared" si="30"/>
        <v>CoStep6ColorT18</v>
      </c>
      <c r="J876" s="26" t="s">
        <v>72</v>
      </c>
      <c r="K876">
        <v>155</v>
      </c>
      <c r="L876" t="str">
        <f t="shared" si="31"/>
        <v>B155</v>
      </c>
    </row>
    <row r="877" spans="1:12" x14ac:dyDescent="0.2">
      <c r="A877" s="26" t="s">
        <v>36</v>
      </c>
      <c r="B877" t="s">
        <v>69</v>
      </c>
      <c r="C877">
        <v>6</v>
      </c>
      <c r="D877" t="s">
        <v>68</v>
      </c>
      <c r="E877" t="s">
        <v>71</v>
      </c>
      <c r="F877">
        <v>18</v>
      </c>
      <c r="G877" t="str">
        <f t="shared" si="30"/>
        <v>CoStep6StepLengthT18</v>
      </c>
      <c r="J877" s="26" t="s">
        <v>73</v>
      </c>
      <c r="K877">
        <v>155</v>
      </c>
      <c r="L877" t="str">
        <f t="shared" si="31"/>
        <v>E155</v>
      </c>
    </row>
    <row r="878" spans="1:12" x14ac:dyDescent="0.2">
      <c r="A878" s="26" t="s">
        <v>36</v>
      </c>
      <c r="B878" t="s">
        <v>69</v>
      </c>
      <c r="C878">
        <v>6</v>
      </c>
      <c r="D878" s="26" t="s">
        <v>400</v>
      </c>
      <c r="E878" t="s">
        <v>71</v>
      </c>
      <c r="F878">
        <v>18</v>
      </c>
      <c r="G878" t="str">
        <f t="shared" si="30"/>
        <v>CoStep6StepTimeT18</v>
      </c>
      <c r="J878" s="26" t="s">
        <v>74</v>
      </c>
      <c r="K878">
        <v>155</v>
      </c>
      <c r="L878" t="str">
        <f t="shared" si="31"/>
        <v>J155</v>
      </c>
    </row>
    <row r="879" spans="1:12" x14ac:dyDescent="0.2">
      <c r="A879" s="26" t="s">
        <v>36</v>
      </c>
      <c r="B879" t="s">
        <v>69</v>
      </c>
      <c r="C879">
        <v>6</v>
      </c>
      <c r="D879" s="26" t="s">
        <v>401</v>
      </c>
      <c r="E879" t="s">
        <v>71</v>
      </c>
      <c r="F879">
        <v>18</v>
      </c>
      <c r="G879" t="str">
        <f t="shared" si="30"/>
        <v>CoStep6DoubleSupportTimeT18</v>
      </c>
      <c r="J879" s="26" t="s">
        <v>75</v>
      </c>
      <c r="K879">
        <v>155</v>
      </c>
      <c r="L879" t="str">
        <f t="shared" si="31"/>
        <v>O155</v>
      </c>
    </row>
    <row r="880" spans="1:12" x14ac:dyDescent="0.2">
      <c r="A880" s="26" t="s">
        <v>36</v>
      </c>
      <c r="B880" t="s">
        <v>69</v>
      </c>
      <c r="C880">
        <v>6</v>
      </c>
      <c r="D880" s="26" t="s">
        <v>402</v>
      </c>
      <c r="E880" t="s">
        <v>71</v>
      </c>
      <c r="F880">
        <v>18</v>
      </c>
      <c r="G880" t="str">
        <f t="shared" si="30"/>
        <v>CoStep6StanceTimeT18</v>
      </c>
      <c r="J880" s="26" t="s">
        <v>71</v>
      </c>
      <c r="K880">
        <v>155</v>
      </c>
      <c r="L880" t="str">
        <f t="shared" si="31"/>
        <v>T155</v>
      </c>
    </row>
    <row r="881" spans="1:12" x14ac:dyDescent="0.2">
      <c r="A881" s="26" t="s">
        <v>36</v>
      </c>
      <c r="B881" t="s">
        <v>69</v>
      </c>
      <c r="C881">
        <v>7</v>
      </c>
      <c r="D881" s="26" t="s">
        <v>384</v>
      </c>
      <c r="E881" t="s">
        <v>71</v>
      </c>
      <c r="F881">
        <v>18</v>
      </c>
      <c r="G881" t="str">
        <f t="shared" si="30"/>
        <v>CoStep7ColorT18</v>
      </c>
      <c r="J881" s="26" t="s">
        <v>72</v>
      </c>
      <c r="K881">
        <v>188</v>
      </c>
      <c r="L881" t="str">
        <f t="shared" si="31"/>
        <v>B188</v>
      </c>
    </row>
    <row r="882" spans="1:12" x14ac:dyDescent="0.2">
      <c r="A882" s="26" t="s">
        <v>36</v>
      </c>
      <c r="B882" t="s">
        <v>69</v>
      </c>
      <c r="C882">
        <v>7</v>
      </c>
      <c r="D882" t="s">
        <v>68</v>
      </c>
      <c r="E882" t="s">
        <v>71</v>
      </c>
      <c r="F882">
        <v>18</v>
      </c>
      <c r="G882" t="str">
        <f t="shared" si="30"/>
        <v>CoStep7StepLengthT18</v>
      </c>
      <c r="J882" s="26" t="s">
        <v>73</v>
      </c>
      <c r="K882">
        <v>188</v>
      </c>
      <c r="L882" t="str">
        <f t="shared" si="31"/>
        <v>E188</v>
      </c>
    </row>
    <row r="883" spans="1:12" x14ac:dyDescent="0.2">
      <c r="A883" s="26" t="s">
        <v>36</v>
      </c>
      <c r="B883" t="s">
        <v>69</v>
      </c>
      <c r="C883">
        <v>7</v>
      </c>
      <c r="D883" s="26" t="s">
        <v>400</v>
      </c>
      <c r="E883" t="s">
        <v>71</v>
      </c>
      <c r="F883">
        <v>18</v>
      </c>
      <c r="G883" t="str">
        <f t="shared" si="30"/>
        <v>CoStep7StepTimeT18</v>
      </c>
      <c r="J883" s="26" t="s">
        <v>74</v>
      </c>
      <c r="K883">
        <v>188</v>
      </c>
      <c r="L883" t="str">
        <f t="shared" si="31"/>
        <v>J188</v>
      </c>
    </row>
    <row r="884" spans="1:12" x14ac:dyDescent="0.2">
      <c r="A884" s="26" t="s">
        <v>36</v>
      </c>
      <c r="B884" t="s">
        <v>69</v>
      </c>
      <c r="C884">
        <v>7</v>
      </c>
      <c r="D884" s="26" t="s">
        <v>401</v>
      </c>
      <c r="E884" t="s">
        <v>71</v>
      </c>
      <c r="F884">
        <v>18</v>
      </c>
      <c r="G884" t="str">
        <f t="shared" si="30"/>
        <v>CoStep7DoubleSupportTimeT18</v>
      </c>
      <c r="J884" s="26" t="s">
        <v>75</v>
      </c>
      <c r="K884">
        <v>188</v>
      </c>
      <c r="L884" t="str">
        <f t="shared" si="31"/>
        <v>O188</v>
      </c>
    </row>
    <row r="885" spans="1:12" x14ac:dyDescent="0.2">
      <c r="A885" s="26" t="s">
        <v>36</v>
      </c>
      <c r="B885" t="s">
        <v>69</v>
      </c>
      <c r="C885">
        <v>7</v>
      </c>
      <c r="D885" s="26" t="s">
        <v>402</v>
      </c>
      <c r="E885" t="s">
        <v>71</v>
      </c>
      <c r="F885">
        <v>18</v>
      </c>
      <c r="G885" t="str">
        <f t="shared" si="30"/>
        <v>CoStep7StanceTimeT18</v>
      </c>
      <c r="J885" s="26" t="s">
        <v>71</v>
      </c>
      <c r="K885">
        <v>188</v>
      </c>
      <c r="L885" t="str">
        <f t="shared" si="31"/>
        <v>T188</v>
      </c>
    </row>
    <row r="886" spans="1:12" x14ac:dyDescent="0.2">
      <c r="A886" s="26" t="s">
        <v>36</v>
      </c>
      <c r="B886" t="s">
        <v>69</v>
      </c>
      <c r="C886">
        <v>8</v>
      </c>
      <c r="D886" s="26" t="s">
        <v>384</v>
      </c>
      <c r="E886" t="s">
        <v>71</v>
      </c>
      <c r="F886">
        <v>18</v>
      </c>
      <c r="G886" t="str">
        <f t="shared" si="30"/>
        <v>CoStep8ColorT18</v>
      </c>
      <c r="J886" s="26" t="s">
        <v>72</v>
      </c>
      <c r="K886">
        <v>205</v>
      </c>
      <c r="L886" t="str">
        <f t="shared" si="31"/>
        <v>B205</v>
      </c>
    </row>
    <row r="887" spans="1:12" x14ac:dyDescent="0.2">
      <c r="A887" s="26" t="s">
        <v>36</v>
      </c>
      <c r="B887" t="s">
        <v>69</v>
      </c>
      <c r="C887">
        <v>8</v>
      </c>
      <c r="D887" t="s">
        <v>68</v>
      </c>
      <c r="E887" t="s">
        <v>71</v>
      </c>
      <c r="F887">
        <v>18</v>
      </c>
      <c r="G887" t="str">
        <f t="shared" si="30"/>
        <v>CoStep8StepLengthT18</v>
      </c>
      <c r="J887" s="26" t="s">
        <v>73</v>
      </c>
      <c r="K887">
        <v>205</v>
      </c>
      <c r="L887" t="str">
        <f t="shared" si="31"/>
        <v>E205</v>
      </c>
    </row>
    <row r="888" spans="1:12" x14ac:dyDescent="0.2">
      <c r="A888" s="26" t="s">
        <v>36</v>
      </c>
      <c r="B888" t="s">
        <v>69</v>
      </c>
      <c r="C888">
        <v>8</v>
      </c>
      <c r="D888" s="26" t="s">
        <v>400</v>
      </c>
      <c r="E888" t="s">
        <v>71</v>
      </c>
      <c r="F888">
        <v>18</v>
      </c>
      <c r="G888" t="str">
        <f t="shared" si="30"/>
        <v>CoStep8StepTimeT18</v>
      </c>
      <c r="J888" s="26" t="s">
        <v>74</v>
      </c>
      <c r="K888">
        <v>205</v>
      </c>
      <c r="L888" t="str">
        <f t="shared" si="31"/>
        <v>J205</v>
      </c>
    </row>
    <row r="889" spans="1:12" x14ac:dyDescent="0.2">
      <c r="A889" s="26" t="s">
        <v>36</v>
      </c>
      <c r="B889" t="s">
        <v>69</v>
      </c>
      <c r="C889">
        <v>8</v>
      </c>
      <c r="D889" s="26" t="s">
        <v>401</v>
      </c>
      <c r="E889" t="s">
        <v>71</v>
      </c>
      <c r="F889">
        <v>18</v>
      </c>
      <c r="G889" t="str">
        <f t="shared" si="30"/>
        <v>CoStep8DoubleSupportTimeT18</v>
      </c>
      <c r="J889" s="26" t="s">
        <v>75</v>
      </c>
      <c r="K889">
        <v>205</v>
      </c>
      <c r="L889" t="str">
        <f t="shared" si="31"/>
        <v>O205</v>
      </c>
    </row>
    <row r="890" spans="1:12" x14ac:dyDescent="0.2">
      <c r="A890" s="26" t="s">
        <v>36</v>
      </c>
      <c r="B890" t="s">
        <v>69</v>
      </c>
      <c r="C890">
        <v>8</v>
      </c>
      <c r="D890" s="26" t="s">
        <v>402</v>
      </c>
      <c r="E890" t="s">
        <v>71</v>
      </c>
      <c r="F890">
        <v>18</v>
      </c>
      <c r="G890" t="str">
        <f t="shared" si="30"/>
        <v>CoStep8StanceTimeT18</v>
      </c>
      <c r="J890" s="26" t="s">
        <v>71</v>
      </c>
      <c r="K890">
        <v>205</v>
      </c>
      <c r="L890" t="str">
        <f t="shared" si="31"/>
        <v>T205</v>
      </c>
    </row>
    <row r="891" spans="1:12" x14ac:dyDescent="0.2">
      <c r="A891" s="26" t="s">
        <v>36</v>
      </c>
      <c r="B891" t="s">
        <v>69</v>
      </c>
      <c r="C891">
        <v>9</v>
      </c>
      <c r="D891" s="26" t="s">
        <v>384</v>
      </c>
      <c r="E891" t="s">
        <v>71</v>
      </c>
      <c r="F891">
        <v>18</v>
      </c>
      <c r="G891" t="str">
        <f t="shared" si="30"/>
        <v>CoStep9ColorT18</v>
      </c>
      <c r="J891" s="26" t="s">
        <v>72</v>
      </c>
      <c r="K891">
        <v>230</v>
      </c>
      <c r="L891" t="str">
        <f t="shared" si="31"/>
        <v>B230</v>
      </c>
    </row>
    <row r="892" spans="1:12" x14ac:dyDescent="0.2">
      <c r="A892" s="26" t="s">
        <v>36</v>
      </c>
      <c r="B892" t="s">
        <v>69</v>
      </c>
      <c r="C892">
        <v>9</v>
      </c>
      <c r="D892" t="s">
        <v>68</v>
      </c>
      <c r="E892" t="s">
        <v>71</v>
      </c>
      <c r="F892">
        <v>18</v>
      </c>
      <c r="G892" t="str">
        <f t="shared" si="30"/>
        <v>CoStep9StepLengthT18</v>
      </c>
      <c r="J892" s="26" t="s">
        <v>73</v>
      </c>
      <c r="K892">
        <v>230</v>
      </c>
      <c r="L892" t="str">
        <f t="shared" si="31"/>
        <v>E230</v>
      </c>
    </row>
    <row r="893" spans="1:12" x14ac:dyDescent="0.2">
      <c r="A893" s="26" t="s">
        <v>36</v>
      </c>
      <c r="B893" t="s">
        <v>69</v>
      </c>
      <c r="C893">
        <v>9</v>
      </c>
      <c r="D893" s="26" t="s">
        <v>400</v>
      </c>
      <c r="E893" t="s">
        <v>71</v>
      </c>
      <c r="F893">
        <v>18</v>
      </c>
      <c r="G893" t="str">
        <f t="shared" si="30"/>
        <v>CoStep9StepTimeT18</v>
      </c>
      <c r="J893" s="26" t="s">
        <v>74</v>
      </c>
      <c r="K893">
        <v>230</v>
      </c>
      <c r="L893" t="str">
        <f t="shared" si="31"/>
        <v>J230</v>
      </c>
    </row>
    <row r="894" spans="1:12" x14ac:dyDescent="0.2">
      <c r="A894" s="26" t="s">
        <v>36</v>
      </c>
      <c r="B894" t="s">
        <v>69</v>
      </c>
      <c r="C894">
        <v>9</v>
      </c>
      <c r="D894" s="26" t="s">
        <v>401</v>
      </c>
      <c r="E894" t="s">
        <v>71</v>
      </c>
      <c r="F894">
        <v>18</v>
      </c>
      <c r="G894" t="str">
        <f t="shared" si="30"/>
        <v>CoStep9DoubleSupportTimeT18</v>
      </c>
      <c r="J894" s="26" t="s">
        <v>75</v>
      </c>
      <c r="K894">
        <v>230</v>
      </c>
      <c r="L894" t="str">
        <f t="shared" si="31"/>
        <v>O230</v>
      </c>
    </row>
    <row r="895" spans="1:12" x14ac:dyDescent="0.2">
      <c r="A895" s="26" t="s">
        <v>36</v>
      </c>
      <c r="B895" t="s">
        <v>69</v>
      </c>
      <c r="C895">
        <v>9</v>
      </c>
      <c r="D895" s="26" t="s">
        <v>402</v>
      </c>
      <c r="E895" t="s">
        <v>71</v>
      </c>
      <c r="F895">
        <v>18</v>
      </c>
      <c r="G895" t="str">
        <f t="shared" si="30"/>
        <v>CoStep9StanceTimeT18</v>
      </c>
      <c r="J895" s="26" t="s">
        <v>71</v>
      </c>
      <c r="K895">
        <v>230</v>
      </c>
      <c r="L895" t="str">
        <f t="shared" si="31"/>
        <v>T230</v>
      </c>
    </row>
    <row r="896" spans="1:12" x14ac:dyDescent="0.2">
      <c r="A896" s="26" t="s">
        <v>36</v>
      </c>
      <c r="B896" t="s">
        <v>69</v>
      </c>
      <c r="C896">
        <v>10</v>
      </c>
      <c r="D896" s="26" t="s">
        <v>384</v>
      </c>
      <c r="E896" t="s">
        <v>71</v>
      </c>
      <c r="F896">
        <v>18</v>
      </c>
      <c r="G896" t="str">
        <f t="shared" si="30"/>
        <v>CoStep10ColorT18</v>
      </c>
      <c r="J896" s="26" t="s">
        <v>72</v>
      </c>
      <c r="K896">
        <v>255</v>
      </c>
      <c r="L896" t="str">
        <f t="shared" si="31"/>
        <v>B255</v>
      </c>
    </row>
    <row r="897" spans="1:12" x14ac:dyDescent="0.2">
      <c r="A897" s="26" t="s">
        <v>36</v>
      </c>
      <c r="B897" t="s">
        <v>69</v>
      </c>
      <c r="C897">
        <v>10</v>
      </c>
      <c r="D897" t="s">
        <v>68</v>
      </c>
      <c r="E897" t="s">
        <v>71</v>
      </c>
      <c r="F897">
        <v>18</v>
      </c>
      <c r="G897" t="str">
        <f t="shared" si="30"/>
        <v>CoStep10StepLengthT18</v>
      </c>
      <c r="J897" s="26" t="s">
        <v>73</v>
      </c>
      <c r="K897">
        <v>255</v>
      </c>
      <c r="L897" t="str">
        <f t="shared" si="31"/>
        <v>E255</v>
      </c>
    </row>
    <row r="898" spans="1:12" x14ac:dyDescent="0.2">
      <c r="A898" s="26" t="s">
        <v>36</v>
      </c>
      <c r="B898" t="s">
        <v>69</v>
      </c>
      <c r="C898">
        <v>10</v>
      </c>
      <c r="D898" s="26" t="s">
        <v>400</v>
      </c>
      <c r="E898" t="s">
        <v>71</v>
      </c>
      <c r="F898">
        <v>18</v>
      </c>
      <c r="G898" t="str">
        <f t="shared" si="30"/>
        <v>CoStep10StepTimeT18</v>
      </c>
      <c r="J898" s="26" t="s">
        <v>74</v>
      </c>
      <c r="K898">
        <v>255</v>
      </c>
      <c r="L898" t="str">
        <f t="shared" si="31"/>
        <v>J255</v>
      </c>
    </row>
    <row r="899" spans="1:12" x14ac:dyDescent="0.2">
      <c r="A899" s="26" t="s">
        <v>36</v>
      </c>
      <c r="B899" t="s">
        <v>69</v>
      </c>
      <c r="C899">
        <v>10</v>
      </c>
      <c r="D899" s="26" t="s">
        <v>401</v>
      </c>
      <c r="E899" t="s">
        <v>71</v>
      </c>
      <c r="F899">
        <v>18</v>
      </c>
      <c r="G899" t="str">
        <f t="shared" si="30"/>
        <v>CoStep10DoubleSupportTimeT18</v>
      </c>
      <c r="J899" s="26" t="s">
        <v>75</v>
      </c>
      <c r="K899">
        <v>255</v>
      </c>
      <c r="L899" t="str">
        <f t="shared" si="31"/>
        <v>O255</v>
      </c>
    </row>
    <row r="900" spans="1:12" x14ac:dyDescent="0.2">
      <c r="A900" s="26" t="s">
        <v>36</v>
      </c>
      <c r="B900" t="s">
        <v>69</v>
      </c>
      <c r="C900">
        <v>10</v>
      </c>
      <c r="D900" s="26" t="s">
        <v>402</v>
      </c>
      <c r="E900" t="s">
        <v>71</v>
      </c>
      <c r="F900">
        <v>18</v>
      </c>
      <c r="G900" t="str">
        <f t="shared" si="30"/>
        <v>CoStep10StanceTimeT18</v>
      </c>
      <c r="J900" s="26" t="s">
        <v>71</v>
      </c>
      <c r="K900">
        <v>255</v>
      </c>
      <c r="L900" t="str">
        <f t="shared" si="31"/>
        <v>T255</v>
      </c>
    </row>
    <row r="901" spans="1:12" x14ac:dyDescent="0.2">
      <c r="A901" s="26" t="s">
        <v>36</v>
      </c>
      <c r="B901" t="s">
        <v>69</v>
      </c>
      <c r="C901">
        <v>1</v>
      </c>
      <c r="D901" s="26" t="s">
        <v>384</v>
      </c>
      <c r="E901" t="s">
        <v>71</v>
      </c>
      <c r="F901">
        <v>19</v>
      </c>
      <c r="G901" t="str">
        <f t="shared" si="30"/>
        <v>CoStep1ColorT19</v>
      </c>
      <c r="J901" s="26" t="s">
        <v>72</v>
      </c>
      <c r="K901">
        <v>30</v>
      </c>
      <c r="L901" t="str">
        <f>J901&amp;K901</f>
        <v>B30</v>
      </c>
    </row>
    <row r="902" spans="1:12" x14ac:dyDescent="0.2">
      <c r="A902" s="26" t="s">
        <v>36</v>
      </c>
      <c r="B902" t="s">
        <v>69</v>
      </c>
      <c r="C902">
        <v>1</v>
      </c>
      <c r="D902" t="s">
        <v>68</v>
      </c>
      <c r="E902" t="s">
        <v>71</v>
      </c>
      <c r="F902">
        <v>19</v>
      </c>
      <c r="G902" t="str">
        <f t="shared" ref="G902:G965" si="32">A902&amp;B902&amp;C902&amp;D902&amp;E902&amp;F902</f>
        <v>CoStep1StepLengthT19</v>
      </c>
      <c r="J902" s="26" t="s">
        <v>73</v>
      </c>
      <c r="K902">
        <v>30</v>
      </c>
      <c r="L902" t="str">
        <f t="shared" ref="L902:L950" si="33">J902&amp;K902</f>
        <v>E30</v>
      </c>
    </row>
    <row r="903" spans="1:12" x14ac:dyDescent="0.2">
      <c r="A903" s="26" t="s">
        <v>36</v>
      </c>
      <c r="B903" t="s">
        <v>69</v>
      </c>
      <c r="C903">
        <v>1</v>
      </c>
      <c r="D903" s="26" t="s">
        <v>400</v>
      </c>
      <c r="E903" t="s">
        <v>71</v>
      </c>
      <c r="F903">
        <v>19</v>
      </c>
      <c r="G903" t="str">
        <f t="shared" si="32"/>
        <v>CoStep1StepTimeT19</v>
      </c>
      <c r="J903" s="26" t="s">
        <v>74</v>
      </c>
      <c r="K903">
        <v>30</v>
      </c>
      <c r="L903" t="str">
        <f t="shared" si="33"/>
        <v>J30</v>
      </c>
    </row>
    <row r="904" spans="1:12" x14ac:dyDescent="0.2">
      <c r="A904" s="26" t="s">
        <v>36</v>
      </c>
      <c r="B904" t="s">
        <v>69</v>
      </c>
      <c r="C904">
        <v>1</v>
      </c>
      <c r="D904" s="26" t="s">
        <v>401</v>
      </c>
      <c r="E904" t="s">
        <v>71</v>
      </c>
      <c r="F904">
        <v>19</v>
      </c>
      <c r="G904" t="str">
        <f t="shared" si="32"/>
        <v>CoStep1DoubleSupportTimeT19</v>
      </c>
      <c r="J904" s="26" t="s">
        <v>75</v>
      </c>
      <c r="K904">
        <v>30</v>
      </c>
      <c r="L904" t="str">
        <f t="shared" si="33"/>
        <v>O30</v>
      </c>
    </row>
    <row r="905" spans="1:12" x14ac:dyDescent="0.2">
      <c r="A905" s="26" t="s">
        <v>36</v>
      </c>
      <c r="B905" t="s">
        <v>69</v>
      </c>
      <c r="C905">
        <v>1</v>
      </c>
      <c r="D905" s="26" t="s">
        <v>402</v>
      </c>
      <c r="E905" t="s">
        <v>71</v>
      </c>
      <c r="F905">
        <v>19</v>
      </c>
      <c r="G905" t="str">
        <f t="shared" si="32"/>
        <v>CoStep1StanceTimeT19</v>
      </c>
      <c r="J905" s="26" t="s">
        <v>71</v>
      </c>
      <c r="K905">
        <v>30</v>
      </c>
      <c r="L905" t="str">
        <f t="shared" si="33"/>
        <v>T30</v>
      </c>
    </row>
    <row r="906" spans="1:12" x14ac:dyDescent="0.2">
      <c r="A906" s="26" t="s">
        <v>36</v>
      </c>
      <c r="B906" t="s">
        <v>69</v>
      </c>
      <c r="C906">
        <v>2</v>
      </c>
      <c r="D906" s="26" t="s">
        <v>384</v>
      </c>
      <c r="E906" t="s">
        <v>71</v>
      </c>
      <c r="F906">
        <v>19</v>
      </c>
      <c r="G906" t="str">
        <f t="shared" si="32"/>
        <v>CoStep2ColorT19</v>
      </c>
      <c r="J906" s="26" t="s">
        <v>72</v>
      </c>
      <c r="K906">
        <v>55</v>
      </c>
      <c r="L906" t="str">
        <f t="shared" si="33"/>
        <v>B55</v>
      </c>
    </row>
    <row r="907" spans="1:12" x14ac:dyDescent="0.2">
      <c r="A907" s="26" t="s">
        <v>36</v>
      </c>
      <c r="B907" t="s">
        <v>69</v>
      </c>
      <c r="C907">
        <v>2</v>
      </c>
      <c r="D907" t="s">
        <v>68</v>
      </c>
      <c r="E907" t="s">
        <v>71</v>
      </c>
      <c r="F907">
        <v>19</v>
      </c>
      <c r="G907" t="str">
        <f t="shared" si="32"/>
        <v>CoStep2StepLengthT19</v>
      </c>
      <c r="J907" s="26" t="s">
        <v>73</v>
      </c>
      <c r="K907">
        <v>55</v>
      </c>
      <c r="L907" t="str">
        <f t="shared" si="33"/>
        <v>E55</v>
      </c>
    </row>
    <row r="908" spans="1:12" x14ac:dyDescent="0.2">
      <c r="A908" s="26" t="s">
        <v>36</v>
      </c>
      <c r="B908" t="s">
        <v>69</v>
      </c>
      <c r="C908">
        <v>2</v>
      </c>
      <c r="D908" s="26" t="s">
        <v>400</v>
      </c>
      <c r="E908" t="s">
        <v>71</v>
      </c>
      <c r="F908">
        <v>19</v>
      </c>
      <c r="G908" t="str">
        <f t="shared" si="32"/>
        <v>CoStep2StepTimeT19</v>
      </c>
      <c r="J908" s="26" t="s">
        <v>74</v>
      </c>
      <c r="K908">
        <v>55</v>
      </c>
      <c r="L908" t="str">
        <f t="shared" si="33"/>
        <v>J55</v>
      </c>
    </row>
    <row r="909" spans="1:12" x14ac:dyDescent="0.2">
      <c r="A909" s="26" t="s">
        <v>36</v>
      </c>
      <c r="B909" t="s">
        <v>69</v>
      </c>
      <c r="C909">
        <v>2</v>
      </c>
      <c r="D909" s="26" t="s">
        <v>401</v>
      </c>
      <c r="E909" t="s">
        <v>71</v>
      </c>
      <c r="F909">
        <v>19</v>
      </c>
      <c r="G909" t="str">
        <f t="shared" si="32"/>
        <v>CoStep2DoubleSupportTimeT19</v>
      </c>
      <c r="J909" s="26" t="s">
        <v>75</v>
      </c>
      <c r="K909">
        <v>55</v>
      </c>
      <c r="L909" t="str">
        <f t="shared" si="33"/>
        <v>O55</v>
      </c>
    </row>
    <row r="910" spans="1:12" x14ac:dyDescent="0.2">
      <c r="A910" s="26" t="s">
        <v>36</v>
      </c>
      <c r="B910" t="s">
        <v>69</v>
      </c>
      <c r="C910">
        <v>2</v>
      </c>
      <c r="D910" s="26" t="s">
        <v>402</v>
      </c>
      <c r="E910" t="s">
        <v>71</v>
      </c>
      <c r="F910">
        <v>19</v>
      </c>
      <c r="G910" t="str">
        <f t="shared" si="32"/>
        <v>CoStep2StanceTimeT19</v>
      </c>
      <c r="J910" s="26" t="s">
        <v>71</v>
      </c>
      <c r="K910">
        <v>55</v>
      </c>
      <c r="L910" t="str">
        <f t="shared" si="33"/>
        <v>T55</v>
      </c>
    </row>
    <row r="911" spans="1:12" x14ac:dyDescent="0.2">
      <c r="A911" s="26" t="s">
        <v>36</v>
      </c>
      <c r="B911" t="s">
        <v>69</v>
      </c>
      <c r="C911">
        <v>3</v>
      </c>
      <c r="D911" s="26" t="s">
        <v>384</v>
      </c>
      <c r="E911" t="s">
        <v>71</v>
      </c>
      <c r="F911">
        <v>19</v>
      </c>
      <c r="G911" t="str">
        <f t="shared" si="32"/>
        <v>CoStep3ColorT19</v>
      </c>
      <c r="J911" s="26" t="s">
        <v>72</v>
      </c>
      <c r="K911">
        <v>80</v>
      </c>
      <c r="L911" t="str">
        <f t="shared" si="33"/>
        <v>B80</v>
      </c>
    </row>
    <row r="912" spans="1:12" x14ac:dyDescent="0.2">
      <c r="A912" s="26" t="s">
        <v>36</v>
      </c>
      <c r="B912" t="s">
        <v>69</v>
      </c>
      <c r="C912">
        <v>3</v>
      </c>
      <c r="D912" t="s">
        <v>68</v>
      </c>
      <c r="E912" t="s">
        <v>71</v>
      </c>
      <c r="F912">
        <v>19</v>
      </c>
      <c r="G912" t="str">
        <f t="shared" si="32"/>
        <v>CoStep3StepLengthT19</v>
      </c>
      <c r="J912" s="26" t="s">
        <v>73</v>
      </c>
      <c r="K912">
        <v>80</v>
      </c>
      <c r="L912" t="str">
        <f t="shared" si="33"/>
        <v>E80</v>
      </c>
    </row>
    <row r="913" spans="1:12" x14ac:dyDescent="0.2">
      <c r="A913" s="26" t="s">
        <v>36</v>
      </c>
      <c r="B913" t="s">
        <v>69</v>
      </c>
      <c r="C913">
        <v>3</v>
      </c>
      <c r="D913" s="26" t="s">
        <v>400</v>
      </c>
      <c r="E913" t="s">
        <v>71</v>
      </c>
      <c r="F913">
        <v>19</v>
      </c>
      <c r="G913" t="str">
        <f t="shared" si="32"/>
        <v>CoStep3StepTimeT19</v>
      </c>
      <c r="J913" s="26" t="s">
        <v>74</v>
      </c>
      <c r="K913">
        <v>80</v>
      </c>
      <c r="L913" t="str">
        <f t="shared" si="33"/>
        <v>J80</v>
      </c>
    </row>
    <row r="914" spans="1:12" x14ac:dyDescent="0.2">
      <c r="A914" s="26" t="s">
        <v>36</v>
      </c>
      <c r="B914" t="s">
        <v>69</v>
      </c>
      <c r="C914">
        <v>3</v>
      </c>
      <c r="D914" s="26" t="s">
        <v>401</v>
      </c>
      <c r="E914" t="s">
        <v>71</v>
      </c>
      <c r="F914">
        <v>19</v>
      </c>
      <c r="G914" t="str">
        <f t="shared" si="32"/>
        <v>CoStep3DoubleSupportTimeT19</v>
      </c>
      <c r="J914" s="26" t="s">
        <v>75</v>
      </c>
      <c r="K914">
        <v>80</v>
      </c>
      <c r="L914" t="str">
        <f t="shared" si="33"/>
        <v>O80</v>
      </c>
    </row>
    <row r="915" spans="1:12" x14ac:dyDescent="0.2">
      <c r="A915" s="26" t="s">
        <v>36</v>
      </c>
      <c r="B915" t="s">
        <v>69</v>
      </c>
      <c r="C915">
        <v>3</v>
      </c>
      <c r="D915" s="26" t="s">
        <v>402</v>
      </c>
      <c r="E915" t="s">
        <v>71</v>
      </c>
      <c r="F915">
        <v>19</v>
      </c>
      <c r="G915" t="str">
        <f t="shared" si="32"/>
        <v>CoStep3StanceTimeT19</v>
      </c>
      <c r="J915" s="26" t="s">
        <v>71</v>
      </c>
      <c r="K915">
        <v>80</v>
      </c>
      <c r="L915" t="str">
        <f t="shared" si="33"/>
        <v>T80</v>
      </c>
    </row>
    <row r="916" spans="1:12" x14ac:dyDescent="0.2">
      <c r="A916" s="26" t="s">
        <v>36</v>
      </c>
      <c r="B916" t="s">
        <v>69</v>
      </c>
      <c r="C916">
        <v>4</v>
      </c>
      <c r="D916" s="26" t="s">
        <v>384</v>
      </c>
      <c r="E916" t="s">
        <v>71</v>
      </c>
      <c r="F916">
        <v>19</v>
      </c>
      <c r="G916" t="str">
        <f t="shared" si="32"/>
        <v>CoStep4ColorT19</v>
      </c>
      <c r="J916" s="26" t="s">
        <v>72</v>
      </c>
      <c r="K916">
        <v>105</v>
      </c>
      <c r="L916" t="str">
        <f t="shared" si="33"/>
        <v>B105</v>
      </c>
    </row>
    <row r="917" spans="1:12" x14ac:dyDescent="0.2">
      <c r="A917" s="26" t="s">
        <v>36</v>
      </c>
      <c r="B917" t="s">
        <v>69</v>
      </c>
      <c r="C917">
        <v>4</v>
      </c>
      <c r="D917" t="s">
        <v>68</v>
      </c>
      <c r="E917" t="s">
        <v>71</v>
      </c>
      <c r="F917">
        <v>19</v>
      </c>
      <c r="G917" t="str">
        <f t="shared" si="32"/>
        <v>CoStep4StepLengthT19</v>
      </c>
      <c r="J917" s="26" t="s">
        <v>73</v>
      </c>
      <c r="K917">
        <v>105</v>
      </c>
      <c r="L917" t="str">
        <f t="shared" si="33"/>
        <v>E105</v>
      </c>
    </row>
    <row r="918" spans="1:12" x14ac:dyDescent="0.2">
      <c r="A918" s="26" t="s">
        <v>36</v>
      </c>
      <c r="B918" t="s">
        <v>69</v>
      </c>
      <c r="C918">
        <v>4</v>
      </c>
      <c r="D918" s="26" t="s">
        <v>400</v>
      </c>
      <c r="E918" t="s">
        <v>71</v>
      </c>
      <c r="F918">
        <v>19</v>
      </c>
      <c r="G918" t="str">
        <f t="shared" si="32"/>
        <v>CoStep4StepTimeT19</v>
      </c>
      <c r="J918" s="26" t="s">
        <v>74</v>
      </c>
      <c r="K918">
        <v>105</v>
      </c>
      <c r="L918" t="str">
        <f t="shared" si="33"/>
        <v>J105</v>
      </c>
    </row>
    <row r="919" spans="1:12" x14ac:dyDescent="0.2">
      <c r="A919" s="26" t="s">
        <v>36</v>
      </c>
      <c r="B919" t="s">
        <v>69</v>
      </c>
      <c r="C919">
        <v>4</v>
      </c>
      <c r="D919" s="26" t="s">
        <v>401</v>
      </c>
      <c r="E919" t="s">
        <v>71</v>
      </c>
      <c r="F919">
        <v>19</v>
      </c>
      <c r="G919" t="str">
        <f t="shared" si="32"/>
        <v>CoStep4DoubleSupportTimeT19</v>
      </c>
      <c r="J919" s="26" t="s">
        <v>75</v>
      </c>
      <c r="K919">
        <v>105</v>
      </c>
      <c r="L919" t="str">
        <f t="shared" si="33"/>
        <v>O105</v>
      </c>
    </row>
    <row r="920" spans="1:12" x14ac:dyDescent="0.2">
      <c r="A920" s="26" t="s">
        <v>36</v>
      </c>
      <c r="B920" t="s">
        <v>69</v>
      </c>
      <c r="C920">
        <v>4</v>
      </c>
      <c r="D920" s="26" t="s">
        <v>402</v>
      </c>
      <c r="E920" t="s">
        <v>71</v>
      </c>
      <c r="F920">
        <v>19</v>
      </c>
      <c r="G920" t="str">
        <f t="shared" si="32"/>
        <v>CoStep4StanceTimeT19</v>
      </c>
      <c r="J920" s="26" t="s">
        <v>71</v>
      </c>
      <c r="K920">
        <v>105</v>
      </c>
      <c r="L920" t="str">
        <f t="shared" si="33"/>
        <v>T105</v>
      </c>
    </row>
    <row r="921" spans="1:12" x14ac:dyDescent="0.2">
      <c r="A921" s="26" t="s">
        <v>36</v>
      </c>
      <c r="B921" t="s">
        <v>69</v>
      </c>
      <c r="C921">
        <v>5</v>
      </c>
      <c r="D921" s="26" t="s">
        <v>384</v>
      </c>
      <c r="E921" t="s">
        <v>71</v>
      </c>
      <c r="F921">
        <v>19</v>
      </c>
      <c r="G921" t="str">
        <f t="shared" si="32"/>
        <v>CoStep5ColorT19</v>
      </c>
      <c r="J921" s="26" t="s">
        <v>72</v>
      </c>
      <c r="K921">
        <v>130</v>
      </c>
      <c r="L921" t="str">
        <f t="shared" si="33"/>
        <v>B130</v>
      </c>
    </row>
    <row r="922" spans="1:12" x14ac:dyDescent="0.2">
      <c r="A922" s="26" t="s">
        <v>36</v>
      </c>
      <c r="B922" t="s">
        <v>69</v>
      </c>
      <c r="C922">
        <v>5</v>
      </c>
      <c r="D922" t="s">
        <v>68</v>
      </c>
      <c r="E922" t="s">
        <v>71</v>
      </c>
      <c r="F922">
        <v>19</v>
      </c>
      <c r="G922" t="str">
        <f t="shared" si="32"/>
        <v>CoStep5StepLengthT19</v>
      </c>
      <c r="J922" s="26" t="s">
        <v>73</v>
      </c>
      <c r="K922">
        <v>130</v>
      </c>
      <c r="L922" t="str">
        <f t="shared" si="33"/>
        <v>E130</v>
      </c>
    </row>
    <row r="923" spans="1:12" x14ac:dyDescent="0.2">
      <c r="A923" s="26" t="s">
        <v>36</v>
      </c>
      <c r="B923" t="s">
        <v>69</v>
      </c>
      <c r="C923">
        <v>5</v>
      </c>
      <c r="D923" s="26" t="s">
        <v>400</v>
      </c>
      <c r="E923" t="s">
        <v>71</v>
      </c>
      <c r="F923">
        <v>19</v>
      </c>
      <c r="G923" t="str">
        <f t="shared" si="32"/>
        <v>CoStep5StepTimeT19</v>
      </c>
      <c r="J923" s="26" t="s">
        <v>74</v>
      </c>
      <c r="K923">
        <v>130</v>
      </c>
      <c r="L923" t="str">
        <f t="shared" si="33"/>
        <v>J130</v>
      </c>
    </row>
    <row r="924" spans="1:12" x14ac:dyDescent="0.2">
      <c r="A924" s="26" t="s">
        <v>36</v>
      </c>
      <c r="B924" t="s">
        <v>69</v>
      </c>
      <c r="C924">
        <v>5</v>
      </c>
      <c r="D924" s="26" t="s">
        <v>401</v>
      </c>
      <c r="E924" t="s">
        <v>71</v>
      </c>
      <c r="F924">
        <v>19</v>
      </c>
      <c r="G924" t="str">
        <f t="shared" si="32"/>
        <v>CoStep5DoubleSupportTimeT19</v>
      </c>
      <c r="J924" s="26" t="s">
        <v>75</v>
      </c>
      <c r="K924">
        <v>130</v>
      </c>
      <c r="L924" t="str">
        <f t="shared" si="33"/>
        <v>O130</v>
      </c>
    </row>
    <row r="925" spans="1:12" x14ac:dyDescent="0.2">
      <c r="A925" s="26" t="s">
        <v>36</v>
      </c>
      <c r="B925" t="s">
        <v>69</v>
      </c>
      <c r="C925">
        <v>5</v>
      </c>
      <c r="D925" s="26" t="s">
        <v>402</v>
      </c>
      <c r="E925" t="s">
        <v>71</v>
      </c>
      <c r="F925">
        <v>19</v>
      </c>
      <c r="G925" t="str">
        <f t="shared" si="32"/>
        <v>CoStep5StanceTimeT19</v>
      </c>
      <c r="J925" s="26" t="s">
        <v>71</v>
      </c>
      <c r="K925">
        <v>130</v>
      </c>
      <c r="L925" t="str">
        <f t="shared" si="33"/>
        <v>T130</v>
      </c>
    </row>
    <row r="926" spans="1:12" x14ac:dyDescent="0.2">
      <c r="A926" s="26" t="s">
        <v>36</v>
      </c>
      <c r="B926" t="s">
        <v>69</v>
      </c>
      <c r="C926">
        <v>6</v>
      </c>
      <c r="D926" s="26" t="s">
        <v>384</v>
      </c>
      <c r="E926" t="s">
        <v>71</v>
      </c>
      <c r="F926">
        <v>19</v>
      </c>
      <c r="G926" t="str">
        <f t="shared" si="32"/>
        <v>CoStep6ColorT19</v>
      </c>
      <c r="J926" s="26" t="s">
        <v>72</v>
      </c>
      <c r="K926">
        <v>155</v>
      </c>
      <c r="L926" t="str">
        <f t="shared" si="33"/>
        <v>B155</v>
      </c>
    </row>
    <row r="927" spans="1:12" x14ac:dyDescent="0.2">
      <c r="A927" s="26" t="s">
        <v>36</v>
      </c>
      <c r="B927" t="s">
        <v>69</v>
      </c>
      <c r="C927">
        <v>6</v>
      </c>
      <c r="D927" t="s">
        <v>68</v>
      </c>
      <c r="E927" t="s">
        <v>71</v>
      </c>
      <c r="F927">
        <v>19</v>
      </c>
      <c r="G927" t="str">
        <f t="shared" si="32"/>
        <v>CoStep6StepLengthT19</v>
      </c>
      <c r="J927" s="26" t="s">
        <v>73</v>
      </c>
      <c r="K927">
        <v>155</v>
      </c>
      <c r="L927" t="str">
        <f t="shared" si="33"/>
        <v>E155</v>
      </c>
    </row>
    <row r="928" spans="1:12" x14ac:dyDescent="0.2">
      <c r="A928" s="26" t="s">
        <v>36</v>
      </c>
      <c r="B928" t="s">
        <v>69</v>
      </c>
      <c r="C928">
        <v>6</v>
      </c>
      <c r="D928" s="26" t="s">
        <v>400</v>
      </c>
      <c r="E928" t="s">
        <v>71</v>
      </c>
      <c r="F928">
        <v>19</v>
      </c>
      <c r="G928" t="str">
        <f t="shared" si="32"/>
        <v>CoStep6StepTimeT19</v>
      </c>
      <c r="J928" s="26" t="s">
        <v>74</v>
      </c>
      <c r="K928">
        <v>155</v>
      </c>
      <c r="L928" t="str">
        <f t="shared" si="33"/>
        <v>J155</v>
      </c>
    </row>
    <row r="929" spans="1:12" x14ac:dyDescent="0.2">
      <c r="A929" s="26" t="s">
        <v>36</v>
      </c>
      <c r="B929" t="s">
        <v>69</v>
      </c>
      <c r="C929">
        <v>6</v>
      </c>
      <c r="D929" s="26" t="s">
        <v>401</v>
      </c>
      <c r="E929" t="s">
        <v>71</v>
      </c>
      <c r="F929">
        <v>19</v>
      </c>
      <c r="G929" t="str">
        <f t="shared" si="32"/>
        <v>CoStep6DoubleSupportTimeT19</v>
      </c>
      <c r="J929" s="26" t="s">
        <v>75</v>
      </c>
      <c r="K929">
        <v>155</v>
      </c>
      <c r="L929" t="str">
        <f t="shared" si="33"/>
        <v>O155</v>
      </c>
    </row>
    <row r="930" spans="1:12" x14ac:dyDescent="0.2">
      <c r="A930" s="26" t="s">
        <v>36</v>
      </c>
      <c r="B930" t="s">
        <v>69</v>
      </c>
      <c r="C930">
        <v>6</v>
      </c>
      <c r="D930" s="26" t="s">
        <v>402</v>
      </c>
      <c r="E930" t="s">
        <v>71</v>
      </c>
      <c r="F930">
        <v>19</v>
      </c>
      <c r="G930" t="str">
        <f t="shared" si="32"/>
        <v>CoStep6StanceTimeT19</v>
      </c>
      <c r="J930" s="26" t="s">
        <v>71</v>
      </c>
      <c r="K930">
        <v>155</v>
      </c>
      <c r="L930" t="str">
        <f t="shared" si="33"/>
        <v>T155</v>
      </c>
    </row>
    <row r="931" spans="1:12" x14ac:dyDescent="0.2">
      <c r="A931" s="26" t="s">
        <v>36</v>
      </c>
      <c r="B931" t="s">
        <v>69</v>
      </c>
      <c r="C931">
        <v>7</v>
      </c>
      <c r="D931" s="26" t="s">
        <v>384</v>
      </c>
      <c r="E931" t="s">
        <v>71</v>
      </c>
      <c r="F931">
        <v>19</v>
      </c>
      <c r="G931" t="str">
        <f t="shared" si="32"/>
        <v>CoStep7ColorT19</v>
      </c>
      <c r="J931" s="26" t="s">
        <v>72</v>
      </c>
      <c r="K931">
        <v>188</v>
      </c>
      <c r="L931" t="str">
        <f t="shared" si="33"/>
        <v>B188</v>
      </c>
    </row>
    <row r="932" spans="1:12" x14ac:dyDescent="0.2">
      <c r="A932" s="26" t="s">
        <v>36</v>
      </c>
      <c r="B932" t="s">
        <v>69</v>
      </c>
      <c r="C932">
        <v>7</v>
      </c>
      <c r="D932" t="s">
        <v>68</v>
      </c>
      <c r="E932" t="s">
        <v>71</v>
      </c>
      <c r="F932">
        <v>19</v>
      </c>
      <c r="G932" t="str">
        <f t="shared" si="32"/>
        <v>CoStep7StepLengthT19</v>
      </c>
      <c r="J932" s="26" t="s">
        <v>73</v>
      </c>
      <c r="K932">
        <v>188</v>
      </c>
      <c r="L932" t="str">
        <f t="shared" si="33"/>
        <v>E188</v>
      </c>
    </row>
    <row r="933" spans="1:12" x14ac:dyDescent="0.2">
      <c r="A933" s="26" t="s">
        <v>36</v>
      </c>
      <c r="B933" t="s">
        <v>69</v>
      </c>
      <c r="C933">
        <v>7</v>
      </c>
      <c r="D933" s="26" t="s">
        <v>400</v>
      </c>
      <c r="E933" t="s">
        <v>71</v>
      </c>
      <c r="F933">
        <v>19</v>
      </c>
      <c r="G933" t="str">
        <f t="shared" si="32"/>
        <v>CoStep7StepTimeT19</v>
      </c>
      <c r="J933" s="26" t="s">
        <v>74</v>
      </c>
      <c r="K933">
        <v>188</v>
      </c>
      <c r="L933" t="str">
        <f t="shared" si="33"/>
        <v>J188</v>
      </c>
    </row>
    <row r="934" spans="1:12" x14ac:dyDescent="0.2">
      <c r="A934" s="26" t="s">
        <v>36</v>
      </c>
      <c r="B934" t="s">
        <v>69</v>
      </c>
      <c r="C934">
        <v>7</v>
      </c>
      <c r="D934" s="26" t="s">
        <v>401</v>
      </c>
      <c r="E934" t="s">
        <v>71</v>
      </c>
      <c r="F934">
        <v>19</v>
      </c>
      <c r="G934" t="str">
        <f t="shared" si="32"/>
        <v>CoStep7DoubleSupportTimeT19</v>
      </c>
      <c r="J934" s="26" t="s">
        <v>75</v>
      </c>
      <c r="K934">
        <v>188</v>
      </c>
      <c r="L934" t="str">
        <f t="shared" si="33"/>
        <v>O188</v>
      </c>
    </row>
    <row r="935" spans="1:12" x14ac:dyDescent="0.2">
      <c r="A935" s="26" t="s">
        <v>36</v>
      </c>
      <c r="B935" t="s">
        <v>69</v>
      </c>
      <c r="C935">
        <v>7</v>
      </c>
      <c r="D935" s="26" t="s">
        <v>402</v>
      </c>
      <c r="E935" t="s">
        <v>71</v>
      </c>
      <c r="F935">
        <v>19</v>
      </c>
      <c r="G935" t="str">
        <f t="shared" si="32"/>
        <v>CoStep7StanceTimeT19</v>
      </c>
      <c r="J935" s="26" t="s">
        <v>71</v>
      </c>
      <c r="K935">
        <v>188</v>
      </c>
      <c r="L935" t="str">
        <f t="shared" si="33"/>
        <v>T188</v>
      </c>
    </row>
    <row r="936" spans="1:12" x14ac:dyDescent="0.2">
      <c r="A936" s="26" t="s">
        <v>36</v>
      </c>
      <c r="B936" t="s">
        <v>69</v>
      </c>
      <c r="C936">
        <v>8</v>
      </c>
      <c r="D936" s="26" t="s">
        <v>384</v>
      </c>
      <c r="E936" t="s">
        <v>71</v>
      </c>
      <c r="F936">
        <v>19</v>
      </c>
      <c r="G936" t="str">
        <f t="shared" si="32"/>
        <v>CoStep8ColorT19</v>
      </c>
      <c r="J936" s="26" t="s">
        <v>72</v>
      </c>
      <c r="K936">
        <v>205</v>
      </c>
      <c r="L936" t="str">
        <f t="shared" si="33"/>
        <v>B205</v>
      </c>
    </row>
    <row r="937" spans="1:12" x14ac:dyDescent="0.2">
      <c r="A937" s="26" t="s">
        <v>36</v>
      </c>
      <c r="B937" t="s">
        <v>69</v>
      </c>
      <c r="C937">
        <v>8</v>
      </c>
      <c r="D937" t="s">
        <v>68</v>
      </c>
      <c r="E937" t="s">
        <v>71</v>
      </c>
      <c r="F937">
        <v>19</v>
      </c>
      <c r="G937" t="str">
        <f t="shared" si="32"/>
        <v>CoStep8StepLengthT19</v>
      </c>
      <c r="J937" s="26" t="s">
        <v>73</v>
      </c>
      <c r="K937">
        <v>205</v>
      </c>
      <c r="L937" t="str">
        <f t="shared" si="33"/>
        <v>E205</v>
      </c>
    </row>
    <row r="938" spans="1:12" x14ac:dyDescent="0.2">
      <c r="A938" s="26" t="s">
        <v>36</v>
      </c>
      <c r="B938" t="s">
        <v>69</v>
      </c>
      <c r="C938">
        <v>8</v>
      </c>
      <c r="D938" s="26" t="s">
        <v>400</v>
      </c>
      <c r="E938" t="s">
        <v>71</v>
      </c>
      <c r="F938">
        <v>19</v>
      </c>
      <c r="G938" t="str">
        <f t="shared" si="32"/>
        <v>CoStep8StepTimeT19</v>
      </c>
      <c r="J938" s="26" t="s">
        <v>74</v>
      </c>
      <c r="K938">
        <v>205</v>
      </c>
      <c r="L938" t="str">
        <f t="shared" si="33"/>
        <v>J205</v>
      </c>
    </row>
    <row r="939" spans="1:12" x14ac:dyDescent="0.2">
      <c r="A939" s="26" t="s">
        <v>36</v>
      </c>
      <c r="B939" t="s">
        <v>69</v>
      </c>
      <c r="C939">
        <v>8</v>
      </c>
      <c r="D939" s="26" t="s">
        <v>401</v>
      </c>
      <c r="E939" t="s">
        <v>71</v>
      </c>
      <c r="F939">
        <v>19</v>
      </c>
      <c r="G939" t="str">
        <f t="shared" si="32"/>
        <v>CoStep8DoubleSupportTimeT19</v>
      </c>
      <c r="J939" s="26" t="s">
        <v>75</v>
      </c>
      <c r="K939">
        <v>205</v>
      </c>
      <c r="L939" t="str">
        <f t="shared" si="33"/>
        <v>O205</v>
      </c>
    </row>
    <row r="940" spans="1:12" x14ac:dyDescent="0.2">
      <c r="A940" s="26" t="s">
        <v>36</v>
      </c>
      <c r="B940" t="s">
        <v>69</v>
      </c>
      <c r="C940">
        <v>8</v>
      </c>
      <c r="D940" s="26" t="s">
        <v>402</v>
      </c>
      <c r="E940" t="s">
        <v>71</v>
      </c>
      <c r="F940">
        <v>19</v>
      </c>
      <c r="G940" t="str">
        <f t="shared" si="32"/>
        <v>CoStep8StanceTimeT19</v>
      </c>
      <c r="J940" s="26" t="s">
        <v>71</v>
      </c>
      <c r="K940">
        <v>205</v>
      </c>
      <c r="L940" t="str">
        <f t="shared" si="33"/>
        <v>T205</v>
      </c>
    </row>
    <row r="941" spans="1:12" x14ac:dyDescent="0.2">
      <c r="A941" s="26" t="s">
        <v>36</v>
      </c>
      <c r="B941" t="s">
        <v>69</v>
      </c>
      <c r="C941">
        <v>9</v>
      </c>
      <c r="D941" s="26" t="s">
        <v>384</v>
      </c>
      <c r="E941" t="s">
        <v>71</v>
      </c>
      <c r="F941">
        <v>19</v>
      </c>
      <c r="G941" t="str">
        <f t="shared" si="32"/>
        <v>CoStep9ColorT19</v>
      </c>
      <c r="J941" s="26" t="s">
        <v>72</v>
      </c>
      <c r="K941">
        <v>230</v>
      </c>
      <c r="L941" t="str">
        <f t="shared" si="33"/>
        <v>B230</v>
      </c>
    </row>
    <row r="942" spans="1:12" x14ac:dyDescent="0.2">
      <c r="A942" s="26" t="s">
        <v>36</v>
      </c>
      <c r="B942" t="s">
        <v>69</v>
      </c>
      <c r="C942">
        <v>9</v>
      </c>
      <c r="D942" t="s">
        <v>68</v>
      </c>
      <c r="E942" t="s">
        <v>71</v>
      </c>
      <c r="F942">
        <v>19</v>
      </c>
      <c r="G942" t="str">
        <f t="shared" si="32"/>
        <v>CoStep9StepLengthT19</v>
      </c>
      <c r="J942" s="26" t="s">
        <v>73</v>
      </c>
      <c r="K942">
        <v>230</v>
      </c>
      <c r="L942" t="str">
        <f t="shared" si="33"/>
        <v>E230</v>
      </c>
    </row>
    <row r="943" spans="1:12" x14ac:dyDescent="0.2">
      <c r="A943" s="26" t="s">
        <v>36</v>
      </c>
      <c r="B943" t="s">
        <v>69</v>
      </c>
      <c r="C943">
        <v>9</v>
      </c>
      <c r="D943" s="26" t="s">
        <v>400</v>
      </c>
      <c r="E943" t="s">
        <v>71</v>
      </c>
      <c r="F943">
        <v>19</v>
      </c>
      <c r="G943" t="str">
        <f t="shared" si="32"/>
        <v>CoStep9StepTimeT19</v>
      </c>
      <c r="J943" s="26" t="s">
        <v>74</v>
      </c>
      <c r="K943">
        <v>230</v>
      </c>
      <c r="L943" t="str">
        <f t="shared" si="33"/>
        <v>J230</v>
      </c>
    </row>
    <row r="944" spans="1:12" x14ac:dyDescent="0.2">
      <c r="A944" s="26" t="s">
        <v>36</v>
      </c>
      <c r="B944" t="s">
        <v>69</v>
      </c>
      <c r="C944">
        <v>9</v>
      </c>
      <c r="D944" s="26" t="s">
        <v>401</v>
      </c>
      <c r="E944" t="s">
        <v>71</v>
      </c>
      <c r="F944">
        <v>19</v>
      </c>
      <c r="G944" t="str">
        <f t="shared" si="32"/>
        <v>CoStep9DoubleSupportTimeT19</v>
      </c>
      <c r="J944" s="26" t="s">
        <v>75</v>
      </c>
      <c r="K944">
        <v>230</v>
      </c>
      <c r="L944" t="str">
        <f t="shared" si="33"/>
        <v>O230</v>
      </c>
    </row>
    <row r="945" spans="1:12" x14ac:dyDescent="0.2">
      <c r="A945" s="26" t="s">
        <v>36</v>
      </c>
      <c r="B945" t="s">
        <v>69</v>
      </c>
      <c r="C945">
        <v>9</v>
      </c>
      <c r="D945" s="26" t="s">
        <v>402</v>
      </c>
      <c r="E945" t="s">
        <v>71</v>
      </c>
      <c r="F945">
        <v>19</v>
      </c>
      <c r="G945" t="str">
        <f t="shared" si="32"/>
        <v>CoStep9StanceTimeT19</v>
      </c>
      <c r="J945" s="26" t="s">
        <v>71</v>
      </c>
      <c r="K945">
        <v>230</v>
      </c>
      <c r="L945" t="str">
        <f t="shared" si="33"/>
        <v>T230</v>
      </c>
    </row>
    <row r="946" spans="1:12" x14ac:dyDescent="0.2">
      <c r="A946" s="26" t="s">
        <v>36</v>
      </c>
      <c r="B946" t="s">
        <v>69</v>
      </c>
      <c r="C946">
        <v>10</v>
      </c>
      <c r="D946" s="26" t="s">
        <v>384</v>
      </c>
      <c r="E946" t="s">
        <v>71</v>
      </c>
      <c r="F946">
        <v>19</v>
      </c>
      <c r="G946" t="str">
        <f t="shared" si="32"/>
        <v>CoStep10ColorT19</v>
      </c>
      <c r="J946" s="26" t="s">
        <v>72</v>
      </c>
      <c r="K946">
        <v>255</v>
      </c>
      <c r="L946" t="str">
        <f t="shared" si="33"/>
        <v>B255</v>
      </c>
    </row>
    <row r="947" spans="1:12" x14ac:dyDescent="0.2">
      <c r="A947" s="26" t="s">
        <v>36</v>
      </c>
      <c r="B947" t="s">
        <v>69</v>
      </c>
      <c r="C947">
        <v>10</v>
      </c>
      <c r="D947" t="s">
        <v>68</v>
      </c>
      <c r="E947" t="s">
        <v>71</v>
      </c>
      <c r="F947">
        <v>19</v>
      </c>
      <c r="G947" t="str">
        <f t="shared" si="32"/>
        <v>CoStep10StepLengthT19</v>
      </c>
      <c r="J947" s="26" t="s">
        <v>73</v>
      </c>
      <c r="K947">
        <v>255</v>
      </c>
      <c r="L947" t="str">
        <f t="shared" si="33"/>
        <v>E255</v>
      </c>
    </row>
    <row r="948" spans="1:12" x14ac:dyDescent="0.2">
      <c r="A948" s="26" t="s">
        <v>36</v>
      </c>
      <c r="B948" t="s">
        <v>69</v>
      </c>
      <c r="C948">
        <v>10</v>
      </c>
      <c r="D948" s="26" t="s">
        <v>400</v>
      </c>
      <c r="E948" t="s">
        <v>71</v>
      </c>
      <c r="F948">
        <v>19</v>
      </c>
      <c r="G948" t="str">
        <f t="shared" si="32"/>
        <v>CoStep10StepTimeT19</v>
      </c>
      <c r="J948" s="26" t="s">
        <v>74</v>
      </c>
      <c r="K948">
        <v>255</v>
      </c>
      <c r="L948" t="str">
        <f t="shared" si="33"/>
        <v>J255</v>
      </c>
    </row>
    <row r="949" spans="1:12" x14ac:dyDescent="0.2">
      <c r="A949" s="26" t="s">
        <v>36</v>
      </c>
      <c r="B949" t="s">
        <v>69</v>
      </c>
      <c r="C949">
        <v>10</v>
      </c>
      <c r="D949" s="26" t="s">
        <v>401</v>
      </c>
      <c r="E949" t="s">
        <v>71</v>
      </c>
      <c r="F949">
        <v>19</v>
      </c>
      <c r="G949" t="str">
        <f t="shared" si="32"/>
        <v>CoStep10DoubleSupportTimeT19</v>
      </c>
      <c r="J949" s="26" t="s">
        <v>75</v>
      </c>
      <c r="K949">
        <v>255</v>
      </c>
      <c r="L949" t="str">
        <f t="shared" si="33"/>
        <v>O255</v>
      </c>
    </row>
    <row r="950" spans="1:12" x14ac:dyDescent="0.2">
      <c r="A950" s="26" t="s">
        <v>36</v>
      </c>
      <c r="B950" t="s">
        <v>69</v>
      </c>
      <c r="C950">
        <v>10</v>
      </c>
      <c r="D950" s="26" t="s">
        <v>402</v>
      </c>
      <c r="E950" t="s">
        <v>71</v>
      </c>
      <c r="F950">
        <v>19</v>
      </c>
      <c r="G950" t="str">
        <f t="shared" si="32"/>
        <v>CoStep10StanceTimeT19</v>
      </c>
      <c r="J950" s="26" t="s">
        <v>71</v>
      </c>
      <c r="K950">
        <v>255</v>
      </c>
      <c r="L950" t="str">
        <f t="shared" si="33"/>
        <v>T255</v>
      </c>
    </row>
    <row r="951" spans="1:12" x14ac:dyDescent="0.2">
      <c r="A951" s="26" t="s">
        <v>36</v>
      </c>
      <c r="B951" t="s">
        <v>69</v>
      </c>
      <c r="C951">
        <v>1</v>
      </c>
      <c r="D951" s="26" t="s">
        <v>384</v>
      </c>
      <c r="E951" t="s">
        <v>71</v>
      </c>
      <c r="F951">
        <v>20</v>
      </c>
      <c r="G951" t="str">
        <f t="shared" si="32"/>
        <v>CoStep1ColorT20</v>
      </c>
      <c r="J951" s="26" t="s">
        <v>72</v>
      </c>
      <c r="K951">
        <v>30</v>
      </c>
      <c r="L951" t="str">
        <f>J951&amp;K951</f>
        <v>B30</v>
      </c>
    </row>
    <row r="952" spans="1:12" x14ac:dyDescent="0.2">
      <c r="A952" s="26" t="s">
        <v>36</v>
      </c>
      <c r="B952" t="s">
        <v>69</v>
      </c>
      <c r="C952">
        <v>1</v>
      </c>
      <c r="D952" t="s">
        <v>68</v>
      </c>
      <c r="E952" t="s">
        <v>71</v>
      </c>
      <c r="F952">
        <v>20</v>
      </c>
      <c r="G952" t="str">
        <f t="shared" si="32"/>
        <v>CoStep1StepLengthT20</v>
      </c>
      <c r="J952" s="26" t="s">
        <v>73</v>
      </c>
      <c r="K952">
        <v>30</v>
      </c>
      <c r="L952" t="str">
        <f t="shared" ref="L952:L1001" si="34">J952&amp;K952</f>
        <v>E30</v>
      </c>
    </row>
    <row r="953" spans="1:12" x14ac:dyDescent="0.2">
      <c r="A953" s="26" t="s">
        <v>36</v>
      </c>
      <c r="B953" t="s">
        <v>69</v>
      </c>
      <c r="C953">
        <v>1</v>
      </c>
      <c r="D953" s="26" t="s">
        <v>400</v>
      </c>
      <c r="E953" t="s">
        <v>71</v>
      </c>
      <c r="F953">
        <v>20</v>
      </c>
      <c r="G953" t="str">
        <f t="shared" si="32"/>
        <v>CoStep1StepTimeT20</v>
      </c>
      <c r="J953" s="26" t="s">
        <v>74</v>
      </c>
      <c r="K953">
        <v>30</v>
      </c>
      <c r="L953" t="str">
        <f t="shared" si="34"/>
        <v>J30</v>
      </c>
    </row>
    <row r="954" spans="1:12" x14ac:dyDescent="0.2">
      <c r="A954" s="26" t="s">
        <v>36</v>
      </c>
      <c r="B954" t="s">
        <v>69</v>
      </c>
      <c r="C954">
        <v>1</v>
      </c>
      <c r="D954" s="26" t="s">
        <v>401</v>
      </c>
      <c r="E954" t="s">
        <v>71</v>
      </c>
      <c r="F954">
        <v>20</v>
      </c>
      <c r="G954" t="str">
        <f t="shared" si="32"/>
        <v>CoStep1DoubleSupportTimeT20</v>
      </c>
      <c r="J954" s="26" t="s">
        <v>75</v>
      </c>
      <c r="K954">
        <v>30</v>
      </c>
      <c r="L954" t="str">
        <f t="shared" si="34"/>
        <v>O30</v>
      </c>
    </row>
    <row r="955" spans="1:12" x14ac:dyDescent="0.2">
      <c r="A955" s="26" t="s">
        <v>36</v>
      </c>
      <c r="B955" t="s">
        <v>69</v>
      </c>
      <c r="C955">
        <v>1</v>
      </c>
      <c r="D955" s="26" t="s">
        <v>402</v>
      </c>
      <c r="E955" t="s">
        <v>71</v>
      </c>
      <c r="F955">
        <v>20</v>
      </c>
      <c r="G955" t="str">
        <f t="shared" si="32"/>
        <v>CoStep1StanceTimeT20</v>
      </c>
      <c r="J955" s="26" t="s">
        <v>71</v>
      </c>
      <c r="K955">
        <v>30</v>
      </c>
      <c r="L955" t="str">
        <f t="shared" si="34"/>
        <v>T30</v>
      </c>
    </row>
    <row r="956" spans="1:12" x14ac:dyDescent="0.2">
      <c r="A956" s="26" t="s">
        <v>36</v>
      </c>
      <c r="B956" t="s">
        <v>69</v>
      </c>
      <c r="C956">
        <v>2</v>
      </c>
      <c r="D956" s="26" t="s">
        <v>384</v>
      </c>
      <c r="E956" t="s">
        <v>71</v>
      </c>
      <c r="F956">
        <v>20</v>
      </c>
      <c r="G956" t="str">
        <f t="shared" si="32"/>
        <v>CoStep2ColorT20</v>
      </c>
      <c r="J956" s="26" t="s">
        <v>72</v>
      </c>
      <c r="K956">
        <v>55</v>
      </c>
      <c r="L956" t="str">
        <f t="shared" si="34"/>
        <v>B55</v>
      </c>
    </row>
    <row r="957" spans="1:12" x14ac:dyDescent="0.2">
      <c r="A957" s="26" t="s">
        <v>36</v>
      </c>
      <c r="B957" t="s">
        <v>69</v>
      </c>
      <c r="C957">
        <v>2</v>
      </c>
      <c r="D957" t="s">
        <v>68</v>
      </c>
      <c r="E957" t="s">
        <v>71</v>
      </c>
      <c r="F957">
        <v>20</v>
      </c>
      <c r="G957" t="str">
        <f t="shared" si="32"/>
        <v>CoStep2StepLengthT20</v>
      </c>
      <c r="J957" s="26" t="s">
        <v>73</v>
      </c>
      <c r="K957">
        <v>55</v>
      </c>
      <c r="L957" t="str">
        <f t="shared" si="34"/>
        <v>E55</v>
      </c>
    </row>
    <row r="958" spans="1:12" x14ac:dyDescent="0.2">
      <c r="A958" s="26" t="s">
        <v>36</v>
      </c>
      <c r="B958" t="s">
        <v>69</v>
      </c>
      <c r="C958">
        <v>2</v>
      </c>
      <c r="D958" s="26" t="s">
        <v>400</v>
      </c>
      <c r="E958" t="s">
        <v>71</v>
      </c>
      <c r="F958">
        <v>20</v>
      </c>
      <c r="G958" t="str">
        <f t="shared" si="32"/>
        <v>CoStep2StepTimeT20</v>
      </c>
      <c r="J958" s="26" t="s">
        <v>74</v>
      </c>
      <c r="K958">
        <v>55</v>
      </c>
      <c r="L958" t="str">
        <f t="shared" si="34"/>
        <v>J55</v>
      </c>
    </row>
    <row r="959" spans="1:12" x14ac:dyDescent="0.2">
      <c r="A959" s="26" t="s">
        <v>36</v>
      </c>
      <c r="B959" t="s">
        <v>69</v>
      </c>
      <c r="C959">
        <v>2</v>
      </c>
      <c r="D959" s="26" t="s">
        <v>401</v>
      </c>
      <c r="E959" t="s">
        <v>71</v>
      </c>
      <c r="F959">
        <v>20</v>
      </c>
      <c r="G959" t="str">
        <f t="shared" si="32"/>
        <v>CoStep2DoubleSupportTimeT20</v>
      </c>
      <c r="J959" s="26" t="s">
        <v>75</v>
      </c>
      <c r="K959">
        <v>55</v>
      </c>
      <c r="L959" t="str">
        <f t="shared" si="34"/>
        <v>O55</v>
      </c>
    </row>
    <row r="960" spans="1:12" x14ac:dyDescent="0.2">
      <c r="A960" s="26" t="s">
        <v>36</v>
      </c>
      <c r="B960" t="s">
        <v>69</v>
      </c>
      <c r="C960">
        <v>2</v>
      </c>
      <c r="D960" s="26" t="s">
        <v>402</v>
      </c>
      <c r="E960" t="s">
        <v>71</v>
      </c>
      <c r="F960">
        <v>20</v>
      </c>
      <c r="G960" t="str">
        <f t="shared" si="32"/>
        <v>CoStep2StanceTimeT20</v>
      </c>
      <c r="J960" s="26" t="s">
        <v>71</v>
      </c>
      <c r="K960">
        <v>55</v>
      </c>
      <c r="L960" t="str">
        <f t="shared" si="34"/>
        <v>T55</v>
      </c>
    </row>
    <row r="961" spans="1:12" x14ac:dyDescent="0.2">
      <c r="A961" s="26" t="s">
        <v>36</v>
      </c>
      <c r="B961" t="s">
        <v>69</v>
      </c>
      <c r="C961">
        <v>3</v>
      </c>
      <c r="D961" s="26" t="s">
        <v>384</v>
      </c>
      <c r="E961" t="s">
        <v>71</v>
      </c>
      <c r="F961">
        <v>20</v>
      </c>
      <c r="G961" t="str">
        <f t="shared" si="32"/>
        <v>CoStep3ColorT20</v>
      </c>
      <c r="J961" s="26" t="s">
        <v>72</v>
      </c>
      <c r="K961">
        <v>80</v>
      </c>
      <c r="L961" t="str">
        <f t="shared" si="34"/>
        <v>B80</v>
      </c>
    </row>
    <row r="962" spans="1:12" x14ac:dyDescent="0.2">
      <c r="A962" s="26" t="s">
        <v>36</v>
      </c>
      <c r="B962" t="s">
        <v>69</v>
      </c>
      <c r="C962">
        <v>3</v>
      </c>
      <c r="D962" t="s">
        <v>68</v>
      </c>
      <c r="E962" t="s">
        <v>71</v>
      </c>
      <c r="F962">
        <v>20</v>
      </c>
      <c r="G962" t="str">
        <f t="shared" si="32"/>
        <v>CoStep3StepLengthT20</v>
      </c>
      <c r="J962" s="26" t="s">
        <v>73</v>
      </c>
      <c r="K962">
        <v>80</v>
      </c>
      <c r="L962" t="str">
        <f t="shared" si="34"/>
        <v>E80</v>
      </c>
    </row>
    <row r="963" spans="1:12" x14ac:dyDescent="0.2">
      <c r="A963" s="26" t="s">
        <v>36</v>
      </c>
      <c r="B963" t="s">
        <v>69</v>
      </c>
      <c r="C963">
        <v>3</v>
      </c>
      <c r="D963" s="26" t="s">
        <v>400</v>
      </c>
      <c r="E963" t="s">
        <v>71</v>
      </c>
      <c r="F963">
        <v>20</v>
      </c>
      <c r="G963" t="str">
        <f t="shared" si="32"/>
        <v>CoStep3StepTimeT20</v>
      </c>
      <c r="J963" s="26" t="s">
        <v>74</v>
      </c>
      <c r="K963">
        <v>80</v>
      </c>
      <c r="L963" t="str">
        <f t="shared" si="34"/>
        <v>J80</v>
      </c>
    </row>
    <row r="964" spans="1:12" x14ac:dyDescent="0.2">
      <c r="A964" s="26" t="s">
        <v>36</v>
      </c>
      <c r="B964" t="s">
        <v>69</v>
      </c>
      <c r="C964">
        <v>3</v>
      </c>
      <c r="D964" s="26" t="s">
        <v>401</v>
      </c>
      <c r="E964" t="s">
        <v>71</v>
      </c>
      <c r="F964">
        <v>20</v>
      </c>
      <c r="G964" t="str">
        <f t="shared" si="32"/>
        <v>CoStep3DoubleSupportTimeT20</v>
      </c>
      <c r="J964" s="26" t="s">
        <v>75</v>
      </c>
      <c r="K964">
        <v>80</v>
      </c>
      <c r="L964" t="str">
        <f t="shared" si="34"/>
        <v>O80</v>
      </c>
    </row>
    <row r="965" spans="1:12" x14ac:dyDescent="0.2">
      <c r="A965" s="26" t="s">
        <v>36</v>
      </c>
      <c r="B965" t="s">
        <v>69</v>
      </c>
      <c r="C965">
        <v>3</v>
      </c>
      <c r="D965" s="26" t="s">
        <v>402</v>
      </c>
      <c r="E965" t="s">
        <v>71</v>
      </c>
      <c r="F965">
        <v>20</v>
      </c>
      <c r="G965" t="str">
        <f t="shared" si="32"/>
        <v>CoStep3StanceTimeT20</v>
      </c>
      <c r="J965" s="26" t="s">
        <v>71</v>
      </c>
      <c r="K965">
        <v>80</v>
      </c>
      <c r="L965" t="str">
        <f t="shared" si="34"/>
        <v>T80</v>
      </c>
    </row>
    <row r="966" spans="1:12" x14ac:dyDescent="0.2">
      <c r="A966" s="26" t="s">
        <v>36</v>
      </c>
      <c r="B966" t="s">
        <v>69</v>
      </c>
      <c r="C966">
        <v>4</v>
      </c>
      <c r="D966" s="26" t="s">
        <v>384</v>
      </c>
      <c r="E966" t="s">
        <v>71</v>
      </c>
      <c r="F966">
        <v>20</v>
      </c>
      <c r="G966" t="str">
        <f t="shared" ref="G966:G1029" si="35">A966&amp;B966&amp;C966&amp;D966&amp;E966&amp;F966</f>
        <v>CoStep4ColorT20</v>
      </c>
      <c r="J966" s="26" t="s">
        <v>72</v>
      </c>
      <c r="K966">
        <v>105</v>
      </c>
      <c r="L966" t="str">
        <f t="shared" si="34"/>
        <v>B105</v>
      </c>
    </row>
    <row r="967" spans="1:12" x14ac:dyDescent="0.2">
      <c r="A967" s="26" t="s">
        <v>36</v>
      </c>
      <c r="B967" t="s">
        <v>69</v>
      </c>
      <c r="C967">
        <v>4</v>
      </c>
      <c r="D967" t="s">
        <v>68</v>
      </c>
      <c r="E967" t="s">
        <v>71</v>
      </c>
      <c r="F967">
        <v>20</v>
      </c>
      <c r="G967" t="str">
        <f t="shared" si="35"/>
        <v>CoStep4StepLengthT20</v>
      </c>
      <c r="J967" s="26" t="s">
        <v>73</v>
      </c>
      <c r="K967">
        <v>105</v>
      </c>
      <c r="L967" t="str">
        <f t="shared" si="34"/>
        <v>E105</v>
      </c>
    </row>
    <row r="968" spans="1:12" x14ac:dyDescent="0.2">
      <c r="A968" s="26" t="s">
        <v>36</v>
      </c>
      <c r="B968" t="s">
        <v>69</v>
      </c>
      <c r="C968">
        <v>4</v>
      </c>
      <c r="D968" s="26" t="s">
        <v>400</v>
      </c>
      <c r="E968" t="s">
        <v>71</v>
      </c>
      <c r="F968">
        <v>20</v>
      </c>
      <c r="G968" t="str">
        <f t="shared" si="35"/>
        <v>CoStep4StepTimeT20</v>
      </c>
      <c r="J968" s="26" t="s">
        <v>74</v>
      </c>
      <c r="K968">
        <v>105</v>
      </c>
      <c r="L968" t="str">
        <f t="shared" si="34"/>
        <v>J105</v>
      </c>
    </row>
    <row r="969" spans="1:12" x14ac:dyDescent="0.2">
      <c r="A969" s="26" t="s">
        <v>36</v>
      </c>
      <c r="B969" t="s">
        <v>69</v>
      </c>
      <c r="C969">
        <v>4</v>
      </c>
      <c r="D969" s="26" t="s">
        <v>401</v>
      </c>
      <c r="E969" t="s">
        <v>71</v>
      </c>
      <c r="F969">
        <v>20</v>
      </c>
      <c r="G969" t="str">
        <f t="shared" si="35"/>
        <v>CoStep4DoubleSupportTimeT20</v>
      </c>
      <c r="J969" s="26" t="s">
        <v>75</v>
      </c>
      <c r="K969">
        <v>105</v>
      </c>
      <c r="L969" t="str">
        <f t="shared" si="34"/>
        <v>O105</v>
      </c>
    </row>
    <row r="970" spans="1:12" x14ac:dyDescent="0.2">
      <c r="A970" s="26" t="s">
        <v>36</v>
      </c>
      <c r="B970" t="s">
        <v>69</v>
      </c>
      <c r="C970">
        <v>4</v>
      </c>
      <c r="D970" s="26" t="s">
        <v>402</v>
      </c>
      <c r="E970" t="s">
        <v>71</v>
      </c>
      <c r="F970">
        <v>20</v>
      </c>
      <c r="G970" t="str">
        <f t="shared" si="35"/>
        <v>CoStep4StanceTimeT20</v>
      </c>
      <c r="J970" s="26" t="s">
        <v>71</v>
      </c>
      <c r="K970">
        <v>105</v>
      </c>
      <c r="L970" t="str">
        <f t="shared" si="34"/>
        <v>T105</v>
      </c>
    </row>
    <row r="971" spans="1:12" x14ac:dyDescent="0.2">
      <c r="A971" s="26" t="s">
        <v>36</v>
      </c>
      <c r="B971" t="s">
        <v>69</v>
      </c>
      <c r="C971">
        <v>5</v>
      </c>
      <c r="D971" s="26" t="s">
        <v>384</v>
      </c>
      <c r="E971" t="s">
        <v>71</v>
      </c>
      <c r="F971">
        <v>20</v>
      </c>
      <c r="G971" t="str">
        <f t="shared" si="35"/>
        <v>CoStep5ColorT20</v>
      </c>
      <c r="J971" s="26" t="s">
        <v>72</v>
      </c>
      <c r="K971">
        <v>130</v>
      </c>
      <c r="L971" t="str">
        <f t="shared" si="34"/>
        <v>B130</v>
      </c>
    </row>
    <row r="972" spans="1:12" x14ac:dyDescent="0.2">
      <c r="A972" s="26" t="s">
        <v>36</v>
      </c>
      <c r="B972" t="s">
        <v>69</v>
      </c>
      <c r="C972">
        <v>5</v>
      </c>
      <c r="D972" t="s">
        <v>68</v>
      </c>
      <c r="E972" t="s">
        <v>71</v>
      </c>
      <c r="F972">
        <v>20</v>
      </c>
      <c r="G972" t="str">
        <f t="shared" si="35"/>
        <v>CoStep5StepLengthT20</v>
      </c>
      <c r="J972" s="26" t="s">
        <v>73</v>
      </c>
      <c r="K972">
        <v>130</v>
      </c>
      <c r="L972" t="str">
        <f t="shared" si="34"/>
        <v>E130</v>
      </c>
    </row>
    <row r="973" spans="1:12" x14ac:dyDescent="0.2">
      <c r="A973" s="26" t="s">
        <v>36</v>
      </c>
      <c r="B973" t="s">
        <v>69</v>
      </c>
      <c r="C973">
        <v>5</v>
      </c>
      <c r="D973" s="26" t="s">
        <v>400</v>
      </c>
      <c r="E973" t="s">
        <v>71</v>
      </c>
      <c r="F973">
        <v>20</v>
      </c>
      <c r="G973" t="str">
        <f t="shared" si="35"/>
        <v>CoStep5StepTimeT20</v>
      </c>
      <c r="J973" s="26" t="s">
        <v>74</v>
      </c>
      <c r="K973">
        <v>130</v>
      </c>
      <c r="L973" t="str">
        <f t="shared" si="34"/>
        <v>J130</v>
      </c>
    </row>
    <row r="974" spans="1:12" x14ac:dyDescent="0.2">
      <c r="A974" s="26" t="s">
        <v>36</v>
      </c>
      <c r="B974" t="s">
        <v>69</v>
      </c>
      <c r="C974">
        <v>5</v>
      </c>
      <c r="D974" s="26" t="s">
        <v>401</v>
      </c>
      <c r="E974" t="s">
        <v>71</v>
      </c>
      <c r="F974">
        <v>20</v>
      </c>
      <c r="G974" t="str">
        <f t="shared" si="35"/>
        <v>CoStep5DoubleSupportTimeT20</v>
      </c>
      <c r="J974" s="26" t="s">
        <v>75</v>
      </c>
      <c r="K974">
        <v>130</v>
      </c>
      <c r="L974" t="str">
        <f t="shared" si="34"/>
        <v>O130</v>
      </c>
    </row>
    <row r="975" spans="1:12" x14ac:dyDescent="0.2">
      <c r="A975" s="26" t="s">
        <v>36</v>
      </c>
      <c r="B975" t="s">
        <v>69</v>
      </c>
      <c r="C975">
        <v>5</v>
      </c>
      <c r="D975" s="26" t="s">
        <v>402</v>
      </c>
      <c r="E975" t="s">
        <v>71</v>
      </c>
      <c r="F975">
        <v>20</v>
      </c>
      <c r="G975" t="str">
        <f t="shared" si="35"/>
        <v>CoStep5StanceTimeT20</v>
      </c>
      <c r="J975" s="26" t="s">
        <v>71</v>
      </c>
      <c r="K975">
        <v>130</v>
      </c>
      <c r="L975" t="str">
        <f t="shared" si="34"/>
        <v>T130</v>
      </c>
    </row>
    <row r="976" spans="1:12" x14ac:dyDescent="0.2">
      <c r="A976" s="26" t="s">
        <v>36</v>
      </c>
      <c r="B976" t="s">
        <v>69</v>
      </c>
      <c r="C976">
        <v>6</v>
      </c>
      <c r="D976" s="26" t="s">
        <v>384</v>
      </c>
      <c r="E976" t="s">
        <v>71</v>
      </c>
      <c r="F976">
        <v>20</v>
      </c>
      <c r="G976" t="str">
        <f t="shared" si="35"/>
        <v>CoStep6ColorT20</v>
      </c>
      <c r="J976" s="26" t="s">
        <v>72</v>
      </c>
      <c r="K976">
        <v>155</v>
      </c>
      <c r="L976" t="str">
        <f t="shared" si="34"/>
        <v>B155</v>
      </c>
    </row>
    <row r="977" spans="1:12" x14ac:dyDescent="0.2">
      <c r="A977" s="26" t="s">
        <v>36</v>
      </c>
      <c r="B977" t="s">
        <v>69</v>
      </c>
      <c r="C977">
        <v>6</v>
      </c>
      <c r="D977" t="s">
        <v>68</v>
      </c>
      <c r="E977" t="s">
        <v>71</v>
      </c>
      <c r="F977">
        <v>20</v>
      </c>
      <c r="G977" t="str">
        <f t="shared" si="35"/>
        <v>CoStep6StepLengthT20</v>
      </c>
      <c r="J977" s="26" t="s">
        <v>73</v>
      </c>
      <c r="K977">
        <v>155</v>
      </c>
      <c r="L977" t="str">
        <f t="shared" si="34"/>
        <v>E155</v>
      </c>
    </row>
    <row r="978" spans="1:12" x14ac:dyDescent="0.2">
      <c r="A978" s="26" t="s">
        <v>36</v>
      </c>
      <c r="B978" t="s">
        <v>69</v>
      </c>
      <c r="C978">
        <v>6</v>
      </c>
      <c r="D978" s="26" t="s">
        <v>400</v>
      </c>
      <c r="E978" t="s">
        <v>71</v>
      </c>
      <c r="F978">
        <v>20</v>
      </c>
      <c r="G978" t="str">
        <f t="shared" si="35"/>
        <v>CoStep6StepTimeT20</v>
      </c>
      <c r="J978" s="26" t="s">
        <v>74</v>
      </c>
      <c r="K978">
        <v>155</v>
      </c>
      <c r="L978" t="str">
        <f t="shared" si="34"/>
        <v>J155</v>
      </c>
    </row>
    <row r="979" spans="1:12" x14ac:dyDescent="0.2">
      <c r="A979" s="26" t="s">
        <v>36</v>
      </c>
      <c r="B979" t="s">
        <v>69</v>
      </c>
      <c r="C979">
        <v>6</v>
      </c>
      <c r="D979" s="26" t="s">
        <v>401</v>
      </c>
      <c r="E979" t="s">
        <v>71</v>
      </c>
      <c r="F979">
        <v>20</v>
      </c>
      <c r="G979" t="str">
        <f t="shared" si="35"/>
        <v>CoStep6DoubleSupportTimeT20</v>
      </c>
      <c r="J979" s="26" t="s">
        <v>75</v>
      </c>
      <c r="K979">
        <v>155</v>
      </c>
      <c r="L979" t="str">
        <f t="shared" si="34"/>
        <v>O155</v>
      </c>
    </row>
    <row r="980" spans="1:12" x14ac:dyDescent="0.2">
      <c r="A980" s="26" t="s">
        <v>36</v>
      </c>
      <c r="B980" t="s">
        <v>69</v>
      </c>
      <c r="C980">
        <v>6</v>
      </c>
      <c r="D980" s="26" t="s">
        <v>402</v>
      </c>
      <c r="E980" t="s">
        <v>71</v>
      </c>
      <c r="F980">
        <v>20</v>
      </c>
      <c r="G980" t="str">
        <f t="shared" si="35"/>
        <v>CoStep6StanceTimeT20</v>
      </c>
      <c r="J980" s="26" t="s">
        <v>71</v>
      </c>
      <c r="K980">
        <v>155</v>
      </c>
      <c r="L980" t="str">
        <f t="shared" si="34"/>
        <v>T155</v>
      </c>
    </row>
    <row r="981" spans="1:12" x14ac:dyDescent="0.2">
      <c r="A981" s="26" t="s">
        <v>36</v>
      </c>
      <c r="B981" t="s">
        <v>69</v>
      </c>
      <c r="C981">
        <v>7</v>
      </c>
      <c r="D981" s="26" t="s">
        <v>384</v>
      </c>
      <c r="E981" t="s">
        <v>71</v>
      </c>
      <c r="F981">
        <v>20</v>
      </c>
      <c r="G981" t="str">
        <f t="shared" si="35"/>
        <v>CoStep7ColorT20</v>
      </c>
      <c r="J981" s="26" t="s">
        <v>72</v>
      </c>
      <c r="K981">
        <v>188</v>
      </c>
      <c r="L981" t="str">
        <f t="shared" si="34"/>
        <v>B188</v>
      </c>
    </row>
    <row r="982" spans="1:12" x14ac:dyDescent="0.2">
      <c r="A982" s="26" t="s">
        <v>36</v>
      </c>
      <c r="B982" t="s">
        <v>69</v>
      </c>
      <c r="C982">
        <v>7</v>
      </c>
      <c r="D982" t="s">
        <v>68</v>
      </c>
      <c r="E982" t="s">
        <v>71</v>
      </c>
      <c r="F982">
        <v>20</v>
      </c>
      <c r="G982" t="str">
        <f t="shared" si="35"/>
        <v>CoStep7StepLengthT20</v>
      </c>
      <c r="J982" s="26" t="s">
        <v>73</v>
      </c>
      <c r="K982">
        <v>188</v>
      </c>
      <c r="L982" t="str">
        <f t="shared" si="34"/>
        <v>E188</v>
      </c>
    </row>
    <row r="983" spans="1:12" x14ac:dyDescent="0.2">
      <c r="A983" s="26" t="s">
        <v>36</v>
      </c>
      <c r="B983" t="s">
        <v>69</v>
      </c>
      <c r="C983">
        <v>7</v>
      </c>
      <c r="D983" s="26" t="s">
        <v>400</v>
      </c>
      <c r="E983" t="s">
        <v>71</v>
      </c>
      <c r="F983">
        <v>20</v>
      </c>
      <c r="G983" t="str">
        <f t="shared" si="35"/>
        <v>CoStep7StepTimeT20</v>
      </c>
      <c r="J983" s="26" t="s">
        <v>74</v>
      </c>
      <c r="K983">
        <v>188</v>
      </c>
      <c r="L983" t="str">
        <f t="shared" si="34"/>
        <v>J188</v>
      </c>
    </row>
    <row r="984" spans="1:12" x14ac:dyDescent="0.2">
      <c r="A984" s="26" t="s">
        <v>36</v>
      </c>
      <c r="B984" t="s">
        <v>69</v>
      </c>
      <c r="C984">
        <v>7</v>
      </c>
      <c r="D984" s="26" t="s">
        <v>401</v>
      </c>
      <c r="E984" t="s">
        <v>71</v>
      </c>
      <c r="F984">
        <v>20</v>
      </c>
      <c r="G984" t="str">
        <f t="shared" si="35"/>
        <v>CoStep7DoubleSupportTimeT20</v>
      </c>
      <c r="J984" s="26" t="s">
        <v>75</v>
      </c>
      <c r="K984">
        <v>188</v>
      </c>
      <c r="L984" t="str">
        <f t="shared" si="34"/>
        <v>O188</v>
      </c>
    </row>
    <row r="985" spans="1:12" x14ac:dyDescent="0.2">
      <c r="A985" s="26" t="s">
        <v>36</v>
      </c>
      <c r="B985" t="s">
        <v>69</v>
      </c>
      <c r="C985">
        <v>7</v>
      </c>
      <c r="D985" s="26" t="s">
        <v>402</v>
      </c>
      <c r="E985" t="s">
        <v>71</v>
      </c>
      <c r="F985">
        <v>20</v>
      </c>
      <c r="G985" t="str">
        <f t="shared" si="35"/>
        <v>CoStep7StanceTimeT20</v>
      </c>
      <c r="J985" s="26" t="s">
        <v>71</v>
      </c>
      <c r="K985">
        <v>188</v>
      </c>
      <c r="L985" t="str">
        <f t="shared" si="34"/>
        <v>T188</v>
      </c>
    </row>
    <row r="986" spans="1:12" x14ac:dyDescent="0.2">
      <c r="A986" s="26" t="s">
        <v>36</v>
      </c>
      <c r="B986" t="s">
        <v>69</v>
      </c>
      <c r="C986">
        <v>8</v>
      </c>
      <c r="D986" s="26" t="s">
        <v>384</v>
      </c>
      <c r="E986" t="s">
        <v>71</v>
      </c>
      <c r="F986">
        <v>20</v>
      </c>
      <c r="G986" t="str">
        <f t="shared" si="35"/>
        <v>CoStep8ColorT20</v>
      </c>
      <c r="J986" s="26" t="s">
        <v>72</v>
      </c>
      <c r="K986">
        <v>205</v>
      </c>
      <c r="L986" t="str">
        <f t="shared" si="34"/>
        <v>B205</v>
      </c>
    </row>
    <row r="987" spans="1:12" x14ac:dyDescent="0.2">
      <c r="A987" s="26" t="s">
        <v>36</v>
      </c>
      <c r="B987" t="s">
        <v>69</v>
      </c>
      <c r="C987">
        <v>8</v>
      </c>
      <c r="D987" t="s">
        <v>68</v>
      </c>
      <c r="E987" t="s">
        <v>71</v>
      </c>
      <c r="F987">
        <v>20</v>
      </c>
      <c r="G987" t="str">
        <f t="shared" si="35"/>
        <v>CoStep8StepLengthT20</v>
      </c>
      <c r="J987" s="26" t="s">
        <v>73</v>
      </c>
      <c r="K987">
        <v>205</v>
      </c>
      <c r="L987" t="str">
        <f t="shared" si="34"/>
        <v>E205</v>
      </c>
    </row>
    <row r="988" spans="1:12" x14ac:dyDescent="0.2">
      <c r="A988" s="26" t="s">
        <v>36</v>
      </c>
      <c r="B988" t="s">
        <v>69</v>
      </c>
      <c r="C988">
        <v>8</v>
      </c>
      <c r="D988" s="26" t="s">
        <v>400</v>
      </c>
      <c r="E988" t="s">
        <v>71</v>
      </c>
      <c r="F988">
        <v>20</v>
      </c>
      <c r="G988" t="str">
        <f t="shared" si="35"/>
        <v>CoStep8StepTimeT20</v>
      </c>
      <c r="J988" s="26" t="s">
        <v>74</v>
      </c>
      <c r="K988">
        <v>205</v>
      </c>
      <c r="L988" t="str">
        <f t="shared" si="34"/>
        <v>J205</v>
      </c>
    </row>
    <row r="989" spans="1:12" x14ac:dyDescent="0.2">
      <c r="A989" s="26" t="s">
        <v>36</v>
      </c>
      <c r="B989" t="s">
        <v>69</v>
      </c>
      <c r="C989">
        <v>8</v>
      </c>
      <c r="D989" s="26" t="s">
        <v>401</v>
      </c>
      <c r="E989" t="s">
        <v>71</v>
      </c>
      <c r="F989">
        <v>20</v>
      </c>
      <c r="G989" t="str">
        <f t="shared" si="35"/>
        <v>CoStep8DoubleSupportTimeT20</v>
      </c>
      <c r="J989" s="26" t="s">
        <v>75</v>
      </c>
      <c r="K989">
        <v>205</v>
      </c>
      <c r="L989" t="str">
        <f t="shared" si="34"/>
        <v>O205</v>
      </c>
    </row>
    <row r="990" spans="1:12" x14ac:dyDescent="0.2">
      <c r="A990" s="26" t="s">
        <v>36</v>
      </c>
      <c r="B990" t="s">
        <v>69</v>
      </c>
      <c r="C990">
        <v>8</v>
      </c>
      <c r="D990" s="26" t="s">
        <v>402</v>
      </c>
      <c r="E990" t="s">
        <v>71</v>
      </c>
      <c r="F990">
        <v>20</v>
      </c>
      <c r="G990" t="str">
        <f t="shared" si="35"/>
        <v>CoStep8StanceTimeT20</v>
      </c>
      <c r="J990" s="26" t="s">
        <v>71</v>
      </c>
      <c r="K990">
        <v>205</v>
      </c>
      <c r="L990" t="str">
        <f t="shared" si="34"/>
        <v>T205</v>
      </c>
    </row>
    <row r="991" spans="1:12" x14ac:dyDescent="0.2">
      <c r="A991" s="26" t="s">
        <v>36</v>
      </c>
      <c r="B991" t="s">
        <v>69</v>
      </c>
      <c r="C991">
        <v>9</v>
      </c>
      <c r="D991" s="26" t="s">
        <v>384</v>
      </c>
      <c r="E991" t="s">
        <v>71</v>
      </c>
      <c r="F991">
        <v>20</v>
      </c>
      <c r="G991" t="str">
        <f t="shared" si="35"/>
        <v>CoStep9ColorT20</v>
      </c>
      <c r="J991" s="26" t="s">
        <v>72</v>
      </c>
      <c r="K991">
        <v>230</v>
      </c>
      <c r="L991" t="str">
        <f t="shared" si="34"/>
        <v>B230</v>
      </c>
    </row>
    <row r="992" spans="1:12" x14ac:dyDescent="0.2">
      <c r="A992" s="26" t="s">
        <v>36</v>
      </c>
      <c r="B992" t="s">
        <v>69</v>
      </c>
      <c r="C992">
        <v>9</v>
      </c>
      <c r="D992" t="s">
        <v>68</v>
      </c>
      <c r="E992" t="s">
        <v>71</v>
      </c>
      <c r="F992">
        <v>20</v>
      </c>
      <c r="G992" t="str">
        <f t="shared" si="35"/>
        <v>CoStep9StepLengthT20</v>
      </c>
      <c r="J992" s="26" t="s">
        <v>73</v>
      </c>
      <c r="K992">
        <v>230</v>
      </c>
      <c r="L992" t="str">
        <f t="shared" si="34"/>
        <v>E230</v>
      </c>
    </row>
    <row r="993" spans="1:12" x14ac:dyDescent="0.2">
      <c r="A993" s="26" t="s">
        <v>36</v>
      </c>
      <c r="B993" t="s">
        <v>69</v>
      </c>
      <c r="C993">
        <v>9</v>
      </c>
      <c r="D993" s="26" t="s">
        <v>400</v>
      </c>
      <c r="E993" t="s">
        <v>71</v>
      </c>
      <c r="F993">
        <v>20</v>
      </c>
      <c r="G993" t="str">
        <f t="shared" si="35"/>
        <v>CoStep9StepTimeT20</v>
      </c>
      <c r="J993" s="26" t="s">
        <v>74</v>
      </c>
      <c r="K993">
        <v>230</v>
      </c>
      <c r="L993" t="str">
        <f t="shared" si="34"/>
        <v>J230</v>
      </c>
    </row>
    <row r="994" spans="1:12" x14ac:dyDescent="0.2">
      <c r="A994" s="26" t="s">
        <v>36</v>
      </c>
      <c r="B994" t="s">
        <v>69</v>
      </c>
      <c r="C994">
        <v>9</v>
      </c>
      <c r="D994" s="26" t="s">
        <v>401</v>
      </c>
      <c r="E994" t="s">
        <v>71</v>
      </c>
      <c r="F994">
        <v>20</v>
      </c>
      <c r="G994" t="str">
        <f t="shared" si="35"/>
        <v>CoStep9DoubleSupportTimeT20</v>
      </c>
      <c r="J994" s="26" t="s">
        <v>75</v>
      </c>
      <c r="K994">
        <v>230</v>
      </c>
      <c r="L994" t="str">
        <f t="shared" si="34"/>
        <v>O230</v>
      </c>
    </row>
    <row r="995" spans="1:12" x14ac:dyDescent="0.2">
      <c r="A995" s="26" t="s">
        <v>36</v>
      </c>
      <c r="B995" t="s">
        <v>69</v>
      </c>
      <c r="C995">
        <v>9</v>
      </c>
      <c r="D995" s="26" t="s">
        <v>402</v>
      </c>
      <c r="E995" t="s">
        <v>71</v>
      </c>
      <c r="F995">
        <v>20</v>
      </c>
      <c r="G995" t="str">
        <f t="shared" si="35"/>
        <v>CoStep9StanceTimeT20</v>
      </c>
      <c r="J995" s="26" t="s">
        <v>71</v>
      </c>
      <c r="K995">
        <v>230</v>
      </c>
      <c r="L995" t="str">
        <f t="shared" si="34"/>
        <v>T230</v>
      </c>
    </row>
    <row r="996" spans="1:12" x14ac:dyDescent="0.2">
      <c r="A996" s="26" t="s">
        <v>36</v>
      </c>
      <c r="B996" t="s">
        <v>69</v>
      </c>
      <c r="C996">
        <v>10</v>
      </c>
      <c r="D996" s="26" t="s">
        <v>384</v>
      </c>
      <c r="E996" t="s">
        <v>71</v>
      </c>
      <c r="F996">
        <v>20</v>
      </c>
      <c r="G996" t="str">
        <f t="shared" si="35"/>
        <v>CoStep10ColorT20</v>
      </c>
      <c r="J996" s="26" t="s">
        <v>72</v>
      </c>
      <c r="K996">
        <v>255</v>
      </c>
      <c r="L996" t="str">
        <f t="shared" si="34"/>
        <v>B255</v>
      </c>
    </row>
    <row r="997" spans="1:12" x14ac:dyDescent="0.2">
      <c r="A997" s="26" t="s">
        <v>36</v>
      </c>
      <c r="B997" t="s">
        <v>69</v>
      </c>
      <c r="C997">
        <v>10</v>
      </c>
      <c r="D997" t="s">
        <v>68</v>
      </c>
      <c r="E997" t="s">
        <v>71</v>
      </c>
      <c r="F997">
        <v>20</v>
      </c>
      <c r="G997" t="str">
        <f t="shared" si="35"/>
        <v>CoStep10StepLengthT20</v>
      </c>
      <c r="J997" s="26" t="s">
        <v>73</v>
      </c>
      <c r="K997">
        <v>255</v>
      </c>
      <c r="L997" t="str">
        <f t="shared" si="34"/>
        <v>E255</v>
      </c>
    </row>
    <row r="998" spans="1:12" x14ac:dyDescent="0.2">
      <c r="A998" s="26" t="s">
        <v>36</v>
      </c>
      <c r="B998" t="s">
        <v>69</v>
      </c>
      <c r="C998">
        <v>10</v>
      </c>
      <c r="D998" s="26" t="s">
        <v>400</v>
      </c>
      <c r="E998" t="s">
        <v>71</v>
      </c>
      <c r="F998">
        <v>20</v>
      </c>
      <c r="G998" t="str">
        <f t="shared" si="35"/>
        <v>CoStep10StepTimeT20</v>
      </c>
      <c r="J998" s="26" t="s">
        <v>74</v>
      </c>
      <c r="K998">
        <v>255</v>
      </c>
      <c r="L998" t="str">
        <f t="shared" si="34"/>
        <v>J255</v>
      </c>
    </row>
    <row r="999" spans="1:12" x14ac:dyDescent="0.2">
      <c r="A999" s="26" t="s">
        <v>36</v>
      </c>
      <c r="B999" t="s">
        <v>69</v>
      </c>
      <c r="C999">
        <v>10</v>
      </c>
      <c r="D999" s="26" t="s">
        <v>401</v>
      </c>
      <c r="E999" t="s">
        <v>71</v>
      </c>
      <c r="F999">
        <v>20</v>
      </c>
      <c r="G999" t="str">
        <f t="shared" si="35"/>
        <v>CoStep10DoubleSupportTimeT20</v>
      </c>
      <c r="J999" s="26" t="s">
        <v>75</v>
      </c>
      <c r="K999">
        <v>255</v>
      </c>
      <c r="L999" t="str">
        <f t="shared" si="34"/>
        <v>O255</v>
      </c>
    </row>
    <row r="1000" spans="1:12" x14ac:dyDescent="0.2">
      <c r="A1000" s="26" t="s">
        <v>36</v>
      </c>
      <c r="B1000" t="s">
        <v>69</v>
      </c>
      <c r="C1000">
        <v>10</v>
      </c>
      <c r="D1000" s="26" t="s">
        <v>402</v>
      </c>
      <c r="E1000" t="s">
        <v>71</v>
      </c>
      <c r="F1000">
        <v>20</v>
      </c>
      <c r="G1000" t="str">
        <f t="shared" si="35"/>
        <v>CoStep10StanceTimeT20</v>
      </c>
      <c r="J1000" s="26" t="s">
        <v>71</v>
      </c>
      <c r="K1000">
        <v>255</v>
      </c>
      <c r="L1000" t="str">
        <f t="shared" si="34"/>
        <v>T255</v>
      </c>
    </row>
    <row r="1001" spans="1:12" x14ac:dyDescent="0.2">
      <c r="A1001" s="26" t="s">
        <v>36</v>
      </c>
      <c r="B1001" s="26" t="s">
        <v>69</v>
      </c>
      <c r="C1001">
        <v>1</v>
      </c>
      <c r="D1001" s="26" t="s">
        <v>319</v>
      </c>
      <c r="E1001" s="26" t="s">
        <v>71</v>
      </c>
      <c r="F1001">
        <v>1</v>
      </c>
      <c r="G1001" t="str">
        <f t="shared" si="35"/>
        <v>CoStep1WalkwayT1</v>
      </c>
      <c r="J1001" s="26" t="s">
        <v>381</v>
      </c>
      <c r="K1001">
        <v>30</v>
      </c>
      <c r="L1001" t="str">
        <f t="shared" si="34"/>
        <v>W30</v>
      </c>
    </row>
    <row r="1002" spans="1:12" x14ac:dyDescent="0.2">
      <c r="A1002" s="26" t="s">
        <v>36</v>
      </c>
      <c r="B1002" s="26" t="s">
        <v>69</v>
      </c>
      <c r="C1002">
        <v>1</v>
      </c>
      <c r="D1002" s="26" t="s">
        <v>319</v>
      </c>
      <c r="E1002" s="26" t="s">
        <v>71</v>
      </c>
      <c r="F1002">
        <v>2</v>
      </c>
      <c r="G1002" t="str">
        <f t="shared" si="35"/>
        <v>CoStep1WalkwayT2</v>
      </c>
      <c r="J1002" s="26" t="s">
        <v>381</v>
      </c>
      <c r="K1002">
        <v>30</v>
      </c>
      <c r="L1002" t="str">
        <f t="shared" ref="L1002:L1003" si="36">J1002&amp;K1002</f>
        <v>W30</v>
      </c>
    </row>
    <row r="1003" spans="1:12" x14ac:dyDescent="0.2">
      <c r="A1003" s="26" t="s">
        <v>36</v>
      </c>
      <c r="B1003" s="26" t="s">
        <v>69</v>
      </c>
      <c r="C1003">
        <v>1</v>
      </c>
      <c r="D1003" s="26" t="s">
        <v>319</v>
      </c>
      <c r="E1003" s="26" t="s">
        <v>71</v>
      </c>
      <c r="F1003">
        <v>3</v>
      </c>
      <c r="G1003" t="str">
        <f t="shared" si="35"/>
        <v>CoStep1WalkwayT3</v>
      </c>
      <c r="J1003" s="26" t="s">
        <v>381</v>
      </c>
      <c r="K1003">
        <v>30</v>
      </c>
      <c r="L1003" t="str">
        <f t="shared" si="36"/>
        <v>W30</v>
      </c>
    </row>
    <row r="1004" spans="1:12" x14ac:dyDescent="0.2">
      <c r="A1004" s="26" t="s">
        <v>36</v>
      </c>
      <c r="B1004" s="26" t="s">
        <v>69</v>
      </c>
      <c r="C1004">
        <v>1</v>
      </c>
      <c r="D1004" s="26" t="s">
        <v>319</v>
      </c>
      <c r="E1004" s="26" t="s">
        <v>71</v>
      </c>
      <c r="F1004">
        <v>4</v>
      </c>
      <c r="G1004" t="str">
        <f t="shared" si="35"/>
        <v>CoStep1WalkwayT4</v>
      </c>
      <c r="J1004" s="26" t="s">
        <v>381</v>
      </c>
      <c r="K1004">
        <v>30</v>
      </c>
      <c r="L1004" t="str">
        <f t="shared" ref="L1004:L1067" si="37">J1004&amp;K1004</f>
        <v>W30</v>
      </c>
    </row>
    <row r="1005" spans="1:12" x14ac:dyDescent="0.2">
      <c r="A1005" s="26" t="s">
        <v>36</v>
      </c>
      <c r="B1005" s="26" t="s">
        <v>69</v>
      </c>
      <c r="C1005">
        <v>1</v>
      </c>
      <c r="D1005" s="26" t="s">
        <v>319</v>
      </c>
      <c r="E1005" s="26" t="s">
        <v>71</v>
      </c>
      <c r="F1005">
        <v>5</v>
      </c>
      <c r="G1005" t="str">
        <f t="shared" si="35"/>
        <v>CoStep1WalkwayT5</v>
      </c>
      <c r="I1005" s="45"/>
      <c r="J1005" s="26" t="s">
        <v>381</v>
      </c>
      <c r="K1005">
        <v>30</v>
      </c>
      <c r="L1005" t="str">
        <f t="shared" si="37"/>
        <v>W30</v>
      </c>
    </row>
    <row r="1006" spans="1:12" x14ac:dyDescent="0.2">
      <c r="A1006" s="26" t="s">
        <v>36</v>
      </c>
      <c r="B1006" s="26" t="s">
        <v>69</v>
      </c>
      <c r="C1006">
        <v>1</v>
      </c>
      <c r="D1006" s="26" t="s">
        <v>319</v>
      </c>
      <c r="E1006" s="26" t="s">
        <v>71</v>
      </c>
      <c r="F1006">
        <v>6</v>
      </c>
      <c r="G1006" t="str">
        <f t="shared" si="35"/>
        <v>CoStep1WalkwayT6</v>
      </c>
      <c r="J1006" s="26" t="s">
        <v>381</v>
      </c>
      <c r="K1006">
        <v>30</v>
      </c>
      <c r="L1006" t="str">
        <f t="shared" si="37"/>
        <v>W30</v>
      </c>
    </row>
    <row r="1007" spans="1:12" x14ac:dyDescent="0.2">
      <c r="A1007" s="26" t="s">
        <v>36</v>
      </c>
      <c r="B1007" s="26" t="s">
        <v>69</v>
      </c>
      <c r="C1007">
        <v>1</v>
      </c>
      <c r="D1007" s="26" t="s">
        <v>319</v>
      </c>
      <c r="E1007" s="26" t="s">
        <v>71</v>
      </c>
      <c r="F1007">
        <v>7</v>
      </c>
      <c r="G1007" t="str">
        <f t="shared" si="35"/>
        <v>CoStep1WalkwayT7</v>
      </c>
      <c r="J1007" s="26" t="s">
        <v>381</v>
      </c>
      <c r="K1007">
        <v>30</v>
      </c>
      <c r="L1007" t="str">
        <f t="shared" si="37"/>
        <v>W30</v>
      </c>
    </row>
    <row r="1008" spans="1:12" x14ac:dyDescent="0.2">
      <c r="A1008" s="26" t="s">
        <v>36</v>
      </c>
      <c r="B1008" s="26" t="s">
        <v>69</v>
      </c>
      <c r="C1008">
        <v>1</v>
      </c>
      <c r="D1008" s="26" t="s">
        <v>319</v>
      </c>
      <c r="E1008" s="26" t="s">
        <v>71</v>
      </c>
      <c r="F1008">
        <v>8</v>
      </c>
      <c r="G1008" t="str">
        <f t="shared" si="35"/>
        <v>CoStep1WalkwayT8</v>
      </c>
      <c r="J1008" s="26" t="s">
        <v>381</v>
      </c>
      <c r="K1008">
        <v>30</v>
      </c>
      <c r="L1008" t="str">
        <f t="shared" si="37"/>
        <v>W30</v>
      </c>
    </row>
    <row r="1009" spans="1:12" x14ac:dyDescent="0.2">
      <c r="A1009" s="26" t="s">
        <v>36</v>
      </c>
      <c r="B1009" s="26" t="s">
        <v>69</v>
      </c>
      <c r="C1009">
        <v>1</v>
      </c>
      <c r="D1009" s="26" t="s">
        <v>319</v>
      </c>
      <c r="E1009" s="26" t="s">
        <v>71</v>
      </c>
      <c r="F1009">
        <v>9</v>
      </c>
      <c r="G1009" t="str">
        <f t="shared" si="35"/>
        <v>CoStep1WalkwayT9</v>
      </c>
      <c r="J1009" s="26" t="s">
        <v>381</v>
      </c>
      <c r="K1009">
        <v>30</v>
      </c>
      <c r="L1009" t="str">
        <f t="shared" si="37"/>
        <v>W30</v>
      </c>
    </row>
    <row r="1010" spans="1:12" x14ac:dyDescent="0.2">
      <c r="A1010" s="26" t="s">
        <v>36</v>
      </c>
      <c r="B1010" s="26" t="s">
        <v>69</v>
      </c>
      <c r="C1010">
        <v>1</v>
      </c>
      <c r="D1010" s="26" t="s">
        <v>319</v>
      </c>
      <c r="E1010" s="26" t="s">
        <v>71</v>
      </c>
      <c r="F1010">
        <v>10</v>
      </c>
      <c r="G1010" t="str">
        <f t="shared" si="35"/>
        <v>CoStep1WalkwayT10</v>
      </c>
      <c r="J1010" s="26" t="s">
        <v>381</v>
      </c>
      <c r="K1010">
        <v>30</v>
      </c>
      <c r="L1010" t="str">
        <f t="shared" si="37"/>
        <v>W30</v>
      </c>
    </row>
    <row r="1011" spans="1:12" x14ac:dyDescent="0.2">
      <c r="A1011" s="26" t="s">
        <v>36</v>
      </c>
      <c r="B1011" s="26" t="s">
        <v>69</v>
      </c>
      <c r="C1011">
        <v>1</v>
      </c>
      <c r="D1011" s="26" t="s">
        <v>319</v>
      </c>
      <c r="E1011" s="26" t="s">
        <v>71</v>
      </c>
      <c r="F1011">
        <v>11</v>
      </c>
      <c r="G1011" t="str">
        <f t="shared" si="35"/>
        <v>CoStep1WalkwayT11</v>
      </c>
      <c r="J1011" s="26" t="s">
        <v>381</v>
      </c>
      <c r="K1011">
        <v>30</v>
      </c>
      <c r="L1011" t="str">
        <f t="shared" si="37"/>
        <v>W30</v>
      </c>
    </row>
    <row r="1012" spans="1:12" x14ac:dyDescent="0.2">
      <c r="A1012" s="26" t="s">
        <v>36</v>
      </c>
      <c r="B1012" s="26" t="s">
        <v>69</v>
      </c>
      <c r="C1012">
        <v>1</v>
      </c>
      <c r="D1012" s="26" t="s">
        <v>319</v>
      </c>
      <c r="E1012" s="26" t="s">
        <v>71</v>
      </c>
      <c r="F1012">
        <v>12</v>
      </c>
      <c r="G1012" t="str">
        <f t="shared" si="35"/>
        <v>CoStep1WalkwayT12</v>
      </c>
      <c r="J1012" s="26" t="s">
        <v>381</v>
      </c>
      <c r="K1012">
        <v>30</v>
      </c>
      <c r="L1012" t="str">
        <f t="shared" si="37"/>
        <v>W30</v>
      </c>
    </row>
    <row r="1013" spans="1:12" x14ac:dyDescent="0.2">
      <c r="A1013" s="26" t="s">
        <v>36</v>
      </c>
      <c r="B1013" s="26" t="s">
        <v>69</v>
      </c>
      <c r="C1013">
        <v>1</v>
      </c>
      <c r="D1013" s="26" t="s">
        <v>319</v>
      </c>
      <c r="E1013" s="26" t="s">
        <v>71</v>
      </c>
      <c r="F1013">
        <v>13</v>
      </c>
      <c r="G1013" t="str">
        <f t="shared" si="35"/>
        <v>CoStep1WalkwayT13</v>
      </c>
      <c r="J1013" s="26" t="s">
        <v>381</v>
      </c>
      <c r="K1013">
        <v>30</v>
      </c>
      <c r="L1013" t="str">
        <f t="shared" si="37"/>
        <v>W30</v>
      </c>
    </row>
    <row r="1014" spans="1:12" x14ac:dyDescent="0.2">
      <c r="A1014" s="26" t="s">
        <v>36</v>
      </c>
      <c r="B1014" s="26" t="s">
        <v>69</v>
      </c>
      <c r="C1014">
        <v>1</v>
      </c>
      <c r="D1014" s="26" t="s">
        <v>319</v>
      </c>
      <c r="E1014" s="26" t="s">
        <v>71</v>
      </c>
      <c r="F1014">
        <v>14</v>
      </c>
      <c r="G1014" t="str">
        <f t="shared" si="35"/>
        <v>CoStep1WalkwayT14</v>
      </c>
      <c r="J1014" s="26" t="s">
        <v>381</v>
      </c>
      <c r="K1014">
        <v>30</v>
      </c>
      <c r="L1014" t="str">
        <f t="shared" si="37"/>
        <v>W30</v>
      </c>
    </row>
    <row r="1015" spans="1:12" x14ac:dyDescent="0.2">
      <c r="A1015" s="26" t="s">
        <v>36</v>
      </c>
      <c r="B1015" s="26" t="s">
        <v>69</v>
      </c>
      <c r="C1015">
        <v>1</v>
      </c>
      <c r="D1015" s="26" t="s">
        <v>319</v>
      </c>
      <c r="E1015" s="26" t="s">
        <v>71</v>
      </c>
      <c r="F1015">
        <v>15</v>
      </c>
      <c r="G1015" t="str">
        <f t="shared" si="35"/>
        <v>CoStep1WalkwayT15</v>
      </c>
      <c r="J1015" s="26" t="s">
        <v>381</v>
      </c>
      <c r="K1015">
        <v>30</v>
      </c>
      <c r="L1015" t="str">
        <f t="shared" si="37"/>
        <v>W30</v>
      </c>
    </row>
    <row r="1016" spans="1:12" x14ac:dyDescent="0.2">
      <c r="A1016" s="26" t="s">
        <v>36</v>
      </c>
      <c r="B1016" s="26" t="s">
        <v>69</v>
      </c>
      <c r="C1016">
        <v>1</v>
      </c>
      <c r="D1016" s="26" t="s">
        <v>319</v>
      </c>
      <c r="E1016" s="26" t="s">
        <v>71</v>
      </c>
      <c r="F1016">
        <v>16</v>
      </c>
      <c r="G1016" t="str">
        <f t="shared" si="35"/>
        <v>CoStep1WalkwayT16</v>
      </c>
      <c r="J1016" s="26" t="s">
        <v>381</v>
      </c>
      <c r="K1016">
        <v>30</v>
      </c>
      <c r="L1016" t="str">
        <f t="shared" si="37"/>
        <v>W30</v>
      </c>
    </row>
    <row r="1017" spans="1:12" x14ac:dyDescent="0.2">
      <c r="A1017" s="26" t="s">
        <v>36</v>
      </c>
      <c r="B1017" s="26" t="s">
        <v>69</v>
      </c>
      <c r="C1017">
        <v>1</v>
      </c>
      <c r="D1017" s="26" t="s">
        <v>319</v>
      </c>
      <c r="E1017" s="26" t="s">
        <v>71</v>
      </c>
      <c r="F1017">
        <v>17</v>
      </c>
      <c r="G1017" t="str">
        <f t="shared" si="35"/>
        <v>CoStep1WalkwayT17</v>
      </c>
      <c r="J1017" s="26" t="s">
        <v>381</v>
      </c>
      <c r="K1017">
        <v>30</v>
      </c>
      <c r="L1017" t="str">
        <f t="shared" si="37"/>
        <v>W30</v>
      </c>
    </row>
    <row r="1018" spans="1:12" x14ac:dyDescent="0.2">
      <c r="A1018" s="26" t="s">
        <v>36</v>
      </c>
      <c r="B1018" s="26" t="s">
        <v>69</v>
      </c>
      <c r="C1018">
        <v>1</v>
      </c>
      <c r="D1018" s="26" t="s">
        <v>319</v>
      </c>
      <c r="E1018" s="26" t="s">
        <v>71</v>
      </c>
      <c r="F1018">
        <v>18</v>
      </c>
      <c r="G1018" t="str">
        <f t="shared" si="35"/>
        <v>CoStep1WalkwayT18</v>
      </c>
      <c r="J1018" s="26" t="s">
        <v>381</v>
      </c>
      <c r="K1018">
        <v>30</v>
      </c>
      <c r="L1018" t="str">
        <f t="shared" si="37"/>
        <v>W30</v>
      </c>
    </row>
    <row r="1019" spans="1:12" x14ac:dyDescent="0.2">
      <c r="A1019" s="26" t="s">
        <v>36</v>
      </c>
      <c r="B1019" s="26" t="s">
        <v>69</v>
      </c>
      <c r="C1019">
        <v>1</v>
      </c>
      <c r="D1019" s="26" t="s">
        <v>319</v>
      </c>
      <c r="E1019" s="26" t="s">
        <v>71</v>
      </c>
      <c r="F1019">
        <v>19</v>
      </c>
      <c r="G1019" t="str">
        <f t="shared" si="35"/>
        <v>CoStep1WalkwayT19</v>
      </c>
      <c r="J1019" s="26" t="s">
        <v>381</v>
      </c>
      <c r="K1019">
        <v>30</v>
      </c>
      <c r="L1019" t="str">
        <f t="shared" si="37"/>
        <v>W30</v>
      </c>
    </row>
    <row r="1020" spans="1:12" x14ac:dyDescent="0.2">
      <c r="A1020" s="26" t="s">
        <v>36</v>
      </c>
      <c r="B1020" s="26" t="s">
        <v>69</v>
      </c>
      <c r="C1020">
        <v>1</v>
      </c>
      <c r="D1020" s="26" t="s">
        <v>319</v>
      </c>
      <c r="E1020" s="26" t="s">
        <v>71</v>
      </c>
      <c r="F1020">
        <v>20</v>
      </c>
      <c r="G1020" t="str">
        <f t="shared" si="35"/>
        <v>CoStep1WalkwayT20</v>
      </c>
      <c r="J1020" s="26" t="s">
        <v>381</v>
      </c>
      <c r="K1020">
        <v>30</v>
      </c>
      <c r="L1020" t="str">
        <f t="shared" si="37"/>
        <v>W30</v>
      </c>
    </row>
    <row r="1021" spans="1:12" x14ac:dyDescent="0.2">
      <c r="A1021" s="26" t="s">
        <v>36</v>
      </c>
      <c r="B1021" s="26" t="s">
        <v>69</v>
      </c>
      <c r="C1021">
        <v>2</v>
      </c>
      <c r="D1021" s="26" t="s">
        <v>319</v>
      </c>
      <c r="E1021" s="26" t="s">
        <v>71</v>
      </c>
      <c r="F1021">
        <v>1</v>
      </c>
      <c r="G1021" t="str">
        <f t="shared" si="35"/>
        <v>CoStep2WalkwayT1</v>
      </c>
      <c r="J1021" s="26" t="s">
        <v>381</v>
      </c>
      <c r="K1021">
        <v>30</v>
      </c>
      <c r="L1021" t="str">
        <f t="shared" si="37"/>
        <v>W30</v>
      </c>
    </row>
    <row r="1022" spans="1:12" x14ac:dyDescent="0.2">
      <c r="A1022" s="26" t="s">
        <v>36</v>
      </c>
      <c r="B1022" s="26" t="s">
        <v>69</v>
      </c>
      <c r="C1022">
        <v>2</v>
      </c>
      <c r="D1022" s="26" t="s">
        <v>319</v>
      </c>
      <c r="E1022" s="26" t="s">
        <v>71</v>
      </c>
      <c r="F1022">
        <v>2</v>
      </c>
      <c r="G1022" t="str">
        <f t="shared" si="35"/>
        <v>CoStep2WalkwayT2</v>
      </c>
      <c r="J1022" s="26" t="s">
        <v>381</v>
      </c>
      <c r="K1022">
        <v>30</v>
      </c>
      <c r="L1022" t="str">
        <f t="shared" si="37"/>
        <v>W30</v>
      </c>
    </row>
    <row r="1023" spans="1:12" x14ac:dyDescent="0.2">
      <c r="A1023" s="26" t="s">
        <v>36</v>
      </c>
      <c r="B1023" s="26" t="s">
        <v>69</v>
      </c>
      <c r="C1023">
        <v>2</v>
      </c>
      <c r="D1023" s="26" t="s">
        <v>319</v>
      </c>
      <c r="E1023" s="26" t="s">
        <v>71</v>
      </c>
      <c r="F1023">
        <v>3</v>
      </c>
      <c r="G1023" t="str">
        <f t="shared" si="35"/>
        <v>CoStep2WalkwayT3</v>
      </c>
      <c r="J1023" s="26" t="s">
        <v>381</v>
      </c>
      <c r="K1023">
        <v>30</v>
      </c>
      <c r="L1023" t="str">
        <f t="shared" si="37"/>
        <v>W30</v>
      </c>
    </row>
    <row r="1024" spans="1:12" x14ac:dyDescent="0.2">
      <c r="A1024" s="26" t="s">
        <v>36</v>
      </c>
      <c r="B1024" s="26" t="s">
        <v>69</v>
      </c>
      <c r="C1024">
        <v>2</v>
      </c>
      <c r="D1024" s="26" t="s">
        <v>319</v>
      </c>
      <c r="E1024" s="26" t="s">
        <v>71</v>
      </c>
      <c r="F1024">
        <v>4</v>
      </c>
      <c r="G1024" t="str">
        <f t="shared" si="35"/>
        <v>CoStep2WalkwayT4</v>
      </c>
      <c r="J1024" s="26" t="s">
        <v>381</v>
      </c>
      <c r="K1024">
        <v>30</v>
      </c>
      <c r="L1024" t="str">
        <f t="shared" si="37"/>
        <v>W30</v>
      </c>
    </row>
    <row r="1025" spans="1:12" x14ac:dyDescent="0.2">
      <c r="A1025" s="26" t="s">
        <v>36</v>
      </c>
      <c r="B1025" s="26" t="s">
        <v>69</v>
      </c>
      <c r="C1025">
        <v>2</v>
      </c>
      <c r="D1025" s="26" t="s">
        <v>319</v>
      </c>
      <c r="E1025" s="26" t="s">
        <v>71</v>
      </c>
      <c r="F1025">
        <v>5</v>
      </c>
      <c r="G1025" t="str">
        <f t="shared" si="35"/>
        <v>CoStep2WalkwayT5</v>
      </c>
      <c r="J1025" s="26" t="s">
        <v>381</v>
      </c>
      <c r="K1025">
        <v>30</v>
      </c>
      <c r="L1025" t="str">
        <f t="shared" si="37"/>
        <v>W30</v>
      </c>
    </row>
    <row r="1026" spans="1:12" x14ac:dyDescent="0.2">
      <c r="A1026" s="26" t="s">
        <v>36</v>
      </c>
      <c r="B1026" s="26" t="s">
        <v>69</v>
      </c>
      <c r="C1026">
        <v>2</v>
      </c>
      <c r="D1026" s="26" t="s">
        <v>319</v>
      </c>
      <c r="E1026" s="26" t="s">
        <v>71</v>
      </c>
      <c r="F1026">
        <v>6</v>
      </c>
      <c r="G1026" t="str">
        <f t="shared" si="35"/>
        <v>CoStep2WalkwayT6</v>
      </c>
      <c r="J1026" s="26" t="s">
        <v>381</v>
      </c>
      <c r="K1026">
        <v>30</v>
      </c>
      <c r="L1026" t="str">
        <f t="shared" si="37"/>
        <v>W30</v>
      </c>
    </row>
    <row r="1027" spans="1:12" x14ac:dyDescent="0.2">
      <c r="A1027" s="26" t="s">
        <v>36</v>
      </c>
      <c r="B1027" s="26" t="s">
        <v>69</v>
      </c>
      <c r="C1027">
        <v>2</v>
      </c>
      <c r="D1027" s="26" t="s">
        <v>319</v>
      </c>
      <c r="E1027" s="26" t="s">
        <v>71</v>
      </c>
      <c r="F1027">
        <v>7</v>
      </c>
      <c r="G1027" t="str">
        <f t="shared" si="35"/>
        <v>CoStep2WalkwayT7</v>
      </c>
      <c r="J1027" s="26" t="s">
        <v>381</v>
      </c>
      <c r="K1027">
        <v>30</v>
      </c>
      <c r="L1027" t="str">
        <f t="shared" si="37"/>
        <v>W30</v>
      </c>
    </row>
    <row r="1028" spans="1:12" x14ac:dyDescent="0.2">
      <c r="A1028" s="26" t="s">
        <v>36</v>
      </c>
      <c r="B1028" s="26" t="s">
        <v>69</v>
      </c>
      <c r="C1028">
        <v>2</v>
      </c>
      <c r="D1028" s="26" t="s">
        <v>319</v>
      </c>
      <c r="E1028" s="26" t="s">
        <v>71</v>
      </c>
      <c r="F1028">
        <v>8</v>
      </c>
      <c r="G1028" t="str">
        <f t="shared" si="35"/>
        <v>CoStep2WalkwayT8</v>
      </c>
      <c r="J1028" s="26" t="s">
        <v>381</v>
      </c>
      <c r="K1028">
        <v>30</v>
      </c>
      <c r="L1028" t="str">
        <f t="shared" si="37"/>
        <v>W30</v>
      </c>
    </row>
    <row r="1029" spans="1:12" x14ac:dyDescent="0.2">
      <c r="A1029" s="26" t="s">
        <v>36</v>
      </c>
      <c r="B1029" s="26" t="s">
        <v>69</v>
      </c>
      <c r="C1029">
        <v>2</v>
      </c>
      <c r="D1029" s="26" t="s">
        <v>319</v>
      </c>
      <c r="E1029" s="26" t="s">
        <v>71</v>
      </c>
      <c r="F1029">
        <v>9</v>
      </c>
      <c r="G1029" t="str">
        <f t="shared" si="35"/>
        <v>CoStep2WalkwayT9</v>
      </c>
      <c r="J1029" s="26" t="s">
        <v>381</v>
      </c>
      <c r="K1029">
        <v>30</v>
      </c>
      <c r="L1029" t="str">
        <f t="shared" si="37"/>
        <v>W30</v>
      </c>
    </row>
    <row r="1030" spans="1:12" x14ac:dyDescent="0.2">
      <c r="A1030" s="26" t="s">
        <v>36</v>
      </c>
      <c r="B1030" s="26" t="s">
        <v>69</v>
      </c>
      <c r="C1030">
        <v>2</v>
      </c>
      <c r="D1030" s="26" t="s">
        <v>319</v>
      </c>
      <c r="E1030" s="26" t="s">
        <v>71</v>
      </c>
      <c r="F1030">
        <v>10</v>
      </c>
      <c r="G1030" t="str">
        <f t="shared" ref="G1030:G1093" si="38">A1030&amp;B1030&amp;C1030&amp;D1030&amp;E1030&amp;F1030</f>
        <v>CoStep2WalkwayT10</v>
      </c>
      <c r="J1030" s="26" t="s">
        <v>381</v>
      </c>
      <c r="K1030">
        <v>30</v>
      </c>
      <c r="L1030" t="str">
        <f t="shared" si="37"/>
        <v>W30</v>
      </c>
    </row>
    <row r="1031" spans="1:12" x14ac:dyDescent="0.2">
      <c r="A1031" s="26" t="s">
        <v>36</v>
      </c>
      <c r="B1031" s="26" t="s">
        <v>69</v>
      </c>
      <c r="C1031">
        <v>2</v>
      </c>
      <c r="D1031" s="26" t="s">
        <v>319</v>
      </c>
      <c r="E1031" s="26" t="s">
        <v>71</v>
      </c>
      <c r="F1031">
        <v>11</v>
      </c>
      <c r="G1031" t="str">
        <f t="shared" si="38"/>
        <v>CoStep2WalkwayT11</v>
      </c>
      <c r="J1031" s="26" t="s">
        <v>381</v>
      </c>
      <c r="K1031">
        <v>30</v>
      </c>
      <c r="L1031" t="str">
        <f t="shared" si="37"/>
        <v>W30</v>
      </c>
    </row>
    <row r="1032" spans="1:12" x14ac:dyDescent="0.2">
      <c r="A1032" s="26" t="s">
        <v>36</v>
      </c>
      <c r="B1032" s="26" t="s">
        <v>69</v>
      </c>
      <c r="C1032">
        <v>2</v>
      </c>
      <c r="D1032" s="26" t="s">
        <v>319</v>
      </c>
      <c r="E1032" s="26" t="s">
        <v>71</v>
      </c>
      <c r="F1032">
        <v>12</v>
      </c>
      <c r="G1032" t="str">
        <f t="shared" si="38"/>
        <v>CoStep2WalkwayT12</v>
      </c>
      <c r="J1032" s="26" t="s">
        <v>381</v>
      </c>
      <c r="K1032">
        <v>30</v>
      </c>
      <c r="L1032" t="str">
        <f t="shared" si="37"/>
        <v>W30</v>
      </c>
    </row>
    <row r="1033" spans="1:12" x14ac:dyDescent="0.2">
      <c r="A1033" s="26" t="s">
        <v>36</v>
      </c>
      <c r="B1033" s="26" t="s">
        <v>69</v>
      </c>
      <c r="C1033">
        <v>2</v>
      </c>
      <c r="D1033" s="26" t="s">
        <v>319</v>
      </c>
      <c r="E1033" s="26" t="s">
        <v>71</v>
      </c>
      <c r="F1033">
        <v>13</v>
      </c>
      <c r="G1033" t="str">
        <f t="shared" si="38"/>
        <v>CoStep2WalkwayT13</v>
      </c>
      <c r="J1033" s="26" t="s">
        <v>381</v>
      </c>
      <c r="K1033">
        <v>30</v>
      </c>
      <c r="L1033" t="str">
        <f t="shared" si="37"/>
        <v>W30</v>
      </c>
    </row>
    <row r="1034" spans="1:12" x14ac:dyDescent="0.2">
      <c r="A1034" s="26" t="s">
        <v>36</v>
      </c>
      <c r="B1034" s="26" t="s">
        <v>69</v>
      </c>
      <c r="C1034">
        <v>2</v>
      </c>
      <c r="D1034" s="26" t="s">
        <v>319</v>
      </c>
      <c r="E1034" s="26" t="s">
        <v>71</v>
      </c>
      <c r="F1034">
        <v>14</v>
      </c>
      <c r="G1034" t="str">
        <f t="shared" si="38"/>
        <v>CoStep2WalkwayT14</v>
      </c>
      <c r="J1034" s="26" t="s">
        <v>381</v>
      </c>
      <c r="K1034">
        <v>30</v>
      </c>
      <c r="L1034" t="str">
        <f t="shared" si="37"/>
        <v>W30</v>
      </c>
    </row>
    <row r="1035" spans="1:12" x14ac:dyDescent="0.2">
      <c r="A1035" s="26" t="s">
        <v>36</v>
      </c>
      <c r="B1035" s="26" t="s">
        <v>69</v>
      </c>
      <c r="C1035">
        <v>2</v>
      </c>
      <c r="D1035" s="26" t="s">
        <v>319</v>
      </c>
      <c r="E1035" s="26" t="s">
        <v>71</v>
      </c>
      <c r="F1035">
        <v>15</v>
      </c>
      <c r="G1035" t="str">
        <f t="shared" si="38"/>
        <v>CoStep2WalkwayT15</v>
      </c>
      <c r="J1035" s="26" t="s">
        <v>381</v>
      </c>
      <c r="K1035">
        <v>30</v>
      </c>
      <c r="L1035" t="str">
        <f t="shared" si="37"/>
        <v>W30</v>
      </c>
    </row>
    <row r="1036" spans="1:12" x14ac:dyDescent="0.2">
      <c r="A1036" s="26" t="s">
        <v>36</v>
      </c>
      <c r="B1036" s="26" t="s">
        <v>69</v>
      </c>
      <c r="C1036">
        <v>2</v>
      </c>
      <c r="D1036" s="26" t="s">
        <v>319</v>
      </c>
      <c r="E1036" s="26" t="s">
        <v>71</v>
      </c>
      <c r="F1036">
        <v>16</v>
      </c>
      <c r="G1036" t="str">
        <f t="shared" si="38"/>
        <v>CoStep2WalkwayT16</v>
      </c>
      <c r="J1036" s="26" t="s">
        <v>381</v>
      </c>
      <c r="K1036">
        <v>30</v>
      </c>
      <c r="L1036" t="str">
        <f t="shared" si="37"/>
        <v>W30</v>
      </c>
    </row>
    <row r="1037" spans="1:12" x14ac:dyDescent="0.2">
      <c r="A1037" s="26" t="s">
        <v>36</v>
      </c>
      <c r="B1037" s="26" t="s">
        <v>69</v>
      </c>
      <c r="C1037">
        <v>2</v>
      </c>
      <c r="D1037" s="26" t="s">
        <v>319</v>
      </c>
      <c r="E1037" s="26" t="s">
        <v>71</v>
      </c>
      <c r="F1037">
        <v>17</v>
      </c>
      <c r="G1037" t="str">
        <f t="shared" si="38"/>
        <v>CoStep2WalkwayT17</v>
      </c>
      <c r="J1037" s="26" t="s">
        <v>381</v>
      </c>
      <c r="K1037">
        <v>30</v>
      </c>
      <c r="L1037" t="str">
        <f t="shared" si="37"/>
        <v>W30</v>
      </c>
    </row>
    <row r="1038" spans="1:12" x14ac:dyDescent="0.2">
      <c r="A1038" s="26" t="s">
        <v>36</v>
      </c>
      <c r="B1038" s="26" t="s">
        <v>69</v>
      </c>
      <c r="C1038">
        <v>2</v>
      </c>
      <c r="D1038" s="26" t="s">
        <v>319</v>
      </c>
      <c r="E1038" s="26" t="s">
        <v>71</v>
      </c>
      <c r="F1038">
        <v>18</v>
      </c>
      <c r="G1038" t="str">
        <f t="shared" si="38"/>
        <v>CoStep2WalkwayT18</v>
      </c>
      <c r="J1038" s="26" t="s">
        <v>381</v>
      </c>
      <c r="K1038">
        <v>30</v>
      </c>
      <c r="L1038" t="str">
        <f t="shared" si="37"/>
        <v>W30</v>
      </c>
    </row>
    <row r="1039" spans="1:12" x14ac:dyDescent="0.2">
      <c r="A1039" s="26" t="s">
        <v>36</v>
      </c>
      <c r="B1039" s="26" t="s">
        <v>69</v>
      </c>
      <c r="C1039">
        <v>2</v>
      </c>
      <c r="D1039" s="26" t="s">
        <v>319</v>
      </c>
      <c r="E1039" s="26" t="s">
        <v>71</v>
      </c>
      <c r="F1039">
        <v>19</v>
      </c>
      <c r="G1039" t="str">
        <f t="shared" si="38"/>
        <v>CoStep2WalkwayT19</v>
      </c>
      <c r="J1039" s="26" t="s">
        <v>381</v>
      </c>
      <c r="K1039">
        <v>30</v>
      </c>
      <c r="L1039" t="str">
        <f t="shared" si="37"/>
        <v>W30</v>
      </c>
    </row>
    <row r="1040" spans="1:12" x14ac:dyDescent="0.2">
      <c r="A1040" s="26" t="s">
        <v>36</v>
      </c>
      <c r="B1040" s="26" t="s">
        <v>69</v>
      </c>
      <c r="C1040">
        <v>2</v>
      </c>
      <c r="D1040" s="26" t="s">
        <v>319</v>
      </c>
      <c r="E1040" s="26" t="s">
        <v>71</v>
      </c>
      <c r="F1040">
        <v>20</v>
      </c>
      <c r="G1040" t="str">
        <f t="shared" si="38"/>
        <v>CoStep2WalkwayT20</v>
      </c>
      <c r="J1040" s="26" t="s">
        <v>381</v>
      </c>
      <c r="K1040">
        <v>30</v>
      </c>
      <c r="L1040" t="str">
        <f t="shared" si="37"/>
        <v>W30</v>
      </c>
    </row>
    <row r="1041" spans="1:12" x14ac:dyDescent="0.2">
      <c r="A1041" s="26" t="s">
        <v>36</v>
      </c>
      <c r="B1041" s="26" t="s">
        <v>69</v>
      </c>
      <c r="C1041">
        <v>3</v>
      </c>
      <c r="D1041" s="26" t="s">
        <v>319</v>
      </c>
      <c r="E1041" s="26" t="s">
        <v>71</v>
      </c>
      <c r="F1041">
        <v>1</v>
      </c>
      <c r="G1041" t="str">
        <f t="shared" si="38"/>
        <v>CoStep3WalkwayT1</v>
      </c>
      <c r="J1041" s="26" t="s">
        <v>381</v>
      </c>
      <c r="K1041">
        <v>30</v>
      </c>
      <c r="L1041" t="str">
        <f t="shared" si="37"/>
        <v>W30</v>
      </c>
    </row>
    <row r="1042" spans="1:12" x14ac:dyDescent="0.2">
      <c r="A1042" s="26" t="s">
        <v>36</v>
      </c>
      <c r="B1042" s="26" t="s">
        <v>69</v>
      </c>
      <c r="C1042">
        <v>3</v>
      </c>
      <c r="D1042" s="26" t="s">
        <v>319</v>
      </c>
      <c r="E1042" s="26" t="s">
        <v>71</v>
      </c>
      <c r="F1042">
        <v>2</v>
      </c>
      <c r="G1042" t="str">
        <f t="shared" si="38"/>
        <v>CoStep3WalkwayT2</v>
      </c>
      <c r="J1042" s="26" t="s">
        <v>381</v>
      </c>
      <c r="K1042">
        <v>30</v>
      </c>
      <c r="L1042" t="str">
        <f t="shared" si="37"/>
        <v>W30</v>
      </c>
    </row>
    <row r="1043" spans="1:12" x14ac:dyDescent="0.2">
      <c r="A1043" s="26" t="s">
        <v>36</v>
      </c>
      <c r="B1043" s="26" t="s">
        <v>69</v>
      </c>
      <c r="C1043">
        <v>3</v>
      </c>
      <c r="D1043" s="26" t="s">
        <v>319</v>
      </c>
      <c r="E1043" s="26" t="s">
        <v>71</v>
      </c>
      <c r="F1043">
        <v>3</v>
      </c>
      <c r="G1043" t="str">
        <f t="shared" si="38"/>
        <v>CoStep3WalkwayT3</v>
      </c>
      <c r="J1043" s="26" t="s">
        <v>381</v>
      </c>
      <c r="K1043">
        <v>30</v>
      </c>
      <c r="L1043" t="str">
        <f t="shared" si="37"/>
        <v>W30</v>
      </c>
    </row>
    <row r="1044" spans="1:12" x14ac:dyDescent="0.2">
      <c r="A1044" s="26" t="s">
        <v>36</v>
      </c>
      <c r="B1044" s="26" t="s">
        <v>69</v>
      </c>
      <c r="C1044">
        <v>3</v>
      </c>
      <c r="D1044" s="26" t="s">
        <v>319</v>
      </c>
      <c r="E1044" s="26" t="s">
        <v>71</v>
      </c>
      <c r="F1044">
        <v>4</v>
      </c>
      <c r="G1044" t="str">
        <f t="shared" si="38"/>
        <v>CoStep3WalkwayT4</v>
      </c>
      <c r="J1044" s="26" t="s">
        <v>381</v>
      </c>
      <c r="K1044">
        <v>30</v>
      </c>
      <c r="L1044" t="str">
        <f t="shared" si="37"/>
        <v>W30</v>
      </c>
    </row>
    <row r="1045" spans="1:12" x14ac:dyDescent="0.2">
      <c r="A1045" s="26" t="s">
        <v>36</v>
      </c>
      <c r="B1045" s="26" t="s">
        <v>69</v>
      </c>
      <c r="C1045">
        <v>3</v>
      </c>
      <c r="D1045" s="26" t="s">
        <v>319</v>
      </c>
      <c r="E1045" s="26" t="s">
        <v>71</v>
      </c>
      <c r="F1045">
        <v>5</v>
      </c>
      <c r="G1045" t="str">
        <f t="shared" si="38"/>
        <v>CoStep3WalkwayT5</v>
      </c>
      <c r="J1045" s="26" t="s">
        <v>381</v>
      </c>
      <c r="K1045">
        <v>30</v>
      </c>
      <c r="L1045" t="str">
        <f t="shared" si="37"/>
        <v>W30</v>
      </c>
    </row>
    <row r="1046" spans="1:12" x14ac:dyDescent="0.2">
      <c r="A1046" s="26" t="s">
        <v>36</v>
      </c>
      <c r="B1046" s="26" t="s">
        <v>69</v>
      </c>
      <c r="C1046">
        <v>3</v>
      </c>
      <c r="D1046" s="26" t="s">
        <v>319</v>
      </c>
      <c r="E1046" s="26" t="s">
        <v>71</v>
      </c>
      <c r="F1046">
        <v>6</v>
      </c>
      <c r="G1046" t="str">
        <f t="shared" si="38"/>
        <v>CoStep3WalkwayT6</v>
      </c>
      <c r="J1046" s="26" t="s">
        <v>381</v>
      </c>
      <c r="K1046">
        <v>30</v>
      </c>
      <c r="L1046" t="str">
        <f t="shared" si="37"/>
        <v>W30</v>
      </c>
    </row>
    <row r="1047" spans="1:12" x14ac:dyDescent="0.2">
      <c r="A1047" s="26" t="s">
        <v>36</v>
      </c>
      <c r="B1047" s="26" t="s">
        <v>69</v>
      </c>
      <c r="C1047">
        <v>3</v>
      </c>
      <c r="D1047" s="26" t="s">
        <v>319</v>
      </c>
      <c r="E1047" s="26" t="s">
        <v>71</v>
      </c>
      <c r="F1047">
        <v>7</v>
      </c>
      <c r="G1047" t="str">
        <f t="shared" si="38"/>
        <v>CoStep3WalkwayT7</v>
      </c>
      <c r="J1047" s="26" t="s">
        <v>381</v>
      </c>
      <c r="K1047">
        <v>30</v>
      </c>
      <c r="L1047" t="str">
        <f t="shared" si="37"/>
        <v>W30</v>
      </c>
    </row>
    <row r="1048" spans="1:12" x14ac:dyDescent="0.2">
      <c r="A1048" s="26" t="s">
        <v>36</v>
      </c>
      <c r="B1048" s="26" t="s">
        <v>69</v>
      </c>
      <c r="C1048">
        <v>3</v>
      </c>
      <c r="D1048" s="26" t="s">
        <v>319</v>
      </c>
      <c r="E1048" s="26" t="s">
        <v>71</v>
      </c>
      <c r="F1048">
        <v>8</v>
      </c>
      <c r="G1048" t="str">
        <f t="shared" si="38"/>
        <v>CoStep3WalkwayT8</v>
      </c>
      <c r="J1048" s="26" t="s">
        <v>381</v>
      </c>
      <c r="K1048">
        <v>30</v>
      </c>
      <c r="L1048" t="str">
        <f t="shared" si="37"/>
        <v>W30</v>
      </c>
    </row>
    <row r="1049" spans="1:12" x14ac:dyDescent="0.2">
      <c r="A1049" s="26" t="s">
        <v>36</v>
      </c>
      <c r="B1049" s="26" t="s">
        <v>69</v>
      </c>
      <c r="C1049">
        <v>3</v>
      </c>
      <c r="D1049" s="26" t="s">
        <v>319</v>
      </c>
      <c r="E1049" s="26" t="s">
        <v>71</v>
      </c>
      <c r="F1049">
        <v>9</v>
      </c>
      <c r="G1049" t="str">
        <f t="shared" si="38"/>
        <v>CoStep3WalkwayT9</v>
      </c>
      <c r="J1049" s="26" t="s">
        <v>381</v>
      </c>
      <c r="K1049">
        <v>30</v>
      </c>
      <c r="L1049" t="str">
        <f t="shared" si="37"/>
        <v>W30</v>
      </c>
    </row>
    <row r="1050" spans="1:12" x14ac:dyDescent="0.2">
      <c r="A1050" s="26" t="s">
        <v>36</v>
      </c>
      <c r="B1050" s="26" t="s">
        <v>69</v>
      </c>
      <c r="C1050">
        <v>3</v>
      </c>
      <c r="D1050" s="26" t="s">
        <v>319</v>
      </c>
      <c r="E1050" s="26" t="s">
        <v>71</v>
      </c>
      <c r="F1050">
        <v>10</v>
      </c>
      <c r="G1050" t="str">
        <f t="shared" si="38"/>
        <v>CoStep3WalkwayT10</v>
      </c>
      <c r="J1050" s="26" t="s">
        <v>381</v>
      </c>
      <c r="K1050">
        <v>30</v>
      </c>
      <c r="L1050" t="str">
        <f t="shared" si="37"/>
        <v>W30</v>
      </c>
    </row>
    <row r="1051" spans="1:12" x14ac:dyDescent="0.2">
      <c r="A1051" s="26" t="s">
        <v>36</v>
      </c>
      <c r="B1051" s="26" t="s">
        <v>69</v>
      </c>
      <c r="C1051">
        <v>3</v>
      </c>
      <c r="D1051" s="26" t="s">
        <v>319</v>
      </c>
      <c r="E1051" s="26" t="s">
        <v>71</v>
      </c>
      <c r="F1051">
        <v>11</v>
      </c>
      <c r="G1051" t="str">
        <f t="shared" si="38"/>
        <v>CoStep3WalkwayT11</v>
      </c>
      <c r="J1051" s="26" t="s">
        <v>381</v>
      </c>
      <c r="K1051">
        <v>30</v>
      </c>
      <c r="L1051" t="str">
        <f t="shared" si="37"/>
        <v>W30</v>
      </c>
    </row>
    <row r="1052" spans="1:12" x14ac:dyDescent="0.2">
      <c r="A1052" s="26" t="s">
        <v>36</v>
      </c>
      <c r="B1052" s="26" t="s">
        <v>69</v>
      </c>
      <c r="C1052">
        <v>3</v>
      </c>
      <c r="D1052" s="26" t="s">
        <v>319</v>
      </c>
      <c r="E1052" s="26" t="s">
        <v>71</v>
      </c>
      <c r="F1052">
        <v>12</v>
      </c>
      <c r="G1052" t="str">
        <f t="shared" si="38"/>
        <v>CoStep3WalkwayT12</v>
      </c>
      <c r="J1052" s="26" t="s">
        <v>381</v>
      </c>
      <c r="K1052">
        <v>30</v>
      </c>
      <c r="L1052" t="str">
        <f t="shared" si="37"/>
        <v>W30</v>
      </c>
    </row>
    <row r="1053" spans="1:12" x14ac:dyDescent="0.2">
      <c r="A1053" s="26" t="s">
        <v>36</v>
      </c>
      <c r="B1053" s="26" t="s">
        <v>69</v>
      </c>
      <c r="C1053">
        <v>3</v>
      </c>
      <c r="D1053" s="26" t="s">
        <v>319</v>
      </c>
      <c r="E1053" s="26" t="s">
        <v>71</v>
      </c>
      <c r="F1053">
        <v>13</v>
      </c>
      <c r="G1053" t="str">
        <f t="shared" si="38"/>
        <v>CoStep3WalkwayT13</v>
      </c>
      <c r="J1053" s="26" t="s">
        <v>381</v>
      </c>
      <c r="K1053">
        <v>30</v>
      </c>
      <c r="L1053" t="str">
        <f t="shared" si="37"/>
        <v>W30</v>
      </c>
    </row>
    <row r="1054" spans="1:12" x14ac:dyDescent="0.2">
      <c r="A1054" s="26" t="s">
        <v>36</v>
      </c>
      <c r="B1054" s="26" t="s">
        <v>69</v>
      </c>
      <c r="C1054">
        <v>3</v>
      </c>
      <c r="D1054" s="26" t="s">
        <v>319</v>
      </c>
      <c r="E1054" s="26" t="s">
        <v>71</v>
      </c>
      <c r="F1054">
        <v>14</v>
      </c>
      <c r="G1054" t="str">
        <f t="shared" si="38"/>
        <v>CoStep3WalkwayT14</v>
      </c>
      <c r="J1054" s="26" t="s">
        <v>381</v>
      </c>
      <c r="K1054">
        <v>30</v>
      </c>
      <c r="L1054" t="str">
        <f t="shared" si="37"/>
        <v>W30</v>
      </c>
    </row>
    <row r="1055" spans="1:12" x14ac:dyDescent="0.2">
      <c r="A1055" s="26" t="s">
        <v>36</v>
      </c>
      <c r="B1055" s="26" t="s">
        <v>69</v>
      </c>
      <c r="C1055">
        <v>3</v>
      </c>
      <c r="D1055" s="26" t="s">
        <v>319</v>
      </c>
      <c r="E1055" s="26" t="s">
        <v>71</v>
      </c>
      <c r="F1055">
        <v>15</v>
      </c>
      <c r="G1055" t="str">
        <f t="shared" si="38"/>
        <v>CoStep3WalkwayT15</v>
      </c>
      <c r="J1055" s="26" t="s">
        <v>381</v>
      </c>
      <c r="K1055">
        <v>30</v>
      </c>
      <c r="L1055" t="str">
        <f t="shared" si="37"/>
        <v>W30</v>
      </c>
    </row>
    <row r="1056" spans="1:12" x14ac:dyDescent="0.2">
      <c r="A1056" s="26" t="s">
        <v>36</v>
      </c>
      <c r="B1056" s="26" t="s">
        <v>69</v>
      </c>
      <c r="C1056">
        <v>3</v>
      </c>
      <c r="D1056" s="26" t="s">
        <v>319</v>
      </c>
      <c r="E1056" s="26" t="s">
        <v>71</v>
      </c>
      <c r="F1056">
        <v>16</v>
      </c>
      <c r="G1056" t="str">
        <f t="shared" si="38"/>
        <v>CoStep3WalkwayT16</v>
      </c>
      <c r="J1056" s="26" t="s">
        <v>381</v>
      </c>
      <c r="K1056">
        <v>30</v>
      </c>
      <c r="L1056" t="str">
        <f t="shared" si="37"/>
        <v>W30</v>
      </c>
    </row>
    <row r="1057" spans="1:12" x14ac:dyDescent="0.2">
      <c r="A1057" s="26" t="s">
        <v>36</v>
      </c>
      <c r="B1057" s="26" t="s">
        <v>69</v>
      </c>
      <c r="C1057">
        <v>3</v>
      </c>
      <c r="D1057" s="26" t="s">
        <v>319</v>
      </c>
      <c r="E1057" s="26" t="s">
        <v>71</v>
      </c>
      <c r="F1057">
        <v>17</v>
      </c>
      <c r="G1057" t="str">
        <f t="shared" si="38"/>
        <v>CoStep3WalkwayT17</v>
      </c>
      <c r="J1057" s="26" t="s">
        <v>381</v>
      </c>
      <c r="K1057">
        <v>30</v>
      </c>
      <c r="L1057" t="str">
        <f t="shared" si="37"/>
        <v>W30</v>
      </c>
    </row>
    <row r="1058" spans="1:12" x14ac:dyDescent="0.2">
      <c r="A1058" s="26" t="s">
        <v>36</v>
      </c>
      <c r="B1058" s="26" t="s">
        <v>69</v>
      </c>
      <c r="C1058">
        <v>3</v>
      </c>
      <c r="D1058" s="26" t="s">
        <v>319</v>
      </c>
      <c r="E1058" s="26" t="s">
        <v>71</v>
      </c>
      <c r="F1058">
        <v>18</v>
      </c>
      <c r="G1058" t="str">
        <f t="shared" si="38"/>
        <v>CoStep3WalkwayT18</v>
      </c>
      <c r="J1058" s="26" t="s">
        <v>381</v>
      </c>
      <c r="K1058">
        <v>30</v>
      </c>
      <c r="L1058" t="str">
        <f t="shared" si="37"/>
        <v>W30</v>
      </c>
    </row>
    <row r="1059" spans="1:12" x14ac:dyDescent="0.2">
      <c r="A1059" s="26" t="s">
        <v>36</v>
      </c>
      <c r="B1059" s="26" t="s">
        <v>69</v>
      </c>
      <c r="C1059">
        <v>3</v>
      </c>
      <c r="D1059" s="26" t="s">
        <v>319</v>
      </c>
      <c r="E1059" s="26" t="s">
        <v>71</v>
      </c>
      <c r="F1059">
        <v>19</v>
      </c>
      <c r="G1059" t="str">
        <f t="shared" si="38"/>
        <v>CoStep3WalkwayT19</v>
      </c>
      <c r="J1059" s="26" t="s">
        <v>381</v>
      </c>
      <c r="K1059">
        <v>30</v>
      </c>
      <c r="L1059" t="str">
        <f t="shared" si="37"/>
        <v>W30</v>
      </c>
    </row>
    <row r="1060" spans="1:12" x14ac:dyDescent="0.2">
      <c r="A1060" s="26" t="s">
        <v>36</v>
      </c>
      <c r="B1060" s="26" t="s">
        <v>69</v>
      </c>
      <c r="C1060">
        <v>3</v>
      </c>
      <c r="D1060" s="26" t="s">
        <v>319</v>
      </c>
      <c r="E1060" s="26" t="s">
        <v>71</v>
      </c>
      <c r="F1060">
        <v>20</v>
      </c>
      <c r="G1060" t="str">
        <f t="shared" si="38"/>
        <v>CoStep3WalkwayT20</v>
      </c>
      <c r="J1060" s="26" t="s">
        <v>381</v>
      </c>
      <c r="K1060">
        <v>30</v>
      </c>
      <c r="L1060" t="str">
        <f t="shared" si="37"/>
        <v>W30</v>
      </c>
    </row>
    <row r="1061" spans="1:12" x14ac:dyDescent="0.2">
      <c r="A1061" s="26" t="s">
        <v>36</v>
      </c>
      <c r="B1061" s="26" t="s">
        <v>69</v>
      </c>
      <c r="C1061">
        <v>4</v>
      </c>
      <c r="D1061" s="26" t="s">
        <v>319</v>
      </c>
      <c r="E1061" s="26" t="s">
        <v>71</v>
      </c>
      <c r="F1061">
        <v>1</v>
      </c>
      <c r="G1061" t="str">
        <f t="shared" si="38"/>
        <v>CoStep4WalkwayT1</v>
      </c>
      <c r="J1061" s="26" t="s">
        <v>381</v>
      </c>
      <c r="K1061">
        <v>30</v>
      </c>
      <c r="L1061" t="str">
        <f t="shared" si="37"/>
        <v>W30</v>
      </c>
    </row>
    <row r="1062" spans="1:12" x14ac:dyDescent="0.2">
      <c r="A1062" s="26" t="s">
        <v>36</v>
      </c>
      <c r="B1062" s="26" t="s">
        <v>69</v>
      </c>
      <c r="C1062">
        <v>4</v>
      </c>
      <c r="D1062" s="26" t="s">
        <v>319</v>
      </c>
      <c r="E1062" s="26" t="s">
        <v>71</v>
      </c>
      <c r="F1062">
        <v>2</v>
      </c>
      <c r="G1062" t="str">
        <f t="shared" si="38"/>
        <v>CoStep4WalkwayT2</v>
      </c>
      <c r="J1062" s="26" t="s">
        <v>381</v>
      </c>
      <c r="K1062">
        <v>30</v>
      </c>
      <c r="L1062" t="str">
        <f t="shared" si="37"/>
        <v>W30</v>
      </c>
    </row>
    <row r="1063" spans="1:12" x14ac:dyDescent="0.2">
      <c r="A1063" s="26" t="s">
        <v>36</v>
      </c>
      <c r="B1063" s="26" t="s">
        <v>69</v>
      </c>
      <c r="C1063">
        <v>4</v>
      </c>
      <c r="D1063" s="26" t="s">
        <v>319</v>
      </c>
      <c r="E1063" s="26" t="s">
        <v>71</v>
      </c>
      <c r="F1063">
        <v>3</v>
      </c>
      <c r="G1063" t="str">
        <f t="shared" si="38"/>
        <v>CoStep4WalkwayT3</v>
      </c>
      <c r="J1063" s="26" t="s">
        <v>381</v>
      </c>
      <c r="K1063">
        <v>30</v>
      </c>
      <c r="L1063" t="str">
        <f t="shared" si="37"/>
        <v>W30</v>
      </c>
    </row>
    <row r="1064" spans="1:12" x14ac:dyDescent="0.2">
      <c r="A1064" s="26" t="s">
        <v>36</v>
      </c>
      <c r="B1064" s="26" t="s">
        <v>69</v>
      </c>
      <c r="C1064">
        <v>4</v>
      </c>
      <c r="D1064" s="26" t="s">
        <v>319</v>
      </c>
      <c r="E1064" s="26" t="s">
        <v>71</v>
      </c>
      <c r="F1064">
        <v>4</v>
      </c>
      <c r="G1064" t="str">
        <f t="shared" si="38"/>
        <v>CoStep4WalkwayT4</v>
      </c>
      <c r="J1064" s="26" t="s">
        <v>381</v>
      </c>
      <c r="K1064">
        <v>30</v>
      </c>
      <c r="L1064" t="str">
        <f t="shared" si="37"/>
        <v>W30</v>
      </c>
    </row>
    <row r="1065" spans="1:12" x14ac:dyDescent="0.2">
      <c r="A1065" s="26" t="s">
        <v>36</v>
      </c>
      <c r="B1065" s="26" t="s">
        <v>69</v>
      </c>
      <c r="C1065">
        <v>4</v>
      </c>
      <c r="D1065" s="26" t="s">
        <v>319</v>
      </c>
      <c r="E1065" s="26" t="s">
        <v>71</v>
      </c>
      <c r="F1065">
        <v>5</v>
      </c>
      <c r="G1065" t="str">
        <f t="shared" si="38"/>
        <v>CoStep4WalkwayT5</v>
      </c>
      <c r="J1065" s="26" t="s">
        <v>381</v>
      </c>
      <c r="K1065">
        <v>30</v>
      </c>
      <c r="L1065" t="str">
        <f t="shared" si="37"/>
        <v>W30</v>
      </c>
    </row>
    <row r="1066" spans="1:12" x14ac:dyDescent="0.2">
      <c r="A1066" s="26" t="s">
        <v>36</v>
      </c>
      <c r="B1066" s="26" t="s">
        <v>69</v>
      </c>
      <c r="C1066">
        <v>4</v>
      </c>
      <c r="D1066" s="26" t="s">
        <v>319</v>
      </c>
      <c r="E1066" s="26" t="s">
        <v>71</v>
      </c>
      <c r="F1066">
        <v>6</v>
      </c>
      <c r="G1066" t="str">
        <f t="shared" si="38"/>
        <v>CoStep4WalkwayT6</v>
      </c>
      <c r="J1066" s="26" t="s">
        <v>381</v>
      </c>
      <c r="K1066">
        <v>30</v>
      </c>
      <c r="L1066" t="str">
        <f t="shared" si="37"/>
        <v>W30</v>
      </c>
    </row>
    <row r="1067" spans="1:12" x14ac:dyDescent="0.2">
      <c r="A1067" s="26" t="s">
        <v>36</v>
      </c>
      <c r="B1067" s="26" t="s">
        <v>69</v>
      </c>
      <c r="C1067">
        <v>4</v>
      </c>
      <c r="D1067" s="26" t="s">
        <v>319</v>
      </c>
      <c r="E1067" s="26" t="s">
        <v>71</v>
      </c>
      <c r="F1067">
        <v>7</v>
      </c>
      <c r="G1067" t="str">
        <f t="shared" si="38"/>
        <v>CoStep4WalkwayT7</v>
      </c>
      <c r="J1067" s="26" t="s">
        <v>381</v>
      </c>
      <c r="K1067">
        <v>30</v>
      </c>
      <c r="L1067" t="str">
        <f t="shared" si="37"/>
        <v>W30</v>
      </c>
    </row>
    <row r="1068" spans="1:12" x14ac:dyDescent="0.2">
      <c r="A1068" s="26" t="s">
        <v>36</v>
      </c>
      <c r="B1068" s="26" t="s">
        <v>69</v>
      </c>
      <c r="C1068">
        <v>4</v>
      </c>
      <c r="D1068" s="26" t="s">
        <v>319</v>
      </c>
      <c r="E1068" s="26" t="s">
        <v>71</v>
      </c>
      <c r="F1068">
        <v>8</v>
      </c>
      <c r="G1068" t="str">
        <f t="shared" si="38"/>
        <v>CoStep4WalkwayT8</v>
      </c>
      <c r="J1068" s="26" t="s">
        <v>381</v>
      </c>
      <c r="K1068">
        <v>30</v>
      </c>
      <c r="L1068" t="str">
        <f t="shared" ref="L1068:L1131" si="39">J1068&amp;K1068</f>
        <v>W30</v>
      </c>
    </row>
    <row r="1069" spans="1:12" x14ac:dyDescent="0.2">
      <c r="A1069" s="26" t="s">
        <v>36</v>
      </c>
      <c r="B1069" s="26" t="s">
        <v>69</v>
      </c>
      <c r="C1069">
        <v>4</v>
      </c>
      <c r="D1069" s="26" t="s">
        <v>319</v>
      </c>
      <c r="E1069" s="26" t="s">
        <v>71</v>
      </c>
      <c r="F1069">
        <v>9</v>
      </c>
      <c r="G1069" t="str">
        <f t="shared" si="38"/>
        <v>CoStep4WalkwayT9</v>
      </c>
      <c r="J1069" s="26" t="s">
        <v>381</v>
      </c>
      <c r="K1069">
        <v>30</v>
      </c>
      <c r="L1069" t="str">
        <f t="shared" si="39"/>
        <v>W30</v>
      </c>
    </row>
    <row r="1070" spans="1:12" x14ac:dyDescent="0.2">
      <c r="A1070" s="26" t="s">
        <v>36</v>
      </c>
      <c r="B1070" s="26" t="s">
        <v>69</v>
      </c>
      <c r="C1070">
        <v>4</v>
      </c>
      <c r="D1070" s="26" t="s">
        <v>319</v>
      </c>
      <c r="E1070" s="26" t="s">
        <v>71</v>
      </c>
      <c r="F1070">
        <v>10</v>
      </c>
      <c r="G1070" t="str">
        <f t="shared" si="38"/>
        <v>CoStep4WalkwayT10</v>
      </c>
      <c r="J1070" s="26" t="s">
        <v>381</v>
      </c>
      <c r="K1070">
        <v>30</v>
      </c>
      <c r="L1070" t="str">
        <f t="shared" si="39"/>
        <v>W30</v>
      </c>
    </row>
    <row r="1071" spans="1:12" x14ac:dyDescent="0.2">
      <c r="A1071" s="26" t="s">
        <v>36</v>
      </c>
      <c r="B1071" s="26" t="s">
        <v>69</v>
      </c>
      <c r="C1071">
        <v>4</v>
      </c>
      <c r="D1071" s="26" t="s">
        <v>319</v>
      </c>
      <c r="E1071" s="26" t="s">
        <v>71</v>
      </c>
      <c r="F1071">
        <v>11</v>
      </c>
      <c r="G1071" t="str">
        <f t="shared" si="38"/>
        <v>CoStep4WalkwayT11</v>
      </c>
      <c r="J1071" s="26" t="s">
        <v>381</v>
      </c>
      <c r="K1071">
        <v>30</v>
      </c>
      <c r="L1071" t="str">
        <f t="shared" si="39"/>
        <v>W30</v>
      </c>
    </row>
    <row r="1072" spans="1:12" x14ac:dyDescent="0.2">
      <c r="A1072" s="26" t="s">
        <v>36</v>
      </c>
      <c r="B1072" s="26" t="s">
        <v>69</v>
      </c>
      <c r="C1072">
        <v>4</v>
      </c>
      <c r="D1072" s="26" t="s">
        <v>319</v>
      </c>
      <c r="E1072" s="26" t="s">
        <v>71</v>
      </c>
      <c r="F1072">
        <v>12</v>
      </c>
      <c r="G1072" t="str">
        <f t="shared" si="38"/>
        <v>CoStep4WalkwayT12</v>
      </c>
      <c r="J1072" s="26" t="s">
        <v>381</v>
      </c>
      <c r="K1072">
        <v>30</v>
      </c>
      <c r="L1072" t="str">
        <f t="shared" si="39"/>
        <v>W30</v>
      </c>
    </row>
    <row r="1073" spans="1:12" x14ac:dyDescent="0.2">
      <c r="A1073" s="26" t="s">
        <v>36</v>
      </c>
      <c r="B1073" s="26" t="s">
        <v>69</v>
      </c>
      <c r="C1073">
        <v>4</v>
      </c>
      <c r="D1073" s="26" t="s">
        <v>319</v>
      </c>
      <c r="E1073" s="26" t="s">
        <v>71</v>
      </c>
      <c r="F1073">
        <v>13</v>
      </c>
      <c r="G1073" t="str">
        <f t="shared" si="38"/>
        <v>CoStep4WalkwayT13</v>
      </c>
      <c r="J1073" s="26" t="s">
        <v>381</v>
      </c>
      <c r="K1073">
        <v>30</v>
      </c>
      <c r="L1073" t="str">
        <f t="shared" si="39"/>
        <v>W30</v>
      </c>
    </row>
    <row r="1074" spans="1:12" x14ac:dyDescent="0.2">
      <c r="A1074" s="26" t="s">
        <v>36</v>
      </c>
      <c r="B1074" s="26" t="s">
        <v>69</v>
      </c>
      <c r="C1074">
        <v>4</v>
      </c>
      <c r="D1074" s="26" t="s">
        <v>319</v>
      </c>
      <c r="E1074" s="26" t="s">
        <v>71</v>
      </c>
      <c r="F1074">
        <v>14</v>
      </c>
      <c r="G1074" t="str">
        <f t="shared" si="38"/>
        <v>CoStep4WalkwayT14</v>
      </c>
      <c r="J1074" s="26" t="s">
        <v>381</v>
      </c>
      <c r="K1074">
        <v>30</v>
      </c>
      <c r="L1074" t="str">
        <f t="shared" si="39"/>
        <v>W30</v>
      </c>
    </row>
    <row r="1075" spans="1:12" x14ac:dyDescent="0.2">
      <c r="A1075" s="26" t="s">
        <v>36</v>
      </c>
      <c r="B1075" s="26" t="s">
        <v>69</v>
      </c>
      <c r="C1075">
        <v>4</v>
      </c>
      <c r="D1075" s="26" t="s">
        <v>319</v>
      </c>
      <c r="E1075" s="26" t="s">
        <v>71</v>
      </c>
      <c r="F1075">
        <v>15</v>
      </c>
      <c r="G1075" t="str">
        <f t="shared" si="38"/>
        <v>CoStep4WalkwayT15</v>
      </c>
      <c r="J1075" s="26" t="s">
        <v>381</v>
      </c>
      <c r="K1075">
        <v>30</v>
      </c>
      <c r="L1075" t="str">
        <f t="shared" si="39"/>
        <v>W30</v>
      </c>
    </row>
    <row r="1076" spans="1:12" x14ac:dyDescent="0.2">
      <c r="A1076" s="26" t="s">
        <v>36</v>
      </c>
      <c r="B1076" s="26" t="s">
        <v>69</v>
      </c>
      <c r="C1076">
        <v>4</v>
      </c>
      <c r="D1076" s="26" t="s">
        <v>319</v>
      </c>
      <c r="E1076" s="26" t="s">
        <v>71</v>
      </c>
      <c r="F1076">
        <v>16</v>
      </c>
      <c r="G1076" t="str">
        <f t="shared" si="38"/>
        <v>CoStep4WalkwayT16</v>
      </c>
      <c r="J1076" s="26" t="s">
        <v>381</v>
      </c>
      <c r="K1076">
        <v>30</v>
      </c>
      <c r="L1076" t="str">
        <f t="shared" si="39"/>
        <v>W30</v>
      </c>
    </row>
    <row r="1077" spans="1:12" x14ac:dyDescent="0.2">
      <c r="A1077" s="26" t="s">
        <v>36</v>
      </c>
      <c r="B1077" s="26" t="s">
        <v>69</v>
      </c>
      <c r="C1077">
        <v>4</v>
      </c>
      <c r="D1077" s="26" t="s">
        <v>319</v>
      </c>
      <c r="E1077" s="26" t="s">
        <v>71</v>
      </c>
      <c r="F1077">
        <v>17</v>
      </c>
      <c r="G1077" t="str">
        <f t="shared" si="38"/>
        <v>CoStep4WalkwayT17</v>
      </c>
      <c r="J1077" s="26" t="s">
        <v>381</v>
      </c>
      <c r="K1077">
        <v>30</v>
      </c>
      <c r="L1077" t="str">
        <f t="shared" si="39"/>
        <v>W30</v>
      </c>
    </row>
    <row r="1078" spans="1:12" x14ac:dyDescent="0.2">
      <c r="A1078" s="26" t="s">
        <v>36</v>
      </c>
      <c r="B1078" s="26" t="s">
        <v>69</v>
      </c>
      <c r="C1078">
        <v>4</v>
      </c>
      <c r="D1078" s="26" t="s">
        <v>319</v>
      </c>
      <c r="E1078" s="26" t="s">
        <v>71</v>
      </c>
      <c r="F1078">
        <v>18</v>
      </c>
      <c r="G1078" t="str">
        <f t="shared" si="38"/>
        <v>CoStep4WalkwayT18</v>
      </c>
      <c r="J1078" s="26" t="s">
        <v>381</v>
      </c>
      <c r="K1078">
        <v>30</v>
      </c>
      <c r="L1078" t="str">
        <f t="shared" si="39"/>
        <v>W30</v>
      </c>
    </row>
    <row r="1079" spans="1:12" x14ac:dyDescent="0.2">
      <c r="A1079" s="26" t="s">
        <v>36</v>
      </c>
      <c r="B1079" s="26" t="s">
        <v>69</v>
      </c>
      <c r="C1079">
        <v>4</v>
      </c>
      <c r="D1079" s="26" t="s">
        <v>319</v>
      </c>
      <c r="E1079" s="26" t="s">
        <v>71</v>
      </c>
      <c r="F1079">
        <v>19</v>
      </c>
      <c r="G1079" t="str">
        <f t="shared" si="38"/>
        <v>CoStep4WalkwayT19</v>
      </c>
      <c r="J1079" s="26" t="s">
        <v>381</v>
      </c>
      <c r="K1079">
        <v>30</v>
      </c>
      <c r="L1079" t="str">
        <f t="shared" si="39"/>
        <v>W30</v>
      </c>
    </row>
    <row r="1080" spans="1:12" x14ac:dyDescent="0.2">
      <c r="A1080" s="26" t="s">
        <v>36</v>
      </c>
      <c r="B1080" s="26" t="s">
        <v>69</v>
      </c>
      <c r="C1080">
        <v>4</v>
      </c>
      <c r="D1080" s="26" t="s">
        <v>319</v>
      </c>
      <c r="E1080" s="26" t="s">
        <v>71</v>
      </c>
      <c r="F1080">
        <v>20</v>
      </c>
      <c r="G1080" t="str">
        <f t="shared" si="38"/>
        <v>CoStep4WalkwayT20</v>
      </c>
      <c r="J1080" s="26" t="s">
        <v>381</v>
      </c>
      <c r="K1080">
        <v>30</v>
      </c>
      <c r="L1080" t="str">
        <f t="shared" si="39"/>
        <v>W30</v>
      </c>
    </row>
    <row r="1081" spans="1:12" x14ac:dyDescent="0.2">
      <c r="A1081" s="26" t="s">
        <v>36</v>
      </c>
      <c r="B1081" s="26" t="s">
        <v>69</v>
      </c>
      <c r="C1081">
        <v>5</v>
      </c>
      <c r="D1081" s="26" t="s">
        <v>319</v>
      </c>
      <c r="E1081" s="26" t="s">
        <v>71</v>
      </c>
      <c r="F1081">
        <v>1</v>
      </c>
      <c r="G1081" t="str">
        <f t="shared" si="38"/>
        <v>CoStep5WalkwayT1</v>
      </c>
      <c r="J1081" s="26" t="s">
        <v>381</v>
      </c>
      <c r="K1081">
        <v>30</v>
      </c>
      <c r="L1081" t="str">
        <f t="shared" si="39"/>
        <v>W30</v>
      </c>
    </row>
    <row r="1082" spans="1:12" x14ac:dyDescent="0.2">
      <c r="A1082" s="26" t="s">
        <v>36</v>
      </c>
      <c r="B1082" s="26" t="s">
        <v>69</v>
      </c>
      <c r="C1082">
        <v>5</v>
      </c>
      <c r="D1082" s="26" t="s">
        <v>319</v>
      </c>
      <c r="E1082" s="26" t="s">
        <v>71</v>
      </c>
      <c r="F1082">
        <v>2</v>
      </c>
      <c r="G1082" t="str">
        <f t="shared" si="38"/>
        <v>CoStep5WalkwayT2</v>
      </c>
      <c r="J1082" s="26" t="s">
        <v>381</v>
      </c>
      <c r="K1082">
        <v>30</v>
      </c>
      <c r="L1082" t="str">
        <f t="shared" si="39"/>
        <v>W30</v>
      </c>
    </row>
    <row r="1083" spans="1:12" x14ac:dyDescent="0.2">
      <c r="A1083" s="26" t="s">
        <v>36</v>
      </c>
      <c r="B1083" s="26" t="s">
        <v>69</v>
      </c>
      <c r="C1083">
        <v>5</v>
      </c>
      <c r="D1083" s="26" t="s">
        <v>319</v>
      </c>
      <c r="E1083" s="26" t="s">
        <v>71</v>
      </c>
      <c r="F1083">
        <v>3</v>
      </c>
      <c r="G1083" t="str">
        <f t="shared" si="38"/>
        <v>CoStep5WalkwayT3</v>
      </c>
      <c r="J1083" s="26" t="s">
        <v>381</v>
      </c>
      <c r="K1083">
        <v>30</v>
      </c>
      <c r="L1083" t="str">
        <f t="shared" si="39"/>
        <v>W30</v>
      </c>
    </row>
    <row r="1084" spans="1:12" x14ac:dyDescent="0.2">
      <c r="A1084" s="26" t="s">
        <v>36</v>
      </c>
      <c r="B1084" s="26" t="s">
        <v>69</v>
      </c>
      <c r="C1084">
        <v>5</v>
      </c>
      <c r="D1084" s="26" t="s">
        <v>319</v>
      </c>
      <c r="E1084" s="26" t="s">
        <v>71</v>
      </c>
      <c r="F1084">
        <v>4</v>
      </c>
      <c r="G1084" t="str">
        <f t="shared" si="38"/>
        <v>CoStep5WalkwayT4</v>
      </c>
      <c r="J1084" s="26" t="s">
        <v>381</v>
      </c>
      <c r="K1084">
        <v>30</v>
      </c>
      <c r="L1084" t="str">
        <f t="shared" si="39"/>
        <v>W30</v>
      </c>
    </row>
    <row r="1085" spans="1:12" x14ac:dyDescent="0.2">
      <c r="A1085" s="26" t="s">
        <v>36</v>
      </c>
      <c r="B1085" s="26" t="s">
        <v>69</v>
      </c>
      <c r="C1085">
        <v>5</v>
      </c>
      <c r="D1085" s="26" t="s">
        <v>319</v>
      </c>
      <c r="E1085" s="26" t="s">
        <v>71</v>
      </c>
      <c r="F1085">
        <v>5</v>
      </c>
      <c r="G1085" t="str">
        <f t="shared" si="38"/>
        <v>CoStep5WalkwayT5</v>
      </c>
      <c r="J1085" s="26" t="s">
        <v>381</v>
      </c>
      <c r="K1085">
        <v>30</v>
      </c>
      <c r="L1085" t="str">
        <f t="shared" si="39"/>
        <v>W30</v>
      </c>
    </row>
    <row r="1086" spans="1:12" x14ac:dyDescent="0.2">
      <c r="A1086" s="26" t="s">
        <v>36</v>
      </c>
      <c r="B1086" s="26" t="s">
        <v>69</v>
      </c>
      <c r="C1086">
        <v>5</v>
      </c>
      <c r="D1086" s="26" t="s">
        <v>319</v>
      </c>
      <c r="E1086" s="26" t="s">
        <v>71</v>
      </c>
      <c r="F1086">
        <v>6</v>
      </c>
      <c r="G1086" t="str">
        <f t="shared" si="38"/>
        <v>CoStep5WalkwayT6</v>
      </c>
      <c r="J1086" s="26" t="s">
        <v>381</v>
      </c>
      <c r="K1086">
        <v>30</v>
      </c>
      <c r="L1086" t="str">
        <f t="shared" si="39"/>
        <v>W30</v>
      </c>
    </row>
    <row r="1087" spans="1:12" x14ac:dyDescent="0.2">
      <c r="A1087" s="26" t="s">
        <v>36</v>
      </c>
      <c r="B1087" s="26" t="s">
        <v>69</v>
      </c>
      <c r="C1087">
        <v>5</v>
      </c>
      <c r="D1087" s="26" t="s">
        <v>319</v>
      </c>
      <c r="E1087" s="26" t="s">
        <v>71</v>
      </c>
      <c r="F1087">
        <v>7</v>
      </c>
      <c r="G1087" t="str">
        <f t="shared" si="38"/>
        <v>CoStep5WalkwayT7</v>
      </c>
      <c r="J1087" s="26" t="s">
        <v>381</v>
      </c>
      <c r="K1087">
        <v>30</v>
      </c>
      <c r="L1087" t="str">
        <f t="shared" si="39"/>
        <v>W30</v>
      </c>
    </row>
    <row r="1088" spans="1:12" x14ac:dyDescent="0.2">
      <c r="A1088" s="26" t="s">
        <v>36</v>
      </c>
      <c r="B1088" s="26" t="s">
        <v>69</v>
      </c>
      <c r="C1088">
        <v>5</v>
      </c>
      <c r="D1088" s="26" t="s">
        <v>319</v>
      </c>
      <c r="E1088" s="26" t="s">
        <v>71</v>
      </c>
      <c r="F1088">
        <v>8</v>
      </c>
      <c r="G1088" t="str">
        <f t="shared" si="38"/>
        <v>CoStep5WalkwayT8</v>
      </c>
      <c r="J1088" s="26" t="s">
        <v>381</v>
      </c>
      <c r="K1088">
        <v>30</v>
      </c>
      <c r="L1088" t="str">
        <f t="shared" si="39"/>
        <v>W30</v>
      </c>
    </row>
    <row r="1089" spans="1:12" x14ac:dyDescent="0.2">
      <c r="A1089" s="26" t="s">
        <v>36</v>
      </c>
      <c r="B1089" s="26" t="s">
        <v>69</v>
      </c>
      <c r="C1089">
        <v>5</v>
      </c>
      <c r="D1089" s="26" t="s">
        <v>319</v>
      </c>
      <c r="E1089" s="26" t="s">
        <v>71</v>
      </c>
      <c r="F1089">
        <v>9</v>
      </c>
      <c r="G1089" t="str">
        <f t="shared" si="38"/>
        <v>CoStep5WalkwayT9</v>
      </c>
      <c r="J1089" s="26" t="s">
        <v>381</v>
      </c>
      <c r="K1089">
        <v>30</v>
      </c>
      <c r="L1089" t="str">
        <f t="shared" si="39"/>
        <v>W30</v>
      </c>
    </row>
    <row r="1090" spans="1:12" x14ac:dyDescent="0.2">
      <c r="A1090" s="26" t="s">
        <v>36</v>
      </c>
      <c r="B1090" s="26" t="s">
        <v>69</v>
      </c>
      <c r="C1090">
        <v>5</v>
      </c>
      <c r="D1090" s="26" t="s">
        <v>319</v>
      </c>
      <c r="E1090" s="26" t="s">
        <v>71</v>
      </c>
      <c r="F1090">
        <v>10</v>
      </c>
      <c r="G1090" t="str">
        <f t="shared" si="38"/>
        <v>CoStep5WalkwayT10</v>
      </c>
      <c r="J1090" s="26" t="s">
        <v>381</v>
      </c>
      <c r="K1090">
        <v>30</v>
      </c>
      <c r="L1090" t="str">
        <f t="shared" si="39"/>
        <v>W30</v>
      </c>
    </row>
    <row r="1091" spans="1:12" x14ac:dyDescent="0.2">
      <c r="A1091" s="26" t="s">
        <v>36</v>
      </c>
      <c r="B1091" s="26" t="s">
        <v>69</v>
      </c>
      <c r="C1091">
        <v>5</v>
      </c>
      <c r="D1091" s="26" t="s">
        <v>319</v>
      </c>
      <c r="E1091" s="26" t="s">
        <v>71</v>
      </c>
      <c r="F1091">
        <v>11</v>
      </c>
      <c r="G1091" t="str">
        <f t="shared" si="38"/>
        <v>CoStep5WalkwayT11</v>
      </c>
      <c r="J1091" s="26" t="s">
        <v>381</v>
      </c>
      <c r="K1091">
        <v>30</v>
      </c>
      <c r="L1091" t="str">
        <f t="shared" si="39"/>
        <v>W30</v>
      </c>
    </row>
    <row r="1092" spans="1:12" x14ac:dyDescent="0.2">
      <c r="A1092" s="26" t="s">
        <v>36</v>
      </c>
      <c r="B1092" s="26" t="s">
        <v>69</v>
      </c>
      <c r="C1092">
        <v>5</v>
      </c>
      <c r="D1092" s="26" t="s">
        <v>319</v>
      </c>
      <c r="E1092" s="26" t="s">
        <v>71</v>
      </c>
      <c r="F1092">
        <v>12</v>
      </c>
      <c r="G1092" t="str">
        <f t="shared" si="38"/>
        <v>CoStep5WalkwayT12</v>
      </c>
      <c r="J1092" s="26" t="s">
        <v>381</v>
      </c>
      <c r="K1092">
        <v>30</v>
      </c>
      <c r="L1092" t="str">
        <f t="shared" si="39"/>
        <v>W30</v>
      </c>
    </row>
    <row r="1093" spans="1:12" x14ac:dyDescent="0.2">
      <c r="A1093" s="26" t="s">
        <v>36</v>
      </c>
      <c r="B1093" s="26" t="s">
        <v>69</v>
      </c>
      <c r="C1093">
        <v>5</v>
      </c>
      <c r="D1093" s="26" t="s">
        <v>319</v>
      </c>
      <c r="E1093" s="26" t="s">
        <v>71</v>
      </c>
      <c r="F1093">
        <v>13</v>
      </c>
      <c r="G1093" t="str">
        <f t="shared" si="38"/>
        <v>CoStep5WalkwayT13</v>
      </c>
      <c r="J1093" s="26" t="s">
        <v>381</v>
      </c>
      <c r="K1093">
        <v>30</v>
      </c>
      <c r="L1093" t="str">
        <f t="shared" si="39"/>
        <v>W30</v>
      </c>
    </row>
    <row r="1094" spans="1:12" x14ac:dyDescent="0.2">
      <c r="A1094" s="26" t="s">
        <v>36</v>
      </c>
      <c r="B1094" s="26" t="s">
        <v>69</v>
      </c>
      <c r="C1094">
        <v>5</v>
      </c>
      <c r="D1094" s="26" t="s">
        <v>319</v>
      </c>
      <c r="E1094" s="26" t="s">
        <v>71</v>
      </c>
      <c r="F1094">
        <v>14</v>
      </c>
      <c r="G1094" t="str">
        <f t="shared" ref="G1094:G1157" si="40">A1094&amp;B1094&amp;C1094&amp;D1094&amp;E1094&amp;F1094</f>
        <v>CoStep5WalkwayT14</v>
      </c>
      <c r="J1094" s="26" t="s">
        <v>381</v>
      </c>
      <c r="K1094">
        <v>30</v>
      </c>
      <c r="L1094" t="str">
        <f t="shared" si="39"/>
        <v>W30</v>
      </c>
    </row>
    <row r="1095" spans="1:12" x14ac:dyDescent="0.2">
      <c r="A1095" s="26" t="s">
        <v>36</v>
      </c>
      <c r="B1095" s="26" t="s">
        <v>69</v>
      </c>
      <c r="C1095">
        <v>5</v>
      </c>
      <c r="D1095" s="26" t="s">
        <v>319</v>
      </c>
      <c r="E1095" s="26" t="s">
        <v>71</v>
      </c>
      <c r="F1095">
        <v>15</v>
      </c>
      <c r="G1095" t="str">
        <f t="shared" si="40"/>
        <v>CoStep5WalkwayT15</v>
      </c>
      <c r="J1095" s="26" t="s">
        <v>381</v>
      </c>
      <c r="K1095">
        <v>30</v>
      </c>
      <c r="L1095" t="str">
        <f t="shared" si="39"/>
        <v>W30</v>
      </c>
    </row>
    <row r="1096" spans="1:12" x14ac:dyDescent="0.2">
      <c r="A1096" s="26" t="s">
        <v>36</v>
      </c>
      <c r="B1096" s="26" t="s">
        <v>69</v>
      </c>
      <c r="C1096">
        <v>5</v>
      </c>
      <c r="D1096" s="26" t="s">
        <v>319</v>
      </c>
      <c r="E1096" s="26" t="s">
        <v>71</v>
      </c>
      <c r="F1096">
        <v>16</v>
      </c>
      <c r="G1096" t="str">
        <f t="shared" si="40"/>
        <v>CoStep5WalkwayT16</v>
      </c>
      <c r="J1096" s="26" t="s">
        <v>381</v>
      </c>
      <c r="K1096">
        <v>30</v>
      </c>
      <c r="L1096" t="str">
        <f t="shared" si="39"/>
        <v>W30</v>
      </c>
    </row>
    <row r="1097" spans="1:12" x14ac:dyDescent="0.2">
      <c r="A1097" s="26" t="s">
        <v>36</v>
      </c>
      <c r="B1097" s="26" t="s">
        <v>69</v>
      </c>
      <c r="C1097">
        <v>5</v>
      </c>
      <c r="D1097" s="26" t="s">
        <v>319</v>
      </c>
      <c r="E1097" s="26" t="s">
        <v>71</v>
      </c>
      <c r="F1097">
        <v>17</v>
      </c>
      <c r="G1097" t="str">
        <f t="shared" si="40"/>
        <v>CoStep5WalkwayT17</v>
      </c>
      <c r="J1097" s="26" t="s">
        <v>381</v>
      </c>
      <c r="K1097">
        <v>30</v>
      </c>
      <c r="L1097" t="str">
        <f t="shared" si="39"/>
        <v>W30</v>
      </c>
    </row>
    <row r="1098" spans="1:12" x14ac:dyDescent="0.2">
      <c r="A1098" s="26" t="s">
        <v>36</v>
      </c>
      <c r="B1098" s="26" t="s">
        <v>69</v>
      </c>
      <c r="C1098">
        <v>5</v>
      </c>
      <c r="D1098" s="26" t="s">
        <v>319</v>
      </c>
      <c r="E1098" s="26" t="s">
        <v>71</v>
      </c>
      <c r="F1098">
        <v>18</v>
      </c>
      <c r="G1098" t="str">
        <f t="shared" si="40"/>
        <v>CoStep5WalkwayT18</v>
      </c>
      <c r="J1098" s="26" t="s">
        <v>381</v>
      </c>
      <c r="K1098">
        <v>30</v>
      </c>
      <c r="L1098" t="str">
        <f t="shared" si="39"/>
        <v>W30</v>
      </c>
    </row>
    <row r="1099" spans="1:12" x14ac:dyDescent="0.2">
      <c r="A1099" s="26" t="s">
        <v>36</v>
      </c>
      <c r="B1099" s="26" t="s">
        <v>69</v>
      </c>
      <c r="C1099">
        <v>5</v>
      </c>
      <c r="D1099" s="26" t="s">
        <v>319</v>
      </c>
      <c r="E1099" s="26" t="s">
        <v>71</v>
      </c>
      <c r="F1099">
        <v>19</v>
      </c>
      <c r="G1099" t="str">
        <f t="shared" si="40"/>
        <v>CoStep5WalkwayT19</v>
      </c>
      <c r="J1099" s="26" t="s">
        <v>381</v>
      </c>
      <c r="K1099">
        <v>30</v>
      </c>
      <c r="L1099" t="str">
        <f t="shared" si="39"/>
        <v>W30</v>
      </c>
    </row>
    <row r="1100" spans="1:12" x14ac:dyDescent="0.2">
      <c r="A1100" s="26" t="s">
        <v>36</v>
      </c>
      <c r="B1100" s="26" t="s">
        <v>69</v>
      </c>
      <c r="C1100">
        <v>5</v>
      </c>
      <c r="D1100" s="26" t="s">
        <v>319</v>
      </c>
      <c r="E1100" s="26" t="s">
        <v>71</v>
      </c>
      <c r="F1100">
        <v>20</v>
      </c>
      <c r="G1100" t="str">
        <f t="shared" si="40"/>
        <v>CoStep5WalkwayT20</v>
      </c>
      <c r="J1100" s="26" t="s">
        <v>381</v>
      </c>
      <c r="K1100">
        <v>30</v>
      </c>
      <c r="L1100" t="str">
        <f t="shared" si="39"/>
        <v>W30</v>
      </c>
    </row>
    <row r="1101" spans="1:12" x14ac:dyDescent="0.2">
      <c r="A1101" s="26" t="s">
        <v>36</v>
      </c>
      <c r="B1101" s="26" t="s">
        <v>69</v>
      </c>
      <c r="C1101">
        <v>6</v>
      </c>
      <c r="D1101" s="26" t="s">
        <v>319</v>
      </c>
      <c r="E1101" s="26" t="s">
        <v>71</v>
      </c>
      <c r="F1101">
        <v>1</v>
      </c>
      <c r="G1101" t="str">
        <f t="shared" si="40"/>
        <v>CoStep6WalkwayT1</v>
      </c>
      <c r="J1101" s="26" t="s">
        <v>381</v>
      </c>
      <c r="K1101">
        <v>30</v>
      </c>
      <c r="L1101" t="str">
        <f t="shared" si="39"/>
        <v>W30</v>
      </c>
    </row>
    <row r="1102" spans="1:12" x14ac:dyDescent="0.2">
      <c r="A1102" s="26" t="s">
        <v>36</v>
      </c>
      <c r="B1102" s="26" t="s">
        <v>69</v>
      </c>
      <c r="C1102">
        <v>6</v>
      </c>
      <c r="D1102" s="26" t="s">
        <v>319</v>
      </c>
      <c r="E1102" s="26" t="s">
        <v>71</v>
      </c>
      <c r="F1102">
        <v>2</v>
      </c>
      <c r="G1102" t="str">
        <f t="shared" si="40"/>
        <v>CoStep6WalkwayT2</v>
      </c>
      <c r="J1102" s="26" t="s">
        <v>381</v>
      </c>
      <c r="K1102">
        <v>30</v>
      </c>
      <c r="L1102" t="str">
        <f t="shared" si="39"/>
        <v>W30</v>
      </c>
    </row>
    <row r="1103" spans="1:12" x14ac:dyDescent="0.2">
      <c r="A1103" s="26" t="s">
        <v>36</v>
      </c>
      <c r="B1103" s="26" t="s">
        <v>69</v>
      </c>
      <c r="C1103">
        <v>6</v>
      </c>
      <c r="D1103" s="26" t="s">
        <v>319</v>
      </c>
      <c r="E1103" s="26" t="s">
        <v>71</v>
      </c>
      <c r="F1103">
        <v>3</v>
      </c>
      <c r="G1103" t="str">
        <f t="shared" si="40"/>
        <v>CoStep6WalkwayT3</v>
      </c>
      <c r="J1103" s="26" t="s">
        <v>381</v>
      </c>
      <c r="K1103">
        <v>30</v>
      </c>
      <c r="L1103" t="str">
        <f t="shared" si="39"/>
        <v>W30</v>
      </c>
    </row>
    <row r="1104" spans="1:12" x14ac:dyDescent="0.2">
      <c r="A1104" s="26" t="s">
        <v>36</v>
      </c>
      <c r="B1104" s="26" t="s">
        <v>69</v>
      </c>
      <c r="C1104">
        <v>6</v>
      </c>
      <c r="D1104" s="26" t="s">
        <v>319</v>
      </c>
      <c r="E1104" s="26" t="s">
        <v>71</v>
      </c>
      <c r="F1104">
        <v>4</v>
      </c>
      <c r="G1104" t="str">
        <f t="shared" si="40"/>
        <v>CoStep6WalkwayT4</v>
      </c>
      <c r="J1104" s="26" t="s">
        <v>381</v>
      </c>
      <c r="K1104">
        <v>30</v>
      </c>
      <c r="L1104" t="str">
        <f t="shared" si="39"/>
        <v>W30</v>
      </c>
    </row>
    <row r="1105" spans="1:12" x14ac:dyDescent="0.2">
      <c r="A1105" s="26" t="s">
        <v>36</v>
      </c>
      <c r="B1105" s="26" t="s">
        <v>69</v>
      </c>
      <c r="C1105">
        <v>6</v>
      </c>
      <c r="D1105" s="26" t="s">
        <v>319</v>
      </c>
      <c r="E1105" s="26" t="s">
        <v>71</v>
      </c>
      <c r="F1105">
        <v>5</v>
      </c>
      <c r="G1105" t="str">
        <f t="shared" si="40"/>
        <v>CoStep6WalkwayT5</v>
      </c>
      <c r="J1105" s="26" t="s">
        <v>381</v>
      </c>
      <c r="K1105">
        <v>30</v>
      </c>
      <c r="L1105" t="str">
        <f t="shared" si="39"/>
        <v>W30</v>
      </c>
    </row>
    <row r="1106" spans="1:12" x14ac:dyDescent="0.2">
      <c r="A1106" s="26" t="s">
        <v>36</v>
      </c>
      <c r="B1106" s="26" t="s">
        <v>69</v>
      </c>
      <c r="C1106">
        <v>6</v>
      </c>
      <c r="D1106" s="26" t="s">
        <v>319</v>
      </c>
      <c r="E1106" s="26" t="s">
        <v>71</v>
      </c>
      <c r="F1106">
        <v>6</v>
      </c>
      <c r="G1106" t="str">
        <f t="shared" si="40"/>
        <v>CoStep6WalkwayT6</v>
      </c>
      <c r="J1106" s="26" t="s">
        <v>381</v>
      </c>
      <c r="K1106">
        <v>30</v>
      </c>
      <c r="L1106" t="str">
        <f t="shared" si="39"/>
        <v>W30</v>
      </c>
    </row>
    <row r="1107" spans="1:12" x14ac:dyDescent="0.2">
      <c r="A1107" s="26" t="s">
        <v>36</v>
      </c>
      <c r="B1107" s="26" t="s">
        <v>69</v>
      </c>
      <c r="C1107">
        <v>6</v>
      </c>
      <c r="D1107" s="26" t="s">
        <v>319</v>
      </c>
      <c r="E1107" s="26" t="s">
        <v>71</v>
      </c>
      <c r="F1107">
        <v>7</v>
      </c>
      <c r="G1107" t="str">
        <f t="shared" si="40"/>
        <v>CoStep6WalkwayT7</v>
      </c>
      <c r="J1107" s="26" t="s">
        <v>381</v>
      </c>
      <c r="K1107">
        <v>30</v>
      </c>
      <c r="L1107" t="str">
        <f t="shared" si="39"/>
        <v>W30</v>
      </c>
    </row>
    <row r="1108" spans="1:12" x14ac:dyDescent="0.2">
      <c r="A1108" s="26" t="s">
        <v>36</v>
      </c>
      <c r="B1108" s="26" t="s">
        <v>69</v>
      </c>
      <c r="C1108">
        <v>6</v>
      </c>
      <c r="D1108" s="26" t="s">
        <v>319</v>
      </c>
      <c r="E1108" s="26" t="s">
        <v>71</v>
      </c>
      <c r="F1108">
        <v>8</v>
      </c>
      <c r="G1108" t="str">
        <f t="shared" si="40"/>
        <v>CoStep6WalkwayT8</v>
      </c>
      <c r="J1108" s="26" t="s">
        <v>381</v>
      </c>
      <c r="K1108">
        <v>30</v>
      </c>
      <c r="L1108" t="str">
        <f t="shared" si="39"/>
        <v>W30</v>
      </c>
    </row>
    <row r="1109" spans="1:12" x14ac:dyDescent="0.2">
      <c r="A1109" s="26" t="s">
        <v>36</v>
      </c>
      <c r="B1109" s="26" t="s">
        <v>69</v>
      </c>
      <c r="C1109">
        <v>6</v>
      </c>
      <c r="D1109" s="26" t="s">
        <v>319</v>
      </c>
      <c r="E1109" s="26" t="s">
        <v>71</v>
      </c>
      <c r="F1109">
        <v>9</v>
      </c>
      <c r="G1109" t="str">
        <f t="shared" si="40"/>
        <v>CoStep6WalkwayT9</v>
      </c>
      <c r="J1109" s="26" t="s">
        <v>381</v>
      </c>
      <c r="K1109">
        <v>30</v>
      </c>
      <c r="L1109" t="str">
        <f t="shared" si="39"/>
        <v>W30</v>
      </c>
    </row>
    <row r="1110" spans="1:12" x14ac:dyDescent="0.2">
      <c r="A1110" s="26" t="s">
        <v>36</v>
      </c>
      <c r="B1110" s="26" t="s">
        <v>69</v>
      </c>
      <c r="C1110">
        <v>6</v>
      </c>
      <c r="D1110" s="26" t="s">
        <v>319</v>
      </c>
      <c r="E1110" s="26" t="s">
        <v>71</v>
      </c>
      <c r="F1110">
        <v>10</v>
      </c>
      <c r="G1110" t="str">
        <f t="shared" si="40"/>
        <v>CoStep6WalkwayT10</v>
      </c>
      <c r="J1110" s="26" t="s">
        <v>381</v>
      </c>
      <c r="K1110">
        <v>30</v>
      </c>
      <c r="L1110" t="str">
        <f t="shared" si="39"/>
        <v>W30</v>
      </c>
    </row>
    <row r="1111" spans="1:12" x14ac:dyDescent="0.2">
      <c r="A1111" s="26" t="s">
        <v>36</v>
      </c>
      <c r="B1111" s="26" t="s">
        <v>69</v>
      </c>
      <c r="C1111">
        <v>6</v>
      </c>
      <c r="D1111" s="26" t="s">
        <v>319</v>
      </c>
      <c r="E1111" s="26" t="s">
        <v>71</v>
      </c>
      <c r="F1111">
        <v>11</v>
      </c>
      <c r="G1111" t="str">
        <f t="shared" si="40"/>
        <v>CoStep6WalkwayT11</v>
      </c>
      <c r="J1111" s="26" t="s">
        <v>381</v>
      </c>
      <c r="K1111">
        <v>30</v>
      </c>
      <c r="L1111" t="str">
        <f t="shared" si="39"/>
        <v>W30</v>
      </c>
    </row>
    <row r="1112" spans="1:12" x14ac:dyDescent="0.2">
      <c r="A1112" s="26" t="s">
        <v>36</v>
      </c>
      <c r="B1112" s="26" t="s">
        <v>69</v>
      </c>
      <c r="C1112">
        <v>6</v>
      </c>
      <c r="D1112" s="26" t="s">
        <v>319</v>
      </c>
      <c r="E1112" s="26" t="s">
        <v>71</v>
      </c>
      <c r="F1112">
        <v>12</v>
      </c>
      <c r="G1112" t="str">
        <f t="shared" si="40"/>
        <v>CoStep6WalkwayT12</v>
      </c>
      <c r="J1112" s="26" t="s">
        <v>381</v>
      </c>
      <c r="K1112">
        <v>30</v>
      </c>
      <c r="L1112" t="str">
        <f t="shared" si="39"/>
        <v>W30</v>
      </c>
    </row>
    <row r="1113" spans="1:12" x14ac:dyDescent="0.2">
      <c r="A1113" s="26" t="s">
        <v>36</v>
      </c>
      <c r="B1113" s="26" t="s">
        <v>69</v>
      </c>
      <c r="C1113">
        <v>6</v>
      </c>
      <c r="D1113" s="26" t="s">
        <v>319</v>
      </c>
      <c r="E1113" s="26" t="s">
        <v>71</v>
      </c>
      <c r="F1113">
        <v>13</v>
      </c>
      <c r="G1113" t="str">
        <f t="shared" si="40"/>
        <v>CoStep6WalkwayT13</v>
      </c>
      <c r="J1113" s="26" t="s">
        <v>381</v>
      </c>
      <c r="K1113">
        <v>30</v>
      </c>
      <c r="L1113" t="str">
        <f t="shared" si="39"/>
        <v>W30</v>
      </c>
    </row>
    <row r="1114" spans="1:12" x14ac:dyDescent="0.2">
      <c r="A1114" s="26" t="s">
        <v>36</v>
      </c>
      <c r="B1114" s="26" t="s">
        <v>69</v>
      </c>
      <c r="C1114">
        <v>6</v>
      </c>
      <c r="D1114" s="26" t="s">
        <v>319</v>
      </c>
      <c r="E1114" s="26" t="s">
        <v>71</v>
      </c>
      <c r="F1114">
        <v>14</v>
      </c>
      <c r="G1114" t="str">
        <f t="shared" si="40"/>
        <v>CoStep6WalkwayT14</v>
      </c>
      <c r="J1114" s="26" t="s">
        <v>381</v>
      </c>
      <c r="K1114">
        <v>30</v>
      </c>
      <c r="L1114" t="str">
        <f t="shared" si="39"/>
        <v>W30</v>
      </c>
    </row>
    <row r="1115" spans="1:12" x14ac:dyDescent="0.2">
      <c r="A1115" s="26" t="s">
        <v>36</v>
      </c>
      <c r="B1115" s="26" t="s">
        <v>69</v>
      </c>
      <c r="C1115">
        <v>6</v>
      </c>
      <c r="D1115" s="26" t="s">
        <v>319</v>
      </c>
      <c r="E1115" s="26" t="s">
        <v>71</v>
      </c>
      <c r="F1115">
        <v>15</v>
      </c>
      <c r="G1115" t="str">
        <f t="shared" si="40"/>
        <v>CoStep6WalkwayT15</v>
      </c>
      <c r="J1115" s="26" t="s">
        <v>381</v>
      </c>
      <c r="K1115">
        <v>30</v>
      </c>
      <c r="L1115" t="str">
        <f t="shared" si="39"/>
        <v>W30</v>
      </c>
    </row>
    <row r="1116" spans="1:12" x14ac:dyDescent="0.2">
      <c r="A1116" s="26" t="s">
        <v>36</v>
      </c>
      <c r="B1116" s="26" t="s">
        <v>69</v>
      </c>
      <c r="C1116">
        <v>6</v>
      </c>
      <c r="D1116" s="26" t="s">
        <v>319</v>
      </c>
      <c r="E1116" s="26" t="s">
        <v>71</v>
      </c>
      <c r="F1116">
        <v>16</v>
      </c>
      <c r="G1116" t="str">
        <f t="shared" si="40"/>
        <v>CoStep6WalkwayT16</v>
      </c>
      <c r="J1116" s="26" t="s">
        <v>381</v>
      </c>
      <c r="K1116">
        <v>30</v>
      </c>
      <c r="L1116" t="str">
        <f t="shared" si="39"/>
        <v>W30</v>
      </c>
    </row>
    <row r="1117" spans="1:12" x14ac:dyDescent="0.2">
      <c r="A1117" s="26" t="s">
        <v>36</v>
      </c>
      <c r="B1117" s="26" t="s">
        <v>69</v>
      </c>
      <c r="C1117">
        <v>6</v>
      </c>
      <c r="D1117" s="26" t="s">
        <v>319</v>
      </c>
      <c r="E1117" s="26" t="s">
        <v>71</v>
      </c>
      <c r="F1117">
        <v>17</v>
      </c>
      <c r="G1117" t="str">
        <f t="shared" si="40"/>
        <v>CoStep6WalkwayT17</v>
      </c>
      <c r="J1117" s="26" t="s">
        <v>381</v>
      </c>
      <c r="K1117">
        <v>30</v>
      </c>
      <c r="L1117" t="str">
        <f t="shared" si="39"/>
        <v>W30</v>
      </c>
    </row>
    <row r="1118" spans="1:12" x14ac:dyDescent="0.2">
      <c r="A1118" s="26" t="s">
        <v>36</v>
      </c>
      <c r="B1118" s="26" t="s">
        <v>69</v>
      </c>
      <c r="C1118">
        <v>6</v>
      </c>
      <c r="D1118" s="26" t="s">
        <v>319</v>
      </c>
      <c r="E1118" s="26" t="s">
        <v>71</v>
      </c>
      <c r="F1118">
        <v>18</v>
      </c>
      <c r="G1118" t="str">
        <f t="shared" si="40"/>
        <v>CoStep6WalkwayT18</v>
      </c>
      <c r="J1118" s="26" t="s">
        <v>381</v>
      </c>
      <c r="K1118">
        <v>30</v>
      </c>
      <c r="L1118" t="str">
        <f t="shared" si="39"/>
        <v>W30</v>
      </c>
    </row>
    <row r="1119" spans="1:12" x14ac:dyDescent="0.2">
      <c r="A1119" s="26" t="s">
        <v>36</v>
      </c>
      <c r="B1119" s="26" t="s">
        <v>69</v>
      </c>
      <c r="C1119">
        <v>6</v>
      </c>
      <c r="D1119" s="26" t="s">
        <v>319</v>
      </c>
      <c r="E1119" s="26" t="s">
        <v>71</v>
      </c>
      <c r="F1119">
        <v>19</v>
      </c>
      <c r="G1119" t="str">
        <f t="shared" si="40"/>
        <v>CoStep6WalkwayT19</v>
      </c>
      <c r="J1119" s="26" t="s">
        <v>381</v>
      </c>
      <c r="K1119">
        <v>30</v>
      </c>
      <c r="L1119" t="str">
        <f t="shared" si="39"/>
        <v>W30</v>
      </c>
    </row>
    <row r="1120" spans="1:12" x14ac:dyDescent="0.2">
      <c r="A1120" s="26" t="s">
        <v>36</v>
      </c>
      <c r="B1120" s="26" t="s">
        <v>69</v>
      </c>
      <c r="C1120">
        <v>6</v>
      </c>
      <c r="D1120" s="26" t="s">
        <v>319</v>
      </c>
      <c r="E1120" s="26" t="s">
        <v>71</v>
      </c>
      <c r="F1120">
        <v>20</v>
      </c>
      <c r="G1120" t="str">
        <f t="shared" si="40"/>
        <v>CoStep6WalkwayT20</v>
      </c>
      <c r="J1120" s="26" t="s">
        <v>381</v>
      </c>
      <c r="K1120">
        <v>30</v>
      </c>
      <c r="L1120" t="str">
        <f t="shared" si="39"/>
        <v>W30</v>
      </c>
    </row>
    <row r="1121" spans="1:12" x14ac:dyDescent="0.2">
      <c r="A1121" s="26" t="s">
        <v>36</v>
      </c>
      <c r="B1121" s="26" t="s">
        <v>69</v>
      </c>
      <c r="C1121">
        <v>7</v>
      </c>
      <c r="D1121" s="26" t="s">
        <v>319</v>
      </c>
      <c r="E1121" s="26" t="s">
        <v>71</v>
      </c>
      <c r="F1121">
        <v>1</v>
      </c>
      <c r="G1121" t="str">
        <f t="shared" si="40"/>
        <v>CoStep7WalkwayT1</v>
      </c>
      <c r="J1121" s="26" t="s">
        <v>381</v>
      </c>
      <c r="K1121">
        <v>30</v>
      </c>
      <c r="L1121" t="str">
        <f t="shared" si="39"/>
        <v>W30</v>
      </c>
    </row>
    <row r="1122" spans="1:12" x14ac:dyDescent="0.2">
      <c r="A1122" s="26" t="s">
        <v>36</v>
      </c>
      <c r="B1122" s="26" t="s">
        <v>69</v>
      </c>
      <c r="C1122">
        <v>7</v>
      </c>
      <c r="D1122" s="26" t="s">
        <v>319</v>
      </c>
      <c r="E1122" s="26" t="s">
        <v>71</v>
      </c>
      <c r="F1122">
        <v>2</v>
      </c>
      <c r="G1122" t="str">
        <f t="shared" si="40"/>
        <v>CoStep7WalkwayT2</v>
      </c>
      <c r="J1122" s="26" t="s">
        <v>381</v>
      </c>
      <c r="K1122">
        <v>30</v>
      </c>
      <c r="L1122" t="str">
        <f t="shared" si="39"/>
        <v>W30</v>
      </c>
    </row>
    <row r="1123" spans="1:12" x14ac:dyDescent="0.2">
      <c r="A1123" s="26" t="s">
        <v>36</v>
      </c>
      <c r="B1123" s="26" t="s">
        <v>69</v>
      </c>
      <c r="C1123">
        <v>7</v>
      </c>
      <c r="D1123" s="26" t="s">
        <v>319</v>
      </c>
      <c r="E1123" s="26" t="s">
        <v>71</v>
      </c>
      <c r="F1123">
        <v>3</v>
      </c>
      <c r="G1123" t="str">
        <f t="shared" si="40"/>
        <v>CoStep7WalkwayT3</v>
      </c>
      <c r="J1123" s="26" t="s">
        <v>381</v>
      </c>
      <c r="K1123">
        <v>30</v>
      </c>
      <c r="L1123" t="str">
        <f t="shared" si="39"/>
        <v>W30</v>
      </c>
    </row>
    <row r="1124" spans="1:12" x14ac:dyDescent="0.2">
      <c r="A1124" s="26" t="s">
        <v>36</v>
      </c>
      <c r="B1124" s="26" t="s">
        <v>69</v>
      </c>
      <c r="C1124">
        <v>7</v>
      </c>
      <c r="D1124" s="26" t="s">
        <v>319</v>
      </c>
      <c r="E1124" s="26" t="s">
        <v>71</v>
      </c>
      <c r="F1124">
        <v>4</v>
      </c>
      <c r="G1124" t="str">
        <f t="shared" si="40"/>
        <v>CoStep7WalkwayT4</v>
      </c>
      <c r="J1124" s="26" t="s">
        <v>381</v>
      </c>
      <c r="K1124">
        <v>30</v>
      </c>
      <c r="L1124" t="str">
        <f t="shared" si="39"/>
        <v>W30</v>
      </c>
    </row>
    <row r="1125" spans="1:12" x14ac:dyDescent="0.2">
      <c r="A1125" s="26" t="s">
        <v>36</v>
      </c>
      <c r="B1125" s="26" t="s">
        <v>69</v>
      </c>
      <c r="C1125">
        <v>7</v>
      </c>
      <c r="D1125" s="26" t="s">
        <v>319</v>
      </c>
      <c r="E1125" s="26" t="s">
        <v>71</v>
      </c>
      <c r="F1125">
        <v>5</v>
      </c>
      <c r="G1125" t="str">
        <f t="shared" si="40"/>
        <v>CoStep7WalkwayT5</v>
      </c>
      <c r="J1125" s="26" t="s">
        <v>381</v>
      </c>
      <c r="K1125">
        <v>30</v>
      </c>
      <c r="L1125" t="str">
        <f t="shared" si="39"/>
        <v>W30</v>
      </c>
    </row>
    <row r="1126" spans="1:12" x14ac:dyDescent="0.2">
      <c r="A1126" s="26" t="s">
        <v>36</v>
      </c>
      <c r="B1126" s="26" t="s">
        <v>69</v>
      </c>
      <c r="C1126">
        <v>7</v>
      </c>
      <c r="D1126" s="26" t="s">
        <v>319</v>
      </c>
      <c r="E1126" s="26" t="s">
        <v>71</v>
      </c>
      <c r="F1126">
        <v>6</v>
      </c>
      <c r="G1126" t="str">
        <f t="shared" si="40"/>
        <v>CoStep7WalkwayT6</v>
      </c>
      <c r="J1126" s="26" t="s">
        <v>381</v>
      </c>
      <c r="K1126">
        <v>30</v>
      </c>
      <c r="L1126" t="str">
        <f t="shared" si="39"/>
        <v>W30</v>
      </c>
    </row>
    <row r="1127" spans="1:12" x14ac:dyDescent="0.2">
      <c r="A1127" s="26" t="s">
        <v>36</v>
      </c>
      <c r="B1127" s="26" t="s">
        <v>69</v>
      </c>
      <c r="C1127">
        <v>7</v>
      </c>
      <c r="D1127" s="26" t="s">
        <v>319</v>
      </c>
      <c r="E1127" s="26" t="s">
        <v>71</v>
      </c>
      <c r="F1127">
        <v>7</v>
      </c>
      <c r="G1127" t="str">
        <f t="shared" si="40"/>
        <v>CoStep7WalkwayT7</v>
      </c>
      <c r="J1127" s="26" t="s">
        <v>381</v>
      </c>
      <c r="K1127">
        <v>30</v>
      </c>
      <c r="L1127" t="str">
        <f t="shared" si="39"/>
        <v>W30</v>
      </c>
    </row>
    <row r="1128" spans="1:12" x14ac:dyDescent="0.2">
      <c r="A1128" s="26" t="s">
        <v>36</v>
      </c>
      <c r="B1128" s="26" t="s">
        <v>69</v>
      </c>
      <c r="C1128">
        <v>7</v>
      </c>
      <c r="D1128" s="26" t="s">
        <v>319</v>
      </c>
      <c r="E1128" s="26" t="s">
        <v>71</v>
      </c>
      <c r="F1128">
        <v>8</v>
      </c>
      <c r="G1128" t="str">
        <f t="shared" si="40"/>
        <v>CoStep7WalkwayT8</v>
      </c>
      <c r="J1128" s="26" t="s">
        <v>381</v>
      </c>
      <c r="K1128">
        <v>30</v>
      </c>
      <c r="L1128" t="str">
        <f t="shared" si="39"/>
        <v>W30</v>
      </c>
    </row>
    <row r="1129" spans="1:12" x14ac:dyDescent="0.2">
      <c r="A1129" s="26" t="s">
        <v>36</v>
      </c>
      <c r="B1129" s="26" t="s">
        <v>69</v>
      </c>
      <c r="C1129">
        <v>7</v>
      </c>
      <c r="D1129" s="26" t="s">
        <v>319</v>
      </c>
      <c r="E1129" s="26" t="s">
        <v>71</v>
      </c>
      <c r="F1129">
        <v>9</v>
      </c>
      <c r="G1129" t="str">
        <f t="shared" si="40"/>
        <v>CoStep7WalkwayT9</v>
      </c>
      <c r="J1129" s="26" t="s">
        <v>381</v>
      </c>
      <c r="K1129">
        <v>30</v>
      </c>
      <c r="L1129" t="str">
        <f t="shared" si="39"/>
        <v>W30</v>
      </c>
    </row>
    <row r="1130" spans="1:12" x14ac:dyDescent="0.2">
      <c r="A1130" s="26" t="s">
        <v>36</v>
      </c>
      <c r="B1130" s="26" t="s">
        <v>69</v>
      </c>
      <c r="C1130">
        <v>7</v>
      </c>
      <c r="D1130" s="26" t="s">
        <v>319</v>
      </c>
      <c r="E1130" s="26" t="s">
        <v>71</v>
      </c>
      <c r="F1130">
        <v>10</v>
      </c>
      <c r="G1130" t="str">
        <f t="shared" si="40"/>
        <v>CoStep7WalkwayT10</v>
      </c>
      <c r="J1130" s="26" t="s">
        <v>381</v>
      </c>
      <c r="K1130">
        <v>30</v>
      </c>
      <c r="L1130" t="str">
        <f t="shared" si="39"/>
        <v>W30</v>
      </c>
    </row>
    <row r="1131" spans="1:12" x14ac:dyDescent="0.2">
      <c r="A1131" s="26" t="s">
        <v>36</v>
      </c>
      <c r="B1131" s="26" t="s">
        <v>69</v>
      </c>
      <c r="C1131">
        <v>7</v>
      </c>
      <c r="D1131" s="26" t="s">
        <v>319</v>
      </c>
      <c r="E1131" s="26" t="s">
        <v>71</v>
      </c>
      <c r="F1131">
        <v>11</v>
      </c>
      <c r="G1131" t="str">
        <f t="shared" si="40"/>
        <v>CoStep7WalkwayT11</v>
      </c>
      <c r="J1131" s="26" t="s">
        <v>381</v>
      </c>
      <c r="K1131">
        <v>30</v>
      </c>
      <c r="L1131" t="str">
        <f t="shared" si="39"/>
        <v>W30</v>
      </c>
    </row>
    <row r="1132" spans="1:12" x14ac:dyDescent="0.2">
      <c r="A1132" s="26" t="s">
        <v>36</v>
      </c>
      <c r="B1132" s="26" t="s">
        <v>69</v>
      </c>
      <c r="C1132">
        <v>7</v>
      </c>
      <c r="D1132" s="26" t="s">
        <v>319</v>
      </c>
      <c r="E1132" s="26" t="s">
        <v>71</v>
      </c>
      <c r="F1132">
        <v>12</v>
      </c>
      <c r="G1132" t="str">
        <f t="shared" si="40"/>
        <v>CoStep7WalkwayT12</v>
      </c>
      <c r="J1132" s="26" t="s">
        <v>381</v>
      </c>
      <c r="K1132">
        <v>30</v>
      </c>
      <c r="L1132" t="str">
        <f t="shared" ref="L1132:L1195" si="41">J1132&amp;K1132</f>
        <v>W30</v>
      </c>
    </row>
    <row r="1133" spans="1:12" x14ac:dyDescent="0.2">
      <c r="A1133" s="26" t="s">
        <v>36</v>
      </c>
      <c r="B1133" s="26" t="s">
        <v>69</v>
      </c>
      <c r="C1133">
        <v>7</v>
      </c>
      <c r="D1133" s="26" t="s">
        <v>319</v>
      </c>
      <c r="E1133" s="26" t="s">
        <v>71</v>
      </c>
      <c r="F1133">
        <v>13</v>
      </c>
      <c r="G1133" t="str">
        <f t="shared" si="40"/>
        <v>CoStep7WalkwayT13</v>
      </c>
      <c r="J1133" s="26" t="s">
        <v>381</v>
      </c>
      <c r="K1133">
        <v>30</v>
      </c>
      <c r="L1133" t="str">
        <f t="shared" si="41"/>
        <v>W30</v>
      </c>
    </row>
    <row r="1134" spans="1:12" x14ac:dyDescent="0.2">
      <c r="A1134" s="26" t="s">
        <v>36</v>
      </c>
      <c r="B1134" s="26" t="s">
        <v>69</v>
      </c>
      <c r="C1134">
        <v>7</v>
      </c>
      <c r="D1134" s="26" t="s">
        <v>319</v>
      </c>
      <c r="E1134" s="26" t="s">
        <v>71</v>
      </c>
      <c r="F1134">
        <v>14</v>
      </c>
      <c r="G1134" t="str">
        <f t="shared" si="40"/>
        <v>CoStep7WalkwayT14</v>
      </c>
      <c r="J1134" s="26" t="s">
        <v>381</v>
      </c>
      <c r="K1134">
        <v>30</v>
      </c>
      <c r="L1134" t="str">
        <f t="shared" si="41"/>
        <v>W30</v>
      </c>
    </row>
    <row r="1135" spans="1:12" x14ac:dyDescent="0.2">
      <c r="A1135" s="26" t="s">
        <v>36</v>
      </c>
      <c r="B1135" s="26" t="s">
        <v>69</v>
      </c>
      <c r="C1135">
        <v>7</v>
      </c>
      <c r="D1135" s="26" t="s">
        <v>319</v>
      </c>
      <c r="E1135" s="26" t="s">
        <v>71</v>
      </c>
      <c r="F1135">
        <v>15</v>
      </c>
      <c r="G1135" t="str">
        <f t="shared" si="40"/>
        <v>CoStep7WalkwayT15</v>
      </c>
      <c r="J1135" s="26" t="s">
        <v>381</v>
      </c>
      <c r="K1135">
        <v>30</v>
      </c>
      <c r="L1135" t="str">
        <f t="shared" si="41"/>
        <v>W30</v>
      </c>
    </row>
    <row r="1136" spans="1:12" x14ac:dyDescent="0.2">
      <c r="A1136" s="26" t="s">
        <v>36</v>
      </c>
      <c r="B1136" s="26" t="s">
        <v>69</v>
      </c>
      <c r="C1136">
        <v>7</v>
      </c>
      <c r="D1136" s="26" t="s">
        <v>319</v>
      </c>
      <c r="E1136" s="26" t="s">
        <v>71</v>
      </c>
      <c r="F1136">
        <v>16</v>
      </c>
      <c r="G1136" t="str">
        <f t="shared" si="40"/>
        <v>CoStep7WalkwayT16</v>
      </c>
      <c r="J1136" s="26" t="s">
        <v>381</v>
      </c>
      <c r="K1136">
        <v>30</v>
      </c>
      <c r="L1136" t="str">
        <f t="shared" si="41"/>
        <v>W30</v>
      </c>
    </row>
    <row r="1137" spans="1:12" x14ac:dyDescent="0.2">
      <c r="A1137" s="26" t="s">
        <v>36</v>
      </c>
      <c r="B1137" s="26" t="s">
        <v>69</v>
      </c>
      <c r="C1137">
        <v>7</v>
      </c>
      <c r="D1137" s="26" t="s">
        <v>319</v>
      </c>
      <c r="E1137" s="26" t="s">
        <v>71</v>
      </c>
      <c r="F1137">
        <v>17</v>
      </c>
      <c r="G1137" t="str">
        <f t="shared" si="40"/>
        <v>CoStep7WalkwayT17</v>
      </c>
      <c r="J1137" s="26" t="s">
        <v>381</v>
      </c>
      <c r="K1137">
        <v>30</v>
      </c>
      <c r="L1137" t="str">
        <f t="shared" si="41"/>
        <v>W30</v>
      </c>
    </row>
    <row r="1138" spans="1:12" x14ac:dyDescent="0.2">
      <c r="A1138" s="26" t="s">
        <v>36</v>
      </c>
      <c r="B1138" s="26" t="s">
        <v>69</v>
      </c>
      <c r="C1138">
        <v>7</v>
      </c>
      <c r="D1138" s="26" t="s">
        <v>319</v>
      </c>
      <c r="E1138" s="26" t="s">
        <v>71</v>
      </c>
      <c r="F1138">
        <v>18</v>
      </c>
      <c r="G1138" t="str">
        <f t="shared" si="40"/>
        <v>CoStep7WalkwayT18</v>
      </c>
      <c r="J1138" s="26" t="s">
        <v>381</v>
      </c>
      <c r="K1138">
        <v>30</v>
      </c>
      <c r="L1138" t="str">
        <f t="shared" si="41"/>
        <v>W30</v>
      </c>
    </row>
    <row r="1139" spans="1:12" x14ac:dyDescent="0.2">
      <c r="A1139" s="26" t="s">
        <v>36</v>
      </c>
      <c r="B1139" s="26" t="s">
        <v>69</v>
      </c>
      <c r="C1139">
        <v>7</v>
      </c>
      <c r="D1139" s="26" t="s">
        <v>319</v>
      </c>
      <c r="E1139" s="26" t="s">
        <v>71</v>
      </c>
      <c r="F1139">
        <v>19</v>
      </c>
      <c r="G1139" t="str">
        <f t="shared" si="40"/>
        <v>CoStep7WalkwayT19</v>
      </c>
      <c r="J1139" s="26" t="s">
        <v>381</v>
      </c>
      <c r="K1139">
        <v>30</v>
      </c>
      <c r="L1139" t="str">
        <f t="shared" si="41"/>
        <v>W30</v>
      </c>
    </row>
    <row r="1140" spans="1:12" x14ac:dyDescent="0.2">
      <c r="A1140" s="26" t="s">
        <v>36</v>
      </c>
      <c r="B1140" s="26" t="s">
        <v>69</v>
      </c>
      <c r="C1140">
        <v>7</v>
      </c>
      <c r="D1140" s="26" t="s">
        <v>319</v>
      </c>
      <c r="E1140" s="26" t="s">
        <v>71</v>
      </c>
      <c r="F1140">
        <v>20</v>
      </c>
      <c r="G1140" t="str">
        <f t="shared" si="40"/>
        <v>CoStep7WalkwayT20</v>
      </c>
      <c r="J1140" s="26" t="s">
        <v>381</v>
      </c>
      <c r="K1140">
        <v>30</v>
      </c>
      <c r="L1140" t="str">
        <f t="shared" si="41"/>
        <v>W30</v>
      </c>
    </row>
    <row r="1141" spans="1:12" x14ac:dyDescent="0.2">
      <c r="A1141" s="26" t="s">
        <v>36</v>
      </c>
      <c r="B1141" s="26" t="s">
        <v>69</v>
      </c>
      <c r="C1141">
        <v>8</v>
      </c>
      <c r="D1141" s="26" t="s">
        <v>319</v>
      </c>
      <c r="E1141" s="26" t="s">
        <v>71</v>
      </c>
      <c r="F1141">
        <v>1</v>
      </c>
      <c r="G1141" t="str">
        <f t="shared" si="40"/>
        <v>CoStep8WalkwayT1</v>
      </c>
      <c r="J1141" s="26" t="s">
        <v>381</v>
      </c>
      <c r="K1141">
        <v>30</v>
      </c>
      <c r="L1141" t="str">
        <f t="shared" si="41"/>
        <v>W30</v>
      </c>
    </row>
    <row r="1142" spans="1:12" x14ac:dyDescent="0.2">
      <c r="A1142" s="26" t="s">
        <v>36</v>
      </c>
      <c r="B1142" s="26" t="s">
        <v>69</v>
      </c>
      <c r="C1142">
        <v>8</v>
      </c>
      <c r="D1142" s="26" t="s">
        <v>319</v>
      </c>
      <c r="E1142" s="26" t="s">
        <v>71</v>
      </c>
      <c r="F1142">
        <v>2</v>
      </c>
      <c r="G1142" t="str">
        <f t="shared" si="40"/>
        <v>CoStep8WalkwayT2</v>
      </c>
      <c r="J1142" s="26" t="s">
        <v>381</v>
      </c>
      <c r="K1142">
        <v>30</v>
      </c>
      <c r="L1142" t="str">
        <f t="shared" si="41"/>
        <v>W30</v>
      </c>
    </row>
    <row r="1143" spans="1:12" x14ac:dyDescent="0.2">
      <c r="A1143" s="26" t="s">
        <v>36</v>
      </c>
      <c r="B1143" s="26" t="s">
        <v>69</v>
      </c>
      <c r="C1143">
        <v>8</v>
      </c>
      <c r="D1143" s="26" t="s">
        <v>319</v>
      </c>
      <c r="E1143" s="26" t="s">
        <v>71</v>
      </c>
      <c r="F1143">
        <v>3</v>
      </c>
      <c r="G1143" t="str">
        <f t="shared" si="40"/>
        <v>CoStep8WalkwayT3</v>
      </c>
      <c r="J1143" s="26" t="s">
        <v>381</v>
      </c>
      <c r="K1143">
        <v>30</v>
      </c>
      <c r="L1143" t="str">
        <f t="shared" si="41"/>
        <v>W30</v>
      </c>
    </row>
    <row r="1144" spans="1:12" x14ac:dyDescent="0.2">
      <c r="A1144" s="26" t="s">
        <v>36</v>
      </c>
      <c r="B1144" s="26" t="s">
        <v>69</v>
      </c>
      <c r="C1144">
        <v>8</v>
      </c>
      <c r="D1144" s="26" t="s">
        <v>319</v>
      </c>
      <c r="E1144" s="26" t="s">
        <v>71</v>
      </c>
      <c r="F1144">
        <v>4</v>
      </c>
      <c r="G1144" t="str">
        <f t="shared" si="40"/>
        <v>CoStep8WalkwayT4</v>
      </c>
      <c r="J1144" s="26" t="s">
        <v>381</v>
      </c>
      <c r="K1144">
        <v>30</v>
      </c>
      <c r="L1144" t="str">
        <f t="shared" si="41"/>
        <v>W30</v>
      </c>
    </row>
    <row r="1145" spans="1:12" x14ac:dyDescent="0.2">
      <c r="A1145" s="26" t="s">
        <v>36</v>
      </c>
      <c r="B1145" s="26" t="s">
        <v>69</v>
      </c>
      <c r="C1145">
        <v>8</v>
      </c>
      <c r="D1145" s="26" t="s">
        <v>319</v>
      </c>
      <c r="E1145" s="26" t="s">
        <v>71</v>
      </c>
      <c r="F1145">
        <v>5</v>
      </c>
      <c r="G1145" t="str">
        <f t="shared" si="40"/>
        <v>CoStep8WalkwayT5</v>
      </c>
      <c r="J1145" s="26" t="s">
        <v>381</v>
      </c>
      <c r="K1145">
        <v>30</v>
      </c>
      <c r="L1145" t="str">
        <f t="shared" si="41"/>
        <v>W30</v>
      </c>
    </row>
    <row r="1146" spans="1:12" x14ac:dyDescent="0.2">
      <c r="A1146" s="26" t="s">
        <v>36</v>
      </c>
      <c r="B1146" s="26" t="s">
        <v>69</v>
      </c>
      <c r="C1146">
        <v>8</v>
      </c>
      <c r="D1146" s="26" t="s">
        <v>319</v>
      </c>
      <c r="E1146" s="26" t="s">
        <v>71</v>
      </c>
      <c r="F1146">
        <v>6</v>
      </c>
      <c r="G1146" t="str">
        <f t="shared" si="40"/>
        <v>CoStep8WalkwayT6</v>
      </c>
      <c r="J1146" s="26" t="s">
        <v>381</v>
      </c>
      <c r="K1146">
        <v>30</v>
      </c>
      <c r="L1146" t="str">
        <f t="shared" si="41"/>
        <v>W30</v>
      </c>
    </row>
    <row r="1147" spans="1:12" x14ac:dyDescent="0.2">
      <c r="A1147" s="26" t="s">
        <v>36</v>
      </c>
      <c r="B1147" s="26" t="s">
        <v>69</v>
      </c>
      <c r="C1147">
        <v>8</v>
      </c>
      <c r="D1147" s="26" t="s">
        <v>319</v>
      </c>
      <c r="E1147" s="26" t="s">
        <v>71</v>
      </c>
      <c r="F1147">
        <v>7</v>
      </c>
      <c r="G1147" t="str">
        <f t="shared" si="40"/>
        <v>CoStep8WalkwayT7</v>
      </c>
      <c r="J1147" s="26" t="s">
        <v>381</v>
      </c>
      <c r="K1147">
        <v>30</v>
      </c>
      <c r="L1147" t="str">
        <f t="shared" si="41"/>
        <v>W30</v>
      </c>
    </row>
    <row r="1148" spans="1:12" x14ac:dyDescent="0.2">
      <c r="A1148" s="26" t="s">
        <v>36</v>
      </c>
      <c r="B1148" s="26" t="s">
        <v>69</v>
      </c>
      <c r="C1148">
        <v>8</v>
      </c>
      <c r="D1148" s="26" t="s">
        <v>319</v>
      </c>
      <c r="E1148" s="26" t="s">
        <v>71</v>
      </c>
      <c r="F1148">
        <v>8</v>
      </c>
      <c r="G1148" t="str">
        <f t="shared" si="40"/>
        <v>CoStep8WalkwayT8</v>
      </c>
      <c r="J1148" s="26" t="s">
        <v>381</v>
      </c>
      <c r="K1148">
        <v>30</v>
      </c>
      <c r="L1148" t="str">
        <f t="shared" si="41"/>
        <v>W30</v>
      </c>
    </row>
    <row r="1149" spans="1:12" x14ac:dyDescent="0.2">
      <c r="A1149" s="26" t="s">
        <v>36</v>
      </c>
      <c r="B1149" s="26" t="s">
        <v>69</v>
      </c>
      <c r="C1149">
        <v>8</v>
      </c>
      <c r="D1149" s="26" t="s">
        <v>319</v>
      </c>
      <c r="E1149" s="26" t="s">
        <v>71</v>
      </c>
      <c r="F1149">
        <v>9</v>
      </c>
      <c r="G1149" t="str">
        <f t="shared" si="40"/>
        <v>CoStep8WalkwayT9</v>
      </c>
      <c r="J1149" s="26" t="s">
        <v>381</v>
      </c>
      <c r="K1149">
        <v>30</v>
      </c>
      <c r="L1149" t="str">
        <f t="shared" si="41"/>
        <v>W30</v>
      </c>
    </row>
    <row r="1150" spans="1:12" x14ac:dyDescent="0.2">
      <c r="A1150" s="26" t="s">
        <v>36</v>
      </c>
      <c r="B1150" s="26" t="s">
        <v>69</v>
      </c>
      <c r="C1150">
        <v>8</v>
      </c>
      <c r="D1150" s="26" t="s">
        <v>319</v>
      </c>
      <c r="E1150" s="26" t="s">
        <v>71</v>
      </c>
      <c r="F1150">
        <v>10</v>
      </c>
      <c r="G1150" t="str">
        <f t="shared" si="40"/>
        <v>CoStep8WalkwayT10</v>
      </c>
      <c r="J1150" s="26" t="s">
        <v>381</v>
      </c>
      <c r="K1150">
        <v>30</v>
      </c>
      <c r="L1150" t="str">
        <f t="shared" si="41"/>
        <v>W30</v>
      </c>
    </row>
    <row r="1151" spans="1:12" x14ac:dyDescent="0.2">
      <c r="A1151" s="26" t="s">
        <v>36</v>
      </c>
      <c r="B1151" s="26" t="s">
        <v>69</v>
      </c>
      <c r="C1151">
        <v>8</v>
      </c>
      <c r="D1151" s="26" t="s">
        <v>319</v>
      </c>
      <c r="E1151" s="26" t="s">
        <v>71</v>
      </c>
      <c r="F1151">
        <v>11</v>
      </c>
      <c r="G1151" t="str">
        <f t="shared" si="40"/>
        <v>CoStep8WalkwayT11</v>
      </c>
      <c r="J1151" s="26" t="s">
        <v>381</v>
      </c>
      <c r="K1151">
        <v>30</v>
      </c>
      <c r="L1151" t="str">
        <f t="shared" si="41"/>
        <v>W30</v>
      </c>
    </row>
    <row r="1152" spans="1:12" x14ac:dyDescent="0.2">
      <c r="A1152" s="26" t="s">
        <v>36</v>
      </c>
      <c r="B1152" s="26" t="s">
        <v>69</v>
      </c>
      <c r="C1152">
        <v>8</v>
      </c>
      <c r="D1152" s="26" t="s">
        <v>319</v>
      </c>
      <c r="E1152" s="26" t="s">
        <v>71</v>
      </c>
      <c r="F1152">
        <v>12</v>
      </c>
      <c r="G1152" t="str">
        <f t="shared" si="40"/>
        <v>CoStep8WalkwayT12</v>
      </c>
      <c r="J1152" s="26" t="s">
        <v>381</v>
      </c>
      <c r="K1152">
        <v>30</v>
      </c>
      <c r="L1152" t="str">
        <f t="shared" si="41"/>
        <v>W30</v>
      </c>
    </row>
    <row r="1153" spans="1:12" x14ac:dyDescent="0.2">
      <c r="A1153" s="26" t="s">
        <v>36</v>
      </c>
      <c r="B1153" s="26" t="s">
        <v>69</v>
      </c>
      <c r="C1153">
        <v>8</v>
      </c>
      <c r="D1153" s="26" t="s">
        <v>319</v>
      </c>
      <c r="E1153" s="26" t="s">
        <v>71</v>
      </c>
      <c r="F1153">
        <v>13</v>
      </c>
      <c r="G1153" t="str">
        <f t="shared" si="40"/>
        <v>CoStep8WalkwayT13</v>
      </c>
      <c r="J1153" s="26" t="s">
        <v>381</v>
      </c>
      <c r="K1153">
        <v>30</v>
      </c>
      <c r="L1153" t="str">
        <f t="shared" si="41"/>
        <v>W30</v>
      </c>
    </row>
    <row r="1154" spans="1:12" x14ac:dyDescent="0.2">
      <c r="A1154" s="26" t="s">
        <v>36</v>
      </c>
      <c r="B1154" s="26" t="s">
        <v>69</v>
      </c>
      <c r="C1154">
        <v>8</v>
      </c>
      <c r="D1154" s="26" t="s">
        <v>319</v>
      </c>
      <c r="E1154" s="26" t="s">
        <v>71</v>
      </c>
      <c r="F1154">
        <v>14</v>
      </c>
      <c r="G1154" t="str">
        <f t="shared" si="40"/>
        <v>CoStep8WalkwayT14</v>
      </c>
      <c r="J1154" s="26" t="s">
        <v>381</v>
      </c>
      <c r="K1154">
        <v>30</v>
      </c>
      <c r="L1154" t="str">
        <f t="shared" si="41"/>
        <v>W30</v>
      </c>
    </row>
    <row r="1155" spans="1:12" x14ac:dyDescent="0.2">
      <c r="A1155" s="26" t="s">
        <v>36</v>
      </c>
      <c r="B1155" s="26" t="s">
        <v>69</v>
      </c>
      <c r="C1155">
        <v>8</v>
      </c>
      <c r="D1155" s="26" t="s">
        <v>319</v>
      </c>
      <c r="E1155" s="26" t="s">
        <v>71</v>
      </c>
      <c r="F1155">
        <v>15</v>
      </c>
      <c r="G1155" t="str">
        <f t="shared" si="40"/>
        <v>CoStep8WalkwayT15</v>
      </c>
      <c r="J1155" s="26" t="s">
        <v>381</v>
      </c>
      <c r="K1155">
        <v>30</v>
      </c>
      <c r="L1155" t="str">
        <f t="shared" si="41"/>
        <v>W30</v>
      </c>
    </row>
    <row r="1156" spans="1:12" x14ac:dyDescent="0.2">
      <c r="A1156" s="26" t="s">
        <v>36</v>
      </c>
      <c r="B1156" s="26" t="s">
        <v>69</v>
      </c>
      <c r="C1156">
        <v>8</v>
      </c>
      <c r="D1156" s="26" t="s">
        <v>319</v>
      </c>
      <c r="E1156" s="26" t="s">
        <v>71</v>
      </c>
      <c r="F1156">
        <v>16</v>
      </c>
      <c r="G1156" t="str">
        <f t="shared" si="40"/>
        <v>CoStep8WalkwayT16</v>
      </c>
      <c r="J1156" s="26" t="s">
        <v>381</v>
      </c>
      <c r="K1156">
        <v>30</v>
      </c>
      <c r="L1156" t="str">
        <f t="shared" si="41"/>
        <v>W30</v>
      </c>
    </row>
    <row r="1157" spans="1:12" x14ac:dyDescent="0.2">
      <c r="A1157" s="26" t="s">
        <v>36</v>
      </c>
      <c r="B1157" s="26" t="s">
        <v>69</v>
      </c>
      <c r="C1157">
        <v>8</v>
      </c>
      <c r="D1157" s="26" t="s">
        <v>319</v>
      </c>
      <c r="E1157" s="26" t="s">
        <v>71</v>
      </c>
      <c r="F1157">
        <v>17</v>
      </c>
      <c r="G1157" t="str">
        <f t="shared" si="40"/>
        <v>CoStep8WalkwayT17</v>
      </c>
      <c r="J1157" s="26" t="s">
        <v>381</v>
      </c>
      <c r="K1157">
        <v>30</v>
      </c>
      <c r="L1157" t="str">
        <f t="shared" si="41"/>
        <v>W30</v>
      </c>
    </row>
    <row r="1158" spans="1:12" x14ac:dyDescent="0.2">
      <c r="A1158" s="26" t="s">
        <v>36</v>
      </c>
      <c r="B1158" s="26" t="s">
        <v>69</v>
      </c>
      <c r="C1158">
        <v>8</v>
      </c>
      <c r="D1158" s="26" t="s">
        <v>319</v>
      </c>
      <c r="E1158" s="26" t="s">
        <v>71</v>
      </c>
      <c r="F1158">
        <v>18</v>
      </c>
      <c r="G1158" t="str">
        <f t="shared" ref="G1158:G1200" si="42">A1158&amp;B1158&amp;C1158&amp;D1158&amp;E1158&amp;F1158</f>
        <v>CoStep8WalkwayT18</v>
      </c>
      <c r="J1158" s="26" t="s">
        <v>381</v>
      </c>
      <c r="K1158">
        <v>30</v>
      </c>
      <c r="L1158" t="str">
        <f t="shared" si="41"/>
        <v>W30</v>
      </c>
    </row>
    <row r="1159" spans="1:12" x14ac:dyDescent="0.2">
      <c r="A1159" s="26" t="s">
        <v>36</v>
      </c>
      <c r="B1159" s="26" t="s">
        <v>69</v>
      </c>
      <c r="C1159">
        <v>8</v>
      </c>
      <c r="D1159" s="26" t="s">
        <v>319</v>
      </c>
      <c r="E1159" s="26" t="s">
        <v>71</v>
      </c>
      <c r="F1159">
        <v>19</v>
      </c>
      <c r="G1159" t="str">
        <f t="shared" si="42"/>
        <v>CoStep8WalkwayT19</v>
      </c>
      <c r="J1159" s="26" t="s">
        <v>381</v>
      </c>
      <c r="K1159">
        <v>30</v>
      </c>
      <c r="L1159" t="str">
        <f t="shared" si="41"/>
        <v>W30</v>
      </c>
    </row>
    <row r="1160" spans="1:12" x14ac:dyDescent="0.2">
      <c r="A1160" s="26" t="s">
        <v>36</v>
      </c>
      <c r="B1160" s="26" t="s">
        <v>69</v>
      </c>
      <c r="C1160">
        <v>8</v>
      </c>
      <c r="D1160" s="26" t="s">
        <v>319</v>
      </c>
      <c r="E1160" s="26" t="s">
        <v>71</v>
      </c>
      <c r="F1160">
        <v>20</v>
      </c>
      <c r="G1160" t="str">
        <f t="shared" si="42"/>
        <v>CoStep8WalkwayT20</v>
      </c>
      <c r="J1160" s="26" t="s">
        <v>381</v>
      </c>
      <c r="K1160">
        <v>30</v>
      </c>
      <c r="L1160" t="str">
        <f t="shared" si="41"/>
        <v>W30</v>
      </c>
    </row>
    <row r="1161" spans="1:12" x14ac:dyDescent="0.2">
      <c r="A1161" s="26" t="s">
        <v>36</v>
      </c>
      <c r="B1161" s="26" t="s">
        <v>69</v>
      </c>
      <c r="C1161">
        <v>9</v>
      </c>
      <c r="D1161" s="26" t="s">
        <v>319</v>
      </c>
      <c r="E1161" s="26" t="s">
        <v>71</v>
      </c>
      <c r="F1161">
        <v>1</v>
      </c>
      <c r="G1161" t="str">
        <f t="shared" si="42"/>
        <v>CoStep9WalkwayT1</v>
      </c>
      <c r="J1161" s="26" t="s">
        <v>381</v>
      </c>
      <c r="K1161">
        <v>30</v>
      </c>
      <c r="L1161" t="str">
        <f t="shared" si="41"/>
        <v>W30</v>
      </c>
    </row>
    <row r="1162" spans="1:12" x14ac:dyDescent="0.2">
      <c r="A1162" s="26" t="s">
        <v>36</v>
      </c>
      <c r="B1162" s="26" t="s">
        <v>69</v>
      </c>
      <c r="C1162">
        <v>9</v>
      </c>
      <c r="D1162" s="26" t="s">
        <v>319</v>
      </c>
      <c r="E1162" s="26" t="s">
        <v>71</v>
      </c>
      <c r="F1162">
        <v>2</v>
      </c>
      <c r="G1162" t="str">
        <f t="shared" si="42"/>
        <v>CoStep9WalkwayT2</v>
      </c>
      <c r="J1162" s="26" t="s">
        <v>381</v>
      </c>
      <c r="K1162">
        <v>30</v>
      </c>
      <c r="L1162" t="str">
        <f t="shared" si="41"/>
        <v>W30</v>
      </c>
    </row>
    <row r="1163" spans="1:12" x14ac:dyDescent="0.2">
      <c r="A1163" s="26" t="s">
        <v>36</v>
      </c>
      <c r="B1163" s="26" t="s">
        <v>69</v>
      </c>
      <c r="C1163">
        <v>9</v>
      </c>
      <c r="D1163" s="26" t="s">
        <v>319</v>
      </c>
      <c r="E1163" s="26" t="s">
        <v>71</v>
      </c>
      <c r="F1163">
        <v>3</v>
      </c>
      <c r="G1163" t="str">
        <f t="shared" si="42"/>
        <v>CoStep9WalkwayT3</v>
      </c>
      <c r="J1163" s="26" t="s">
        <v>381</v>
      </c>
      <c r="K1163">
        <v>30</v>
      </c>
      <c r="L1163" t="str">
        <f t="shared" si="41"/>
        <v>W30</v>
      </c>
    </row>
    <row r="1164" spans="1:12" x14ac:dyDescent="0.2">
      <c r="A1164" s="26" t="s">
        <v>36</v>
      </c>
      <c r="B1164" s="26" t="s">
        <v>69</v>
      </c>
      <c r="C1164">
        <v>9</v>
      </c>
      <c r="D1164" s="26" t="s">
        <v>319</v>
      </c>
      <c r="E1164" s="26" t="s">
        <v>71</v>
      </c>
      <c r="F1164">
        <v>4</v>
      </c>
      <c r="G1164" t="str">
        <f t="shared" si="42"/>
        <v>CoStep9WalkwayT4</v>
      </c>
      <c r="J1164" s="26" t="s">
        <v>381</v>
      </c>
      <c r="K1164">
        <v>30</v>
      </c>
      <c r="L1164" t="str">
        <f t="shared" si="41"/>
        <v>W30</v>
      </c>
    </row>
    <row r="1165" spans="1:12" x14ac:dyDescent="0.2">
      <c r="A1165" s="26" t="s">
        <v>36</v>
      </c>
      <c r="B1165" s="26" t="s">
        <v>69</v>
      </c>
      <c r="C1165">
        <v>9</v>
      </c>
      <c r="D1165" s="26" t="s">
        <v>319</v>
      </c>
      <c r="E1165" s="26" t="s">
        <v>71</v>
      </c>
      <c r="F1165">
        <v>5</v>
      </c>
      <c r="G1165" t="str">
        <f t="shared" si="42"/>
        <v>CoStep9WalkwayT5</v>
      </c>
      <c r="J1165" s="26" t="s">
        <v>381</v>
      </c>
      <c r="K1165">
        <v>30</v>
      </c>
      <c r="L1165" t="str">
        <f t="shared" si="41"/>
        <v>W30</v>
      </c>
    </row>
    <row r="1166" spans="1:12" x14ac:dyDescent="0.2">
      <c r="A1166" s="26" t="s">
        <v>36</v>
      </c>
      <c r="B1166" s="26" t="s">
        <v>69</v>
      </c>
      <c r="C1166">
        <v>9</v>
      </c>
      <c r="D1166" s="26" t="s">
        <v>319</v>
      </c>
      <c r="E1166" s="26" t="s">
        <v>71</v>
      </c>
      <c r="F1166">
        <v>6</v>
      </c>
      <c r="G1166" t="str">
        <f t="shared" si="42"/>
        <v>CoStep9WalkwayT6</v>
      </c>
      <c r="J1166" s="26" t="s">
        <v>381</v>
      </c>
      <c r="K1166">
        <v>30</v>
      </c>
      <c r="L1166" t="str">
        <f t="shared" si="41"/>
        <v>W30</v>
      </c>
    </row>
    <row r="1167" spans="1:12" x14ac:dyDescent="0.2">
      <c r="A1167" s="26" t="s">
        <v>36</v>
      </c>
      <c r="B1167" s="26" t="s">
        <v>69</v>
      </c>
      <c r="C1167">
        <v>9</v>
      </c>
      <c r="D1167" s="26" t="s">
        <v>319</v>
      </c>
      <c r="E1167" s="26" t="s">
        <v>71</v>
      </c>
      <c r="F1167">
        <v>7</v>
      </c>
      <c r="G1167" t="str">
        <f t="shared" si="42"/>
        <v>CoStep9WalkwayT7</v>
      </c>
      <c r="J1167" s="26" t="s">
        <v>381</v>
      </c>
      <c r="K1167">
        <v>30</v>
      </c>
      <c r="L1167" t="str">
        <f t="shared" si="41"/>
        <v>W30</v>
      </c>
    </row>
    <row r="1168" spans="1:12" x14ac:dyDescent="0.2">
      <c r="A1168" s="26" t="s">
        <v>36</v>
      </c>
      <c r="B1168" s="26" t="s">
        <v>69</v>
      </c>
      <c r="C1168">
        <v>9</v>
      </c>
      <c r="D1168" s="26" t="s">
        <v>319</v>
      </c>
      <c r="E1168" s="26" t="s">
        <v>71</v>
      </c>
      <c r="F1168">
        <v>8</v>
      </c>
      <c r="G1168" t="str">
        <f t="shared" si="42"/>
        <v>CoStep9WalkwayT8</v>
      </c>
      <c r="J1168" s="26" t="s">
        <v>381</v>
      </c>
      <c r="K1168">
        <v>30</v>
      </c>
      <c r="L1168" t="str">
        <f t="shared" si="41"/>
        <v>W30</v>
      </c>
    </row>
    <row r="1169" spans="1:12" x14ac:dyDescent="0.2">
      <c r="A1169" s="26" t="s">
        <v>36</v>
      </c>
      <c r="B1169" s="26" t="s">
        <v>69</v>
      </c>
      <c r="C1169">
        <v>9</v>
      </c>
      <c r="D1169" s="26" t="s">
        <v>319</v>
      </c>
      <c r="E1169" s="26" t="s">
        <v>71</v>
      </c>
      <c r="F1169">
        <v>9</v>
      </c>
      <c r="G1169" t="str">
        <f t="shared" si="42"/>
        <v>CoStep9WalkwayT9</v>
      </c>
      <c r="J1169" s="26" t="s">
        <v>381</v>
      </c>
      <c r="K1169">
        <v>30</v>
      </c>
      <c r="L1169" t="str">
        <f t="shared" si="41"/>
        <v>W30</v>
      </c>
    </row>
    <row r="1170" spans="1:12" x14ac:dyDescent="0.2">
      <c r="A1170" s="26" t="s">
        <v>36</v>
      </c>
      <c r="B1170" s="26" t="s">
        <v>69</v>
      </c>
      <c r="C1170">
        <v>9</v>
      </c>
      <c r="D1170" s="26" t="s">
        <v>319</v>
      </c>
      <c r="E1170" s="26" t="s">
        <v>71</v>
      </c>
      <c r="F1170">
        <v>10</v>
      </c>
      <c r="G1170" t="str">
        <f t="shared" si="42"/>
        <v>CoStep9WalkwayT10</v>
      </c>
      <c r="J1170" s="26" t="s">
        <v>381</v>
      </c>
      <c r="K1170">
        <v>30</v>
      </c>
      <c r="L1170" t="str">
        <f t="shared" si="41"/>
        <v>W30</v>
      </c>
    </row>
    <row r="1171" spans="1:12" x14ac:dyDescent="0.2">
      <c r="A1171" s="26" t="s">
        <v>36</v>
      </c>
      <c r="B1171" s="26" t="s">
        <v>69</v>
      </c>
      <c r="C1171">
        <v>9</v>
      </c>
      <c r="D1171" s="26" t="s">
        <v>319</v>
      </c>
      <c r="E1171" s="26" t="s">
        <v>71</v>
      </c>
      <c r="F1171">
        <v>11</v>
      </c>
      <c r="G1171" t="str">
        <f t="shared" si="42"/>
        <v>CoStep9WalkwayT11</v>
      </c>
      <c r="J1171" s="26" t="s">
        <v>381</v>
      </c>
      <c r="K1171">
        <v>30</v>
      </c>
      <c r="L1171" t="str">
        <f t="shared" si="41"/>
        <v>W30</v>
      </c>
    </row>
    <row r="1172" spans="1:12" x14ac:dyDescent="0.2">
      <c r="A1172" s="26" t="s">
        <v>36</v>
      </c>
      <c r="B1172" s="26" t="s">
        <v>69</v>
      </c>
      <c r="C1172">
        <v>9</v>
      </c>
      <c r="D1172" s="26" t="s">
        <v>319</v>
      </c>
      <c r="E1172" s="26" t="s">
        <v>71</v>
      </c>
      <c r="F1172">
        <v>12</v>
      </c>
      <c r="G1172" t="str">
        <f t="shared" si="42"/>
        <v>CoStep9WalkwayT12</v>
      </c>
      <c r="J1172" s="26" t="s">
        <v>381</v>
      </c>
      <c r="K1172">
        <v>30</v>
      </c>
      <c r="L1172" t="str">
        <f t="shared" si="41"/>
        <v>W30</v>
      </c>
    </row>
    <row r="1173" spans="1:12" x14ac:dyDescent="0.2">
      <c r="A1173" s="26" t="s">
        <v>36</v>
      </c>
      <c r="B1173" s="26" t="s">
        <v>69</v>
      </c>
      <c r="C1173">
        <v>9</v>
      </c>
      <c r="D1173" s="26" t="s">
        <v>319</v>
      </c>
      <c r="E1173" s="26" t="s">
        <v>71</v>
      </c>
      <c r="F1173">
        <v>13</v>
      </c>
      <c r="G1173" t="str">
        <f t="shared" si="42"/>
        <v>CoStep9WalkwayT13</v>
      </c>
      <c r="J1173" s="26" t="s">
        <v>381</v>
      </c>
      <c r="K1173">
        <v>30</v>
      </c>
      <c r="L1173" t="str">
        <f t="shared" si="41"/>
        <v>W30</v>
      </c>
    </row>
    <row r="1174" spans="1:12" x14ac:dyDescent="0.2">
      <c r="A1174" s="26" t="s">
        <v>36</v>
      </c>
      <c r="B1174" s="26" t="s">
        <v>69</v>
      </c>
      <c r="C1174">
        <v>9</v>
      </c>
      <c r="D1174" s="26" t="s">
        <v>319</v>
      </c>
      <c r="E1174" s="26" t="s">
        <v>71</v>
      </c>
      <c r="F1174">
        <v>14</v>
      </c>
      <c r="G1174" t="str">
        <f t="shared" si="42"/>
        <v>CoStep9WalkwayT14</v>
      </c>
      <c r="J1174" s="26" t="s">
        <v>381</v>
      </c>
      <c r="K1174">
        <v>30</v>
      </c>
      <c r="L1174" t="str">
        <f t="shared" si="41"/>
        <v>W30</v>
      </c>
    </row>
    <row r="1175" spans="1:12" x14ac:dyDescent="0.2">
      <c r="A1175" s="26" t="s">
        <v>36</v>
      </c>
      <c r="B1175" s="26" t="s">
        <v>69</v>
      </c>
      <c r="C1175">
        <v>9</v>
      </c>
      <c r="D1175" s="26" t="s">
        <v>319</v>
      </c>
      <c r="E1175" s="26" t="s">
        <v>71</v>
      </c>
      <c r="F1175">
        <v>15</v>
      </c>
      <c r="G1175" t="str">
        <f t="shared" si="42"/>
        <v>CoStep9WalkwayT15</v>
      </c>
      <c r="J1175" s="26" t="s">
        <v>381</v>
      </c>
      <c r="K1175">
        <v>30</v>
      </c>
      <c r="L1175" t="str">
        <f t="shared" si="41"/>
        <v>W30</v>
      </c>
    </row>
    <row r="1176" spans="1:12" x14ac:dyDescent="0.2">
      <c r="A1176" s="26" t="s">
        <v>36</v>
      </c>
      <c r="B1176" s="26" t="s">
        <v>69</v>
      </c>
      <c r="C1176">
        <v>9</v>
      </c>
      <c r="D1176" s="26" t="s">
        <v>319</v>
      </c>
      <c r="E1176" s="26" t="s">
        <v>71</v>
      </c>
      <c r="F1176">
        <v>16</v>
      </c>
      <c r="G1176" t="str">
        <f t="shared" si="42"/>
        <v>CoStep9WalkwayT16</v>
      </c>
      <c r="J1176" s="26" t="s">
        <v>381</v>
      </c>
      <c r="K1176">
        <v>30</v>
      </c>
      <c r="L1176" t="str">
        <f t="shared" si="41"/>
        <v>W30</v>
      </c>
    </row>
    <row r="1177" spans="1:12" x14ac:dyDescent="0.2">
      <c r="A1177" s="26" t="s">
        <v>36</v>
      </c>
      <c r="B1177" s="26" t="s">
        <v>69</v>
      </c>
      <c r="C1177">
        <v>9</v>
      </c>
      <c r="D1177" s="26" t="s">
        <v>319</v>
      </c>
      <c r="E1177" s="26" t="s">
        <v>71</v>
      </c>
      <c r="F1177">
        <v>17</v>
      </c>
      <c r="G1177" t="str">
        <f t="shared" si="42"/>
        <v>CoStep9WalkwayT17</v>
      </c>
      <c r="J1177" s="26" t="s">
        <v>381</v>
      </c>
      <c r="K1177">
        <v>30</v>
      </c>
      <c r="L1177" t="str">
        <f t="shared" si="41"/>
        <v>W30</v>
      </c>
    </row>
    <row r="1178" spans="1:12" x14ac:dyDescent="0.2">
      <c r="A1178" s="26" t="s">
        <v>36</v>
      </c>
      <c r="B1178" s="26" t="s">
        <v>69</v>
      </c>
      <c r="C1178">
        <v>9</v>
      </c>
      <c r="D1178" s="26" t="s">
        <v>319</v>
      </c>
      <c r="E1178" s="26" t="s">
        <v>71</v>
      </c>
      <c r="F1178">
        <v>18</v>
      </c>
      <c r="G1178" t="str">
        <f t="shared" si="42"/>
        <v>CoStep9WalkwayT18</v>
      </c>
      <c r="J1178" s="26" t="s">
        <v>381</v>
      </c>
      <c r="K1178">
        <v>30</v>
      </c>
      <c r="L1178" t="str">
        <f t="shared" si="41"/>
        <v>W30</v>
      </c>
    </row>
    <row r="1179" spans="1:12" x14ac:dyDescent="0.2">
      <c r="A1179" s="26" t="s">
        <v>36</v>
      </c>
      <c r="B1179" s="26" t="s">
        <v>69</v>
      </c>
      <c r="C1179">
        <v>9</v>
      </c>
      <c r="D1179" s="26" t="s">
        <v>319</v>
      </c>
      <c r="E1179" s="26" t="s">
        <v>71</v>
      </c>
      <c r="F1179">
        <v>19</v>
      </c>
      <c r="G1179" t="str">
        <f t="shared" si="42"/>
        <v>CoStep9WalkwayT19</v>
      </c>
      <c r="J1179" s="26" t="s">
        <v>381</v>
      </c>
      <c r="K1179">
        <v>30</v>
      </c>
      <c r="L1179" t="str">
        <f t="shared" si="41"/>
        <v>W30</v>
      </c>
    </row>
    <row r="1180" spans="1:12" x14ac:dyDescent="0.2">
      <c r="A1180" s="26" t="s">
        <v>36</v>
      </c>
      <c r="B1180" s="26" t="s">
        <v>69</v>
      </c>
      <c r="C1180">
        <v>9</v>
      </c>
      <c r="D1180" s="26" t="s">
        <v>319</v>
      </c>
      <c r="E1180" s="26" t="s">
        <v>71</v>
      </c>
      <c r="F1180">
        <v>20</v>
      </c>
      <c r="G1180" t="str">
        <f t="shared" si="42"/>
        <v>CoStep9WalkwayT20</v>
      </c>
      <c r="J1180" s="26" t="s">
        <v>381</v>
      </c>
      <c r="K1180">
        <v>30</v>
      </c>
      <c r="L1180" t="str">
        <f t="shared" si="41"/>
        <v>W30</v>
      </c>
    </row>
    <row r="1181" spans="1:12" x14ac:dyDescent="0.2">
      <c r="A1181" s="26" t="s">
        <v>36</v>
      </c>
      <c r="B1181" s="26" t="s">
        <v>69</v>
      </c>
      <c r="C1181">
        <v>10</v>
      </c>
      <c r="D1181" s="26" t="s">
        <v>319</v>
      </c>
      <c r="E1181" s="26" t="s">
        <v>71</v>
      </c>
      <c r="F1181">
        <v>1</v>
      </c>
      <c r="G1181" t="str">
        <f t="shared" si="42"/>
        <v>CoStep10WalkwayT1</v>
      </c>
      <c r="J1181" s="26" t="s">
        <v>381</v>
      </c>
      <c r="K1181">
        <v>30</v>
      </c>
      <c r="L1181" t="str">
        <f t="shared" si="41"/>
        <v>W30</v>
      </c>
    </row>
    <row r="1182" spans="1:12" x14ac:dyDescent="0.2">
      <c r="A1182" s="26" t="s">
        <v>36</v>
      </c>
      <c r="B1182" s="26" t="s">
        <v>69</v>
      </c>
      <c r="C1182">
        <v>10</v>
      </c>
      <c r="D1182" s="26" t="s">
        <v>319</v>
      </c>
      <c r="E1182" s="26" t="s">
        <v>71</v>
      </c>
      <c r="F1182">
        <v>2</v>
      </c>
      <c r="G1182" t="str">
        <f t="shared" si="42"/>
        <v>CoStep10WalkwayT2</v>
      </c>
      <c r="J1182" s="26" t="s">
        <v>381</v>
      </c>
      <c r="K1182">
        <v>30</v>
      </c>
      <c r="L1182" t="str">
        <f t="shared" si="41"/>
        <v>W30</v>
      </c>
    </row>
    <row r="1183" spans="1:12" x14ac:dyDescent="0.2">
      <c r="A1183" s="26" t="s">
        <v>36</v>
      </c>
      <c r="B1183" s="26" t="s">
        <v>69</v>
      </c>
      <c r="C1183">
        <v>10</v>
      </c>
      <c r="D1183" s="26" t="s">
        <v>319</v>
      </c>
      <c r="E1183" s="26" t="s">
        <v>71</v>
      </c>
      <c r="F1183">
        <v>3</v>
      </c>
      <c r="G1183" t="str">
        <f t="shared" si="42"/>
        <v>CoStep10WalkwayT3</v>
      </c>
      <c r="J1183" s="26" t="s">
        <v>381</v>
      </c>
      <c r="K1183">
        <v>30</v>
      </c>
      <c r="L1183" t="str">
        <f t="shared" si="41"/>
        <v>W30</v>
      </c>
    </row>
    <row r="1184" spans="1:12" x14ac:dyDescent="0.2">
      <c r="A1184" s="26" t="s">
        <v>36</v>
      </c>
      <c r="B1184" s="26" t="s">
        <v>69</v>
      </c>
      <c r="C1184">
        <v>10</v>
      </c>
      <c r="D1184" s="26" t="s">
        <v>319</v>
      </c>
      <c r="E1184" s="26" t="s">
        <v>71</v>
      </c>
      <c r="F1184">
        <v>4</v>
      </c>
      <c r="G1184" t="str">
        <f t="shared" si="42"/>
        <v>CoStep10WalkwayT4</v>
      </c>
      <c r="J1184" s="26" t="s">
        <v>381</v>
      </c>
      <c r="K1184">
        <v>30</v>
      </c>
      <c r="L1184" t="str">
        <f t="shared" si="41"/>
        <v>W30</v>
      </c>
    </row>
    <row r="1185" spans="1:12" x14ac:dyDescent="0.2">
      <c r="A1185" s="26" t="s">
        <v>36</v>
      </c>
      <c r="B1185" s="26" t="s">
        <v>69</v>
      </c>
      <c r="C1185">
        <v>10</v>
      </c>
      <c r="D1185" s="26" t="s">
        <v>319</v>
      </c>
      <c r="E1185" s="26" t="s">
        <v>71</v>
      </c>
      <c r="F1185">
        <v>5</v>
      </c>
      <c r="G1185" t="str">
        <f t="shared" si="42"/>
        <v>CoStep10WalkwayT5</v>
      </c>
      <c r="J1185" s="26" t="s">
        <v>381</v>
      </c>
      <c r="K1185">
        <v>30</v>
      </c>
      <c r="L1185" t="str">
        <f t="shared" si="41"/>
        <v>W30</v>
      </c>
    </row>
    <row r="1186" spans="1:12" x14ac:dyDescent="0.2">
      <c r="A1186" s="26" t="s">
        <v>36</v>
      </c>
      <c r="B1186" s="26" t="s">
        <v>69</v>
      </c>
      <c r="C1186">
        <v>10</v>
      </c>
      <c r="D1186" s="26" t="s">
        <v>319</v>
      </c>
      <c r="E1186" s="26" t="s">
        <v>71</v>
      </c>
      <c r="F1186">
        <v>6</v>
      </c>
      <c r="G1186" t="str">
        <f t="shared" si="42"/>
        <v>CoStep10WalkwayT6</v>
      </c>
      <c r="J1186" s="26" t="s">
        <v>381</v>
      </c>
      <c r="K1186">
        <v>30</v>
      </c>
      <c r="L1186" t="str">
        <f t="shared" si="41"/>
        <v>W30</v>
      </c>
    </row>
    <row r="1187" spans="1:12" x14ac:dyDescent="0.2">
      <c r="A1187" s="26" t="s">
        <v>36</v>
      </c>
      <c r="B1187" s="26" t="s">
        <v>69</v>
      </c>
      <c r="C1187">
        <v>10</v>
      </c>
      <c r="D1187" s="26" t="s">
        <v>319</v>
      </c>
      <c r="E1187" s="26" t="s">
        <v>71</v>
      </c>
      <c r="F1187">
        <v>7</v>
      </c>
      <c r="G1187" t="str">
        <f t="shared" si="42"/>
        <v>CoStep10WalkwayT7</v>
      </c>
      <c r="J1187" s="26" t="s">
        <v>381</v>
      </c>
      <c r="K1187">
        <v>30</v>
      </c>
      <c r="L1187" t="str">
        <f t="shared" si="41"/>
        <v>W30</v>
      </c>
    </row>
    <row r="1188" spans="1:12" x14ac:dyDescent="0.2">
      <c r="A1188" s="26" t="s">
        <v>36</v>
      </c>
      <c r="B1188" s="26" t="s">
        <v>69</v>
      </c>
      <c r="C1188">
        <v>10</v>
      </c>
      <c r="D1188" s="26" t="s">
        <v>319</v>
      </c>
      <c r="E1188" s="26" t="s">
        <v>71</v>
      </c>
      <c r="F1188">
        <v>8</v>
      </c>
      <c r="G1188" t="str">
        <f t="shared" si="42"/>
        <v>CoStep10WalkwayT8</v>
      </c>
      <c r="J1188" s="26" t="s">
        <v>381</v>
      </c>
      <c r="K1188">
        <v>30</v>
      </c>
      <c r="L1188" t="str">
        <f t="shared" si="41"/>
        <v>W30</v>
      </c>
    </row>
    <row r="1189" spans="1:12" x14ac:dyDescent="0.2">
      <c r="A1189" s="26" t="s">
        <v>36</v>
      </c>
      <c r="B1189" s="26" t="s">
        <v>69</v>
      </c>
      <c r="C1189">
        <v>10</v>
      </c>
      <c r="D1189" s="26" t="s">
        <v>319</v>
      </c>
      <c r="E1189" s="26" t="s">
        <v>71</v>
      </c>
      <c r="F1189">
        <v>9</v>
      </c>
      <c r="G1189" t="str">
        <f t="shared" si="42"/>
        <v>CoStep10WalkwayT9</v>
      </c>
      <c r="J1189" s="26" t="s">
        <v>381</v>
      </c>
      <c r="K1189">
        <v>30</v>
      </c>
      <c r="L1189" t="str">
        <f t="shared" si="41"/>
        <v>W30</v>
      </c>
    </row>
    <row r="1190" spans="1:12" x14ac:dyDescent="0.2">
      <c r="A1190" s="26" t="s">
        <v>36</v>
      </c>
      <c r="B1190" s="26" t="s">
        <v>69</v>
      </c>
      <c r="C1190">
        <v>10</v>
      </c>
      <c r="D1190" s="26" t="s">
        <v>319</v>
      </c>
      <c r="E1190" s="26" t="s">
        <v>71</v>
      </c>
      <c r="F1190">
        <v>10</v>
      </c>
      <c r="G1190" t="str">
        <f t="shared" si="42"/>
        <v>CoStep10WalkwayT10</v>
      </c>
      <c r="J1190" s="26" t="s">
        <v>381</v>
      </c>
      <c r="K1190">
        <v>30</v>
      </c>
      <c r="L1190" t="str">
        <f t="shared" si="41"/>
        <v>W30</v>
      </c>
    </row>
    <row r="1191" spans="1:12" x14ac:dyDescent="0.2">
      <c r="A1191" s="26" t="s">
        <v>36</v>
      </c>
      <c r="B1191" s="26" t="s">
        <v>69</v>
      </c>
      <c r="C1191">
        <v>10</v>
      </c>
      <c r="D1191" s="26" t="s">
        <v>319</v>
      </c>
      <c r="E1191" s="26" t="s">
        <v>71</v>
      </c>
      <c r="F1191">
        <v>11</v>
      </c>
      <c r="G1191" t="str">
        <f t="shared" si="42"/>
        <v>CoStep10WalkwayT11</v>
      </c>
      <c r="J1191" s="26" t="s">
        <v>381</v>
      </c>
      <c r="K1191">
        <v>30</v>
      </c>
      <c r="L1191" t="str">
        <f t="shared" si="41"/>
        <v>W30</v>
      </c>
    </row>
    <row r="1192" spans="1:12" x14ac:dyDescent="0.2">
      <c r="A1192" s="26" t="s">
        <v>36</v>
      </c>
      <c r="B1192" s="26" t="s">
        <v>69</v>
      </c>
      <c r="C1192">
        <v>10</v>
      </c>
      <c r="D1192" s="26" t="s">
        <v>319</v>
      </c>
      <c r="E1192" s="26" t="s">
        <v>71</v>
      </c>
      <c r="F1192">
        <v>12</v>
      </c>
      <c r="G1192" t="str">
        <f t="shared" si="42"/>
        <v>CoStep10WalkwayT12</v>
      </c>
      <c r="J1192" s="26" t="s">
        <v>381</v>
      </c>
      <c r="K1192">
        <v>30</v>
      </c>
      <c r="L1192" t="str">
        <f t="shared" si="41"/>
        <v>W30</v>
      </c>
    </row>
    <row r="1193" spans="1:12" x14ac:dyDescent="0.2">
      <c r="A1193" s="26" t="s">
        <v>36</v>
      </c>
      <c r="B1193" s="26" t="s">
        <v>69</v>
      </c>
      <c r="C1193">
        <v>10</v>
      </c>
      <c r="D1193" s="26" t="s">
        <v>319</v>
      </c>
      <c r="E1193" s="26" t="s">
        <v>71</v>
      </c>
      <c r="F1193">
        <v>13</v>
      </c>
      <c r="G1193" t="str">
        <f t="shared" si="42"/>
        <v>CoStep10WalkwayT13</v>
      </c>
      <c r="J1193" s="26" t="s">
        <v>381</v>
      </c>
      <c r="K1193">
        <v>30</v>
      </c>
      <c r="L1193" t="str">
        <f t="shared" si="41"/>
        <v>W30</v>
      </c>
    </row>
    <row r="1194" spans="1:12" x14ac:dyDescent="0.2">
      <c r="A1194" s="26" t="s">
        <v>36</v>
      </c>
      <c r="B1194" s="26" t="s">
        <v>69</v>
      </c>
      <c r="C1194">
        <v>10</v>
      </c>
      <c r="D1194" s="26" t="s">
        <v>319</v>
      </c>
      <c r="E1194" s="26" t="s">
        <v>71</v>
      </c>
      <c r="F1194">
        <v>14</v>
      </c>
      <c r="G1194" t="str">
        <f t="shared" si="42"/>
        <v>CoStep10WalkwayT14</v>
      </c>
      <c r="J1194" s="26" t="s">
        <v>381</v>
      </c>
      <c r="K1194">
        <v>30</v>
      </c>
      <c r="L1194" t="str">
        <f t="shared" si="41"/>
        <v>W30</v>
      </c>
    </row>
    <row r="1195" spans="1:12" x14ac:dyDescent="0.2">
      <c r="A1195" s="26" t="s">
        <v>36</v>
      </c>
      <c r="B1195" s="26" t="s">
        <v>69</v>
      </c>
      <c r="C1195">
        <v>10</v>
      </c>
      <c r="D1195" s="26" t="s">
        <v>319</v>
      </c>
      <c r="E1195" s="26" t="s">
        <v>71</v>
      </c>
      <c r="F1195">
        <v>15</v>
      </c>
      <c r="G1195" t="str">
        <f t="shared" si="42"/>
        <v>CoStep10WalkwayT15</v>
      </c>
      <c r="J1195" s="26" t="s">
        <v>381</v>
      </c>
      <c r="K1195">
        <v>30</v>
      </c>
      <c r="L1195" t="str">
        <f t="shared" si="41"/>
        <v>W30</v>
      </c>
    </row>
    <row r="1196" spans="1:12" x14ac:dyDescent="0.2">
      <c r="A1196" s="26" t="s">
        <v>36</v>
      </c>
      <c r="B1196" s="26" t="s">
        <v>69</v>
      </c>
      <c r="C1196">
        <v>10</v>
      </c>
      <c r="D1196" s="26" t="s">
        <v>319</v>
      </c>
      <c r="E1196" s="26" t="s">
        <v>71</v>
      </c>
      <c r="F1196">
        <v>16</v>
      </c>
      <c r="G1196" t="str">
        <f t="shared" si="42"/>
        <v>CoStep10WalkwayT16</v>
      </c>
      <c r="J1196" s="26" t="s">
        <v>381</v>
      </c>
      <c r="K1196">
        <v>30</v>
      </c>
      <c r="L1196" t="str">
        <f t="shared" ref="L1196:L1200" si="43">J1196&amp;K1196</f>
        <v>W30</v>
      </c>
    </row>
    <row r="1197" spans="1:12" x14ac:dyDescent="0.2">
      <c r="A1197" s="26" t="s">
        <v>36</v>
      </c>
      <c r="B1197" s="26" t="s">
        <v>69</v>
      </c>
      <c r="C1197">
        <v>10</v>
      </c>
      <c r="D1197" s="26" t="s">
        <v>319</v>
      </c>
      <c r="E1197" s="26" t="s">
        <v>71</v>
      </c>
      <c r="F1197">
        <v>17</v>
      </c>
      <c r="G1197" t="str">
        <f t="shared" si="42"/>
        <v>CoStep10WalkwayT17</v>
      </c>
      <c r="J1197" s="26" t="s">
        <v>381</v>
      </c>
      <c r="K1197">
        <v>30</v>
      </c>
      <c r="L1197" t="str">
        <f t="shared" si="43"/>
        <v>W30</v>
      </c>
    </row>
    <row r="1198" spans="1:12" x14ac:dyDescent="0.2">
      <c r="A1198" s="26" t="s">
        <v>36</v>
      </c>
      <c r="B1198" s="26" t="s">
        <v>69</v>
      </c>
      <c r="C1198">
        <v>10</v>
      </c>
      <c r="D1198" s="26" t="s">
        <v>319</v>
      </c>
      <c r="E1198" s="26" t="s">
        <v>71</v>
      </c>
      <c r="F1198">
        <v>18</v>
      </c>
      <c r="G1198" t="str">
        <f t="shared" si="42"/>
        <v>CoStep10WalkwayT18</v>
      </c>
      <c r="J1198" s="26" t="s">
        <v>381</v>
      </c>
      <c r="K1198">
        <v>30</v>
      </c>
      <c r="L1198" t="str">
        <f t="shared" si="43"/>
        <v>W30</v>
      </c>
    </row>
    <row r="1199" spans="1:12" x14ac:dyDescent="0.2">
      <c r="A1199" s="26" t="s">
        <v>36</v>
      </c>
      <c r="B1199" s="26" t="s">
        <v>69</v>
      </c>
      <c r="C1199">
        <v>10</v>
      </c>
      <c r="D1199" s="26" t="s">
        <v>319</v>
      </c>
      <c r="E1199" s="26" t="s">
        <v>71</v>
      </c>
      <c r="F1199">
        <v>19</v>
      </c>
      <c r="G1199" t="str">
        <f t="shared" si="42"/>
        <v>CoStep10WalkwayT19</v>
      </c>
      <c r="J1199" s="26" t="s">
        <v>381</v>
      </c>
      <c r="K1199">
        <v>30</v>
      </c>
      <c r="L1199" t="str">
        <f t="shared" si="43"/>
        <v>W30</v>
      </c>
    </row>
    <row r="1200" spans="1:12" x14ac:dyDescent="0.2">
      <c r="A1200" s="26" t="s">
        <v>36</v>
      </c>
      <c r="B1200" s="26" t="s">
        <v>69</v>
      </c>
      <c r="C1200">
        <v>10</v>
      </c>
      <c r="D1200" s="26" t="s">
        <v>319</v>
      </c>
      <c r="E1200" s="26" t="s">
        <v>71</v>
      </c>
      <c r="F1200">
        <v>20</v>
      </c>
      <c r="G1200" t="str">
        <f t="shared" si="42"/>
        <v>CoStep10WalkwayT20</v>
      </c>
      <c r="J1200" s="26" t="s">
        <v>381</v>
      </c>
      <c r="K1200">
        <v>30</v>
      </c>
      <c r="L1200" t="str">
        <f t="shared" si="43"/>
        <v>W30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Comf</vt:lpstr>
      <vt:lpstr>Tot.Comf</vt:lpstr>
      <vt:lpstr>Kolomkoppen</vt:lpstr>
    </vt:vector>
  </TitlesOfParts>
  <Company>Merem behandelcentra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M. van Bloemendaal</dc:creator>
  <cp:lastModifiedBy>Maijke van Bloemendaal</cp:lastModifiedBy>
  <dcterms:created xsi:type="dcterms:W3CDTF">2015-07-23T06:58:19Z</dcterms:created>
  <dcterms:modified xsi:type="dcterms:W3CDTF">2019-03-23T12:35:14Z</dcterms:modified>
</cp:coreProperties>
</file>